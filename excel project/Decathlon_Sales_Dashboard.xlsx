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7CCB8CA-61F7-4A23-A7D0-E2B9A8AB63B5}"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Data_Dictionary" sheetId="2" r:id="rId2"/>
    <sheet name="Pivots" sheetId="7" r:id="rId3"/>
    <sheet name="Dashboard" sheetId="10" r:id="rId4"/>
    <sheet name="insights" sheetId="11" r:id="rId5"/>
  </sheets>
  <definedNames>
    <definedName name="_xlnm._FilterDatabase" localSheetId="0" hidden="1">Data!$A$1:$V$1501</definedName>
    <definedName name="_xlnm.Print_Area" localSheetId="3">Dashboard!$A$1:$BN$41</definedName>
    <definedName name="Slicer_Age_Group">#N/A</definedName>
    <definedName name="Slicer_Membership_Type">#N/A</definedName>
    <definedName name="Slicer_Region">#N/A</definedName>
    <definedName name="Slicer_Spor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7" i="10" l="1"/>
  <c r="AT7" i="10"/>
  <c r="AI7" i="10"/>
  <c r="X7" i="10"/>
  <c r="M7" i="10"/>
  <c r="B7" i="10"/>
</calcChain>
</file>

<file path=xl/sharedStrings.xml><?xml version="1.0" encoding="utf-8"?>
<sst xmlns="http://schemas.openxmlformats.org/spreadsheetml/2006/main" count="21219" uniqueCount="2484">
  <si>
    <t>Order_ID</t>
  </si>
  <si>
    <t>Order_Date</t>
  </si>
  <si>
    <t>Store</t>
  </si>
  <si>
    <t>City</t>
  </si>
  <si>
    <t>Region</t>
  </si>
  <si>
    <t>Customer_ID</t>
  </si>
  <si>
    <t>Gender</t>
  </si>
  <si>
    <t>Age_Group</t>
  </si>
  <si>
    <t>Membership_Type</t>
  </si>
  <si>
    <t>Sport_Category</t>
  </si>
  <si>
    <t>Product</t>
  </si>
  <si>
    <t>Brand</t>
  </si>
  <si>
    <t>Quantity</t>
  </si>
  <si>
    <t>Unit_Price</t>
  </si>
  <si>
    <t>Discount_%</t>
  </si>
  <si>
    <t>Sales</t>
  </si>
  <si>
    <t>Cost</t>
  </si>
  <si>
    <t>Profit</t>
  </si>
  <si>
    <t>Payment_Method</t>
  </si>
  <si>
    <t>Salesperson</t>
  </si>
  <si>
    <t>Customer_Rating</t>
  </si>
  <si>
    <t>Month</t>
  </si>
  <si>
    <t>ORD100002</t>
  </si>
  <si>
    <t>Decathlon Jaipur</t>
  </si>
  <si>
    <t>Jaipur</t>
  </si>
  <si>
    <t>North</t>
  </si>
  <si>
    <t>CUST1013</t>
  </si>
  <si>
    <t>Female</t>
  </si>
  <si>
    <t>36-45</t>
  </si>
  <si>
    <t>Silver</t>
  </si>
  <si>
    <t>Running</t>
  </si>
  <si>
    <t>Running Shoes</t>
  </si>
  <si>
    <t>Kiprun</t>
  </si>
  <si>
    <t>Net Banking</t>
  </si>
  <si>
    <t>Sneha</t>
  </si>
  <si>
    <t>12 Dec</t>
  </si>
  <si>
    <t>ORD100003</t>
  </si>
  <si>
    <t>Decathlon Pune</t>
  </si>
  <si>
    <t>Pune</t>
  </si>
  <si>
    <t>West</t>
  </si>
  <si>
    <t>CUST1633</t>
  </si>
  <si>
    <t>Male</t>
  </si>
  <si>
    <t>26-35</t>
  </si>
  <si>
    <t>Yoga</t>
  </si>
  <si>
    <t>Yoga Block</t>
  </si>
  <si>
    <t>Domyos</t>
  </si>
  <si>
    <t>Credit Card</t>
  </si>
  <si>
    <t>ORD100004</t>
  </si>
  <si>
    <t>Decathlon Ahmedabad</t>
  </si>
  <si>
    <t>Ahmedabad</t>
  </si>
  <si>
    <t>CUST1377</t>
  </si>
  <si>
    <t>Yoga Mat</t>
  </si>
  <si>
    <t>Quechua</t>
  </si>
  <si>
    <t>Debit Card</t>
  </si>
  <si>
    <t>Ananya</t>
  </si>
  <si>
    <t>03 Mar</t>
  </si>
  <si>
    <t>ORD100005</t>
  </si>
  <si>
    <t>Decathlon Chennai</t>
  </si>
  <si>
    <t>Chennai</t>
  </si>
  <si>
    <t>South</t>
  </si>
  <si>
    <t>CUST1392</t>
  </si>
  <si>
    <t>Basic</t>
  </si>
  <si>
    <t>Running T-Shirt</t>
  </si>
  <si>
    <t>Cash</t>
  </si>
  <si>
    <t>Priya</t>
  </si>
  <si>
    <t>11 Nov</t>
  </si>
  <si>
    <t>ORD100006</t>
  </si>
  <si>
    <t>CUST1202</t>
  </si>
  <si>
    <t>Gold</t>
  </si>
  <si>
    <t>Swimming</t>
  </si>
  <si>
    <t>Swimming Goggles</t>
  </si>
  <si>
    <t>Karan</t>
  </si>
  <si>
    <t>08 Aug</t>
  </si>
  <si>
    <t>ORD100007</t>
  </si>
  <si>
    <t>CUST1581</t>
  </si>
  <si>
    <t>Cycling</t>
  </si>
  <si>
    <t>Cycling Gloves</t>
  </si>
  <si>
    <t>Perfly</t>
  </si>
  <si>
    <t>Aditya</t>
  </si>
  <si>
    <t>ORD100008</t>
  </si>
  <si>
    <t>CUST1057</t>
  </si>
  <si>
    <t>18-25</t>
  </si>
  <si>
    <t>Btwin</t>
  </si>
  <si>
    <t>UPI</t>
  </si>
  <si>
    <t>01 Jan</t>
  </si>
  <si>
    <t>ORD100009</t>
  </si>
  <si>
    <t>Decathlon Bengaluru</t>
  </si>
  <si>
    <t>Bengaluru</t>
  </si>
  <si>
    <t>CUST1534</t>
  </si>
  <si>
    <t>Football</t>
  </si>
  <si>
    <t>Football Boots</t>
  </si>
  <si>
    <t>Kalenji</t>
  </si>
  <si>
    <t>ORD100010</t>
  </si>
  <si>
    <t>CUST1396</t>
  </si>
  <si>
    <t>46-60</t>
  </si>
  <si>
    <t>Mountain Bike</t>
  </si>
  <si>
    <t>04 Apr</t>
  </si>
  <si>
    <t>ORD100011</t>
  </si>
  <si>
    <t>Decathlon Noida</t>
  </si>
  <si>
    <t>Noida</t>
  </si>
  <si>
    <t>CUST1611</t>
  </si>
  <si>
    <t>Hiking</t>
  </si>
  <si>
    <t>Water Bottle</t>
  </si>
  <si>
    <t>Nabaiji</t>
  </si>
  <si>
    <t>Aarav</t>
  </si>
  <si>
    <t>02 Feb</t>
  </si>
  <si>
    <t>ORD100012</t>
  </si>
  <si>
    <t>Decathlon Mumbai</t>
  </si>
  <si>
    <t>Mumbai</t>
  </si>
  <si>
    <t>CUST1526</t>
  </si>
  <si>
    <t>Trekking Shoes</t>
  </si>
  <si>
    <t>Rohan</t>
  </si>
  <si>
    <t>ORD100013</t>
  </si>
  <si>
    <t>Decathlon Hyderabad</t>
  </si>
  <si>
    <t>Hyderabad</t>
  </si>
  <si>
    <t>CUST1512</t>
  </si>
  <si>
    <t>09 Sep</t>
  </si>
  <si>
    <t>ORD100014</t>
  </si>
  <si>
    <t>CUST1156</t>
  </si>
  <si>
    <t>Ishita</t>
  </si>
  <si>
    <t>07 Jul</t>
  </si>
  <si>
    <t>ORD100015</t>
  </si>
  <si>
    <t>CUST1814</t>
  </si>
  <si>
    <t>10 Oct</t>
  </si>
  <si>
    <t>ORD100016</t>
  </si>
  <si>
    <t>Decathlon Gurugram</t>
  </si>
  <si>
    <t>Gurugram</t>
  </si>
  <si>
    <t>CUST1335</t>
  </si>
  <si>
    <t>ORD100017</t>
  </si>
  <si>
    <t>CUST1947</t>
  </si>
  <si>
    <t>ORD100018</t>
  </si>
  <si>
    <t>Decathlon Delhi</t>
  </si>
  <si>
    <t>New Delhi</t>
  </si>
  <si>
    <t>CUST1089</t>
  </si>
  <si>
    <t>05 May</t>
  </si>
  <si>
    <t>ORD100019</t>
  </si>
  <si>
    <t>CUST1298</t>
  </si>
  <si>
    <t>Swim Cap</t>
  </si>
  <si>
    <t>ORD100020</t>
  </si>
  <si>
    <t>CUST1659</t>
  </si>
  <si>
    <t>ORD100021</t>
  </si>
  <si>
    <t>CUST1401</t>
  </si>
  <si>
    <t>ORD100022</t>
  </si>
  <si>
    <t>CUST1907</t>
  </si>
  <si>
    <t>Fitness Band</t>
  </si>
  <si>
    <t>ORD100023</t>
  </si>
  <si>
    <t>CUST1989</t>
  </si>
  <si>
    <t>Neha</t>
  </si>
  <si>
    <t>ORD100024</t>
  </si>
  <si>
    <t>CUST1738</t>
  </si>
  <si>
    <t>ORD100025</t>
  </si>
  <si>
    <t>Shin Guards</t>
  </si>
  <si>
    <t>ORD100026</t>
  </si>
  <si>
    <t>CUST1605</t>
  </si>
  <si>
    <t>Helmet</t>
  </si>
  <si>
    <t>ORD100027</t>
  </si>
  <si>
    <t>Vivek</t>
  </si>
  <si>
    <t>06 Jun</t>
  </si>
  <si>
    <t>ORD100028</t>
  </si>
  <si>
    <t>CUST1624</t>
  </si>
  <si>
    <t>ORD100029</t>
  </si>
  <si>
    <t>CUST1800</t>
  </si>
  <si>
    <t>Resistance Band</t>
  </si>
  <si>
    <t>ORD100030</t>
  </si>
  <si>
    <t>CUST1552</t>
  </si>
  <si>
    <t>ORD100031</t>
  </si>
  <si>
    <t>CUST1308</t>
  </si>
  <si>
    <t>ORD100032</t>
  </si>
  <si>
    <t>CUST1224</t>
  </si>
  <si>
    <t>ORD100033</t>
  </si>
  <si>
    <t>CUST1086</t>
  </si>
  <si>
    <t>ORD100034</t>
  </si>
  <si>
    <t>CUST1503</t>
  </si>
  <si>
    <t>ORD100035</t>
  </si>
  <si>
    <t>CUST1609</t>
  </si>
  <si>
    <t>Artengo</t>
  </si>
  <si>
    <t>ORD100036</t>
  </si>
  <si>
    <t>CUST1642</t>
  </si>
  <si>
    <t>ORD100037</t>
  </si>
  <si>
    <t>CUST1296</t>
  </si>
  <si>
    <t>Swimsuit</t>
  </si>
  <si>
    <t>ORD100038</t>
  </si>
  <si>
    <t>ORD100039</t>
  </si>
  <si>
    <t>CUST1530</t>
  </si>
  <si>
    <t>ORD100040</t>
  </si>
  <si>
    <t>CUST1828</t>
  </si>
  <si>
    <t>ORD100041</t>
  </si>
  <si>
    <t>CUST1658</t>
  </si>
  <si>
    <t>ORD100042</t>
  </si>
  <si>
    <t>CUST1374</t>
  </si>
  <si>
    <t>ORD100043</t>
  </si>
  <si>
    <t>CUST1646</t>
  </si>
  <si>
    <t>ORD100044</t>
  </si>
  <si>
    <t>CUST1179</t>
  </si>
  <si>
    <t>ORD100045</t>
  </si>
  <si>
    <t>ORD100046</t>
  </si>
  <si>
    <t>CUST1143</t>
  </si>
  <si>
    <t>ORD100047</t>
  </si>
  <si>
    <t>CUST1062</t>
  </si>
  <si>
    <t>ORD100048</t>
  </si>
  <si>
    <t>CUST1999</t>
  </si>
  <si>
    <t>ORD100049</t>
  </si>
  <si>
    <t>CUST1655</t>
  </si>
  <si>
    <t>ORD100050</t>
  </si>
  <si>
    <t>CUST1954</t>
  </si>
  <si>
    <t>ORD100051</t>
  </si>
  <si>
    <t>CUST1385</t>
  </si>
  <si>
    <t>ORD100052</t>
  </si>
  <si>
    <t>CUST1516</t>
  </si>
  <si>
    <t>ORD100053</t>
  </si>
  <si>
    <t>CUST1569</t>
  </si>
  <si>
    <t>ORD100054</t>
  </si>
  <si>
    <t>CUST1768</t>
  </si>
  <si>
    <t>ORD100055</t>
  </si>
  <si>
    <t>CUST1439</t>
  </si>
  <si>
    <t>ORD100056</t>
  </si>
  <si>
    <t>CUST1841</t>
  </si>
  <si>
    <t>Backpack</t>
  </si>
  <si>
    <t>ORD100057</t>
  </si>
  <si>
    <t>CUST1317</t>
  </si>
  <si>
    <t>ORD100058</t>
  </si>
  <si>
    <t>CUST1826</t>
  </si>
  <si>
    <t>ORD100059</t>
  </si>
  <si>
    <t>CUST1028</t>
  </si>
  <si>
    <t>ORD100060</t>
  </si>
  <si>
    <t>CUST1667</t>
  </si>
  <si>
    <t>ORD100061</t>
  </si>
  <si>
    <t>CUST1211</t>
  </si>
  <si>
    <t>ORD100062</t>
  </si>
  <si>
    <t>CUST1694</t>
  </si>
  <si>
    <t>ORD100063</t>
  </si>
  <si>
    <t>CUST1859</t>
  </si>
  <si>
    <t>ORD100064</t>
  </si>
  <si>
    <t>CUST1277</t>
  </si>
  <si>
    <t>ORD100065</t>
  </si>
  <si>
    <t>CUST1984</t>
  </si>
  <si>
    <t>ORD100066</t>
  </si>
  <si>
    <t>CUST1138</t>
  </si>
  <si>
    <t>ORD100067</t>
  </si>
  <si>
    <t>CUST1710</t>
  </si>
  <si>
    <t>ORD100068</t>
  </si>
  <si>
    <t>CUST1194</t>
  </si>
  <si>
    <t>ORD100069</t>
  </si>
  <si>
    <t>CUST1561</t>
  </si>
  <si>
    <t>ORD100070</t>
  </si>
  <si>
    <t>CUST1653</t>
  </si>
  <si>
    <t>ORD100071</t>
  </si>
  <si>
    <t>CUST1834</t>
  </si>
  <si>
    <t>ORD100072</t>
  </si>
  <si>
    <t>CUST1952</t>
  </si>
  <si>
    <t>ORD100073</t>
  </si>
  <si>
    <t>CUST1350</t>
  </si>
  <si>
    <t>ORD100074</t>
  </si>
  <si>
    <t>CUST1643</t>
  </si>
  <si>
    <t>ORD100075</t>
  </si>
  <si>
    <t>CUST1375</t>
  </si>
  <si>
    <t>ORD100076</t>
  </si>
  <si>
    <t>CUST1765</t>
  </si>
  <si>
    <t>ORD100077</t>
  </si>
  <si>
    <t>CUST1741</t>
  </si>
  <si>
    <t>ORD100078</t>
  </si>
  <si>
    <t>CUST1707</t>
  </si>
  <si>
    <t>ORD100079</t>
  </si>
  <si>
    <t>CUST1524</t>
  </si>
  <si>
    <t>ORD100080</t>
  </si>
  <si>
    <t>CUST1739</t>
  </si>
  <si>
    <t>ORD100081</t>
  </si>
  <si>
    <t>CUST1259</t>
  </si>
  <si>
    <t>ORD100082</t>
  </si>
  <si>
    <t>CUST1301</t>
  </si>
  <si>
    <t>ORD100083</t>
  </si>
  <si>
    <t>CUST1570</t>
  </si>
  <si>
    <t>ORD100084</t>
  </si>
  <si>
    <t>CUST1740</t>
  </si>
  <si>
    <t>ORD100085</t>
  </si>
  <si>
    <t>CUST1958</t>
  </si>
  <si>
    <t>ORD100086</t>
  </si>
  <si>
    <t>CUST1628</t>
  </si>
  <si>
    <t>ORD100087</t>
  </si>
  <si>
    <t>CUST1745</t>
  </si>
  <si>
    <t>ORD100088</t>
  </si>
  <si>
    <t>CUST1622</t>
  </si>
  <si>
    <t>ORD100089</t>
  </si>
  <si>
    <t>CUST1751</t>
  </si>
  <si>
    <t>ORD100090</t>
  </si>
  <si>
    <t>CUST1245</t>
  </si>
  <si>
    <t>ORD100091</t>
  </si>
  <si>
    <t>CUST1351</t>
  </si>
  <si>
    <t>ORD100092</t>
  </si>
  <si>
    <t>CUST1283</t>
  </si>
  <si>
    <t>ORD100093</t>
  </si>
  <si>
    <t>CUST1706</t>
  </si>
  <si>
    <t>ORD100094</t>
  </si>
  <si>
    <t>CUST1934</t>
  </si>
  <si>
    <t>ORD100095</t>
  </si>
  <si>
    <t>CUST1128</t>
  </si>
  <si>
    <t>ORD100096</t>
  </si>
  <si>
    <t>ORD100097</t>
  </si>
  <si>
    <t>CUST1446</t>
  </si>
  <si>
    <t>ORD100098</t>
  </si>
  <si>
    <t>CUST1504</t>
  </si>
  <si>
    <t>ORD100099</t>
  </si>
  <si>
    <t>CUST1731</t>
  </si>
  <si>
    <t>ORD100100</t>
  </si>
  <si>
    <t>ORD100101</t>
  </si>
  <si>
    <t>CUST1173</t>
  </si>
  <si>
    <t>ORD100102</t>
  </si>
  <si>
    <t>CUST1845</t>
  </si>
  <si>
    <t>ORD100103</t>
  </si>
  <si>
    <t>ORD100104</t>
  </si>
  <si>
    <t>CUST1243</t>
  </si>
  <si>
    <t>ORD100105</t>
  </si>
  <si>
    <t>CUST1623</t>
  </si>
  <si>
    <t>ORD100106</t>
  </si>
  <si>
    <t>CUST1183</t>
  </si>
  <si>
    <t>ORD100107</t>
  </si>
  <si>
    <t>CUST1329</t>
  </si>
  <si>
    <t>ORD100108</t>
  </si>
  <si>
    <t>CUST1539</t>
  </si>
  <si>
    <t>ORD100109</t>
  </si>
  <si>
    <t>CUST1106</t>
  </si>
  <si>
    <t>ORD100110</t>
  </si>
  <si>
    <t>CUST1712</t>
  </si>
  <si>
    <t>ORD100111</t>
  </si>
  <si>
    <t>CUST1020</t>
  </si>
  <si>
    <t>ORD100112</t>
  </si>
  <si>
    <t>CUST1761</t>
  </si>
  <si>
    <t>ORD100113</t>
  </si>
  <si>
    <t>ORD100114</t>
  </si>
  <si>
    <t>CUST1264</t>
  </si>
  <si>
    <t>ORD100115</t>
  </si>
  <si>
    <t>CUST1523</t>
  </si>
  <si>
    <t>ORD100116</t>
  </si>
  <si>
    <t>CUST1122</t>
  </si>
  <si>
    <t>ORD100117</t>
  </si>
  <si>
    <t>CUST1227</t>
  </si>
  <si>
    <t>ORD100118</t>
  </si>
  <si>
    <t>CUST1072</t>
  </si>
  <si>
    <t>ORD100119</t>
  </si>
  <si>
    <t>ORD100120</t>
  </si>
  <si>
    <t>CUST1733</t>
  </si>
  <si>
    <t>ORD100121</t>
  </si>
  <si>
    <t>CUST1462</t>
  </si>
  <si>
    <t>ORD100122</t>
  </si>
  <si>
    <t>CUST1079</t>
  </si>
  <si>
    <t>ORD100123</t>
  </si>
  <si>
    <t>CUST1821</t>
  </si>
  <si>
    <t>ORD100124</t>
  </si>
  <si>
    <t>CUST1100</t>
  </si>
  <si>
    <t>ORD100125</t>
  </si>
  <si>
    <t>CUST1634</t>
  </si>
  <si>
    <t>ORD100126</t>
  </si>
  <si>
    <t>CUST1529</t>
  </si>
  <si>
    <t>ORD100127</t>
  </si>
  <si>
    <t>CUST1166</t>
  </si>
  <si>
    <t>ORD100128</t>
  </si>
  <si>
    <t>CUST1129</t>
  </si>
  <si>
    <t>ORD100129</t>
  </si>
  <si>
    <t>CUST1508</t>
  </si>
  <si>
    <t>ORD100130</t>
  </si>
  <si>
    <t>CUST1860</t>
  </si>
  <si>
    <t>ORD100131</t>
  </si>
  <si>
    <t>CUST1657</t>
  </si>
  <si>
    <t>ORD100132</t>
  </si>
  <si>
    <t>ORD100133</t>
  </si>
  <si>
    <t>ORD100134</t>
  </si>
  <si>
    <t>CUST1664</t>
  </si>
  <si>
    <t>ORD100135</t>
  </si>
  <si>
    <t>CUST1532</t>
  </si>
  <si>
    <t>ORD100136</t>
  </si>
  <si>
    <t>CUST1632</t>
  </si>
  <si>
    <t>ORD100137</t>
  </si>
  <si>
    <t>CUST1921</t>
  </si>
  <si>
    <t>ORD100138</t>
  </si>
  <si>
    <t>CUST1817</t>
  </si>
  <si>
    <t>ORD100139</t>
  </si>
  <si>
    <t>CUST1520</t>
  </si>
  <si>
    <t>ORD100140</t>
  </si>
  <si>
    <t>ORD100141</t>
  </si>
  <si>
    <t>CUST1882</t>
  </si>
  <si>
    <t>ORD100142</t>
  </si>
  <si>
    <t>CUST1360</t>
  </si>
  <si>
    <t>ORD100143</t>
  </si>
  <si>
    <t>CUST1136</t>
  </si>
  <si>
    <t>ORD100144</t>
  </si>
  <si>
    <t>CUST1180</t>
  </si>
  <si>
    <t>ORD100145</t>
  </si>
  <si>
    <t>CUST1370</t>
  </si>
  <si>
    <t>ORD100146</t>
  </si>
  <si>
    <t>CUST1181</t>
  </si>
  <si>
    <t>ORD100147</t>
  </si>
  <si>
    <t>ORD100148</t>
  </si>
  <si>
    <t>CUST1282</t>
  </si>
  <si>
    <t>ORD100149</t>
  </si>
  <si>
    <t>CUST1044</t>
  </si>
  <si>
    <t>ORD100150</t>
  </si>
  <si>
    <t>CUST1127</t>
  </si>
  <si>
    <t>ORD100151</t>
  </si>
  <si>
    <t>CUST1254</t>
  </si>
  <si>
    <t>ORD100152</t>
  </si>
  <si>
    <t>ORD100153</t>
  </si>
  <si>
    <t>CUST1782</t>
  </si>
  <si>
    <t>ORD100154</t>
  </si>
  <si>
    <t>CUST1671</t>
  </si>
  <si>
    <t>ORD100155</t>
  </si>
  <si>
    <t>ORD100156</t>
  </si>
  <si>
    <t>CUST1630</t>
  </si>
  <si>
    <t>ORD100157</t>
  </si>
  <si>
    <t>CUST1160</t>
  </si>
  <si>
    <t>ORD100158</t>
  </si>
  <si>
    <t>CUST1676</t>
  </si>
  <si>
    <t>ORD100159</t>
  </si>
  <si>
    <t>CUST1318</t>
  </si>
  <si>
    <t>ORD100160</t>
  </si>
  <si>
    <t>CUST1500</t>
  </si>
  <si>
    <t>ORD100161</t>
  </si>
  <si>
    <t>CUST1590</t>
  </si>
  <si>
    <t>ORD100162</t>
  </si>
  <si>
    <t>CUST1450</t>
  </si>
  <si>
    <t>ORD100163</t>
  </si>
  <si>
    <t>CUST1484</t>
  </si>
  <si>
    <t>ORD100164</t>
  </si>
  <si>
    <t>CUST1496</t>
  </si>
  <si>
    <t>ORD100165</t>
  </si>
  <si>
    <t>CUST1417</t>
  </si>
  <si>
    <t>ORD100166</t>
  </si>
  <si>
    <t>CUST1785</t>
  </si>
  <si>
    <t>ORD100167</t>
  </si>
  <si>
    <t>CUST1266</t>
  </si>
  <si>
    <t>ORD100168</t>
  </si>
  <si>
    <t>CUST1951</t>
  </si>
  <si>
    <t>ORD100169</t>
  </si>
  <si>
    <t>CUST1897</t>
  </si>
  <si>
    <t>ORD100170</t>
  </si>
  <si>
    <t>CUST1637</t>
  </si>
  <si>
    <t>ORD100171</t>
  </si>
  <si>
    <t>ORD100172</t>
  </si>
  <si>
    <t>CUST1507</t>
  </si>
  <si>
    <t>ORD100173</t>
  </si>
  <si>
    <t>CUST1229</t>
  </si>
  <si>
    <t>ORD100174</t>
  </si>
  <si>
    <t>CUST1991</t>
  </si>
  <si>
    <t>ORD100175</t>
  </si>
  <si>
    <t>ORD100176</t>
  </si>
  <si>
    <t>CUST1946</t>
  </si>
  <si>
    <t>ORD100177</t>
  </si>
  <si>
    <t>CUST1006</t>
  </si>
  <si>
    <t>ORD100178</t>
  </si>
  <si>
    <t>CUST1004</t>
  </si>
  <si>
    <t>ORD100179</t>
  </si>
  <si>
    <t>CUST1553</t>
  </si>
  <si>
    <t>ORD100180</t>
  </si>
  <si>
    <t>CUST1781</t>
  </si>
  <si>
    <t>ORD100181</t>
  </si>
  <si>
    <t>CUST1695</t>
  </si>
  <si>
    <t>ORD100182</t>
  </si>
  <si>
    <t>CUST1853</t>
  </si>
  <si>
    <t>ORD100183</t>
  </si>
  <si>
    <t>CUST1629</t>
  </si>
  <si>
    <t>ORD100184</t>
  </si>
  <si>
    <t>CUST1536</t>
  </si>
  <si>
    <t>ORD100185</t>
  </si>
  <si>
    <t>CUST1638</t>
  </si>
  <si>
    <t>ORD100186</t>
  </si>
  <si>
    <t>CUST1213</t>
  </si>
  <si>
    <t>ORD100187</t>
  </si>
  <si>
    <t>CUST1723</t>
  </si>
  <si>
    <t>ORD100188</t>
  </si>
  <si>
    <t>CUST1341</t>
  </si>
  <si>
    <t>ORD100189</t>
  </si>
  <si>
    <t>CUST1253</t>
  </si>
  <si>
    <t>ORD100190</t>
  </si>
  <si>
    <t>ORD100191</t>
  </si>
  <si>
    <t>CUST1554</t>
  </si>
  <si>
    <t>ORD100192</t>
  </si>
  <si>
    <t>CUST1087</t>
  </si>
  <si>
    <t>ORD100193</t>
  </si>
  <si>
    <t>CUST1730</t>
  </si>
  <si>
    <t>ORD100194</t>
  </si>
  <si>
    <t>ORD100195</t>
  </si>
  <si>
    <t>CUST1497</t>
  </si>
  <si>
    <t>ORD100196</t>
  </si>
  <si>
    <t>CUST1593</t>
  </si>
  <si>
    <t>ORD100197</t>
  </si>
  <si>
    <t>CUST1509</t>
  </si>
  <si>
    <t>ORD100198</t>
  </si>
  <si>
    <t>CUST1133</t>
  </si>
  <si>
    <t>ORD100199</t>
  </si>
  <si>
    <t>ORD100200</t>
  </si>
  <si>
    <t>ORD100201</t>
  </si>
  <si>
    <t>CUST1237</t>
  </si>
  <si>
    <t>ORD100202</t>
  </si>
  <si>
    <t>ORD100203</t>
  </si>
  <si>
    <t>CUST1356</t>
  </si>
  <si>
    <t>ORD100204</t>
  </si>
  <si>
    <t>CUST1035</t>
  </si>
  <si>
    <t>ORD100205</t>
  </si>
  <si>
    <t>CUST1055</t>
  </si>
  <si>
    <t>ORD100206</t>
  </si>
  <si>
    <t>CUST1950</t>
  </si>
  <si>
    <t>ORD100207</t>
  </si>
  <si>
    <t>CUST1426</t>
  </si>
  <si>
    <t>ORD100208</t>
  </si>
  <si>
    <t>CUST1852</t>
  </si>
  <si>
    <t>ORD100209</t>
  </si>
  <si>
    <t>ORD100210</t>
  </si>
  <si>
    <t>CUST1942</t>
  </si>
  <si>
    <t>ORD100211</t>
  </si>
  <si>
    <t>CUST1719</t>
  </si>
  <si>
    <t>ORD100212</t>
  </si>
  <si>
    <t>CUST1448</t>
  </si>
  <si>
    <t>ORD100213</t>
  </si>
  <si>
    <t>CUST1887</t>
  </si>
  <si>
    <t>ORD100214</t>
  </si>
  <si>
    <t>CUST1488</t>
  </si>
  <si>
    <t>ORD100215</t>
  </si>
  <si>
    <t>CUST1250</t>
  </si>
  <si>
    <t>ORD100216</t>
  </si>
  <si>
    <t>CUST1434</t>
  </si>
  <si>
    <t>ORD100217</t>
  </si>
  <si>
    <t>ORD100218</t>
  </si>
  <si>
    <t>CUST1827</t>
  </si>
  <si>
    <t>ORD100219</t>
  </si>
  <si>
    <t>CUST1455</t>
  </si>
  <si>
    <t>ORD100220</t>
  </si>
  <si>
    <t>ORD100221</t>
  </si>
  <si>
    <t>CUST1961</t>
  </si>
  <si>
    <t>ORD100222</t>
  </si>
  <si>
    <t>CUST1346</t>
  </si>
  <si>
    <t>ORD100223</t>
  </si>
  <si>
    <t>CUST1066</t>
  </si>
  <si>
    <t>ORD100224</t>
  </si>
  <si>
    <t>CUST1997</t>
  </si>
  <si>
    <t>ORD100225</t>
  </si>
  <si>
    <t>CUST1753</t>
  </si>
  <si>
    <t>ORD100226</t>
  </si>
  <si>
    <t>CUST1810</t>
  </si>
  <si>
    <t>ORD100227</t>
  </si>
  <si>
    <t>CUST1547</t>
  </si>
  <si>
    <t>ORD100228</t>
  </si>
  <si>
    <t>CUST1154</t>
  </si>
  <si>
    <t>ORD100229</t>
  </si>
  <si>
    <t>CUST1832</t>
  </si>
  <si>
    <t>ORD100230</t>
  </si>
  <si>
    <t>CUST1877</t>
  </si>
  <si>
    <t>ORD100231</t>
  </si>
  <si>
    <t>CUST1498</t>
  </si>
  <si>
    <t>ORD100232</t>
  </si>
  <si>
    <t>CUST1863</t>
  </si>
  <si>
    <t>ORD100233</t>
  </si>
  <si>
    <t>CUST1151</t>
  </si>
  <si>
    <t>ORD100234</t>
  </si>
  <si>
    <t>CUST1700</t>
  </si>
  <si>
    <t>ORD100235</t>
  </si>
  <si>
    <t>CUST1431</t>
  </si>
  <si>
    <t>ORD100236</t>
  </si>
  <si>
    <t>ORD100237</t>
  </si>
  <si>
    <t>CUST1058</t>
  </si>
  <si>
    <t>ORD100238</t>
  </si>
  <si>
    <t>ORD100239</t>
  </si>
  <si>
    <t>CUST1063</t>
  </si>
  <si>
    <t>ORD100240</t>
  </si>
  <si>
    <t>ORD100241</t>
  </si>
  <si>
    <t>CUST1255</t>
  </si>
  <si>
    <t>ORD100242</t>
  </si>
  <si>
    <t>ORD100243</t>
  </si>
  <si>
    <t>ORD100244</t>
  </si>
  <si>
    <t>CUST1864</t>
  </si>
  <si>
    <t>ORD100245</t>
  </si>
  <si>
    <t>CUST1033</t>
  </si>
  <si>
    <t>ORD100246</t>
  </si>
  <si>
    <t>CUST1960</t>
  </si>
  <si>
    <t>ORD100247</t>
  </si>
  <si>
    <t>ORD100248</t>
  </si>
  <si>
    <t>CUST1273</t>
  </si>
  <si>
    <t>ORD100249</t>
  </si>
  <si>
    <t>ORD100250</t>
  </si>
  <si>
    <t>ORD100251</t>
  </si>
  <si>
    <t>CUST1596</t>
  </si>
  <si>
    <t>ORD100252</t>
  </si>
  <si>
    <t>CUST1209</t>
  </si>
  <si>
    <t>ORD100253</t>
  </si>
  <si>
    <t>CUST1804</t>
  </si>
  <si>
    <t>ORD100254</t>
  </si>
  <si>
    <t>ORD100255</t>
  </si>
  <si>
    <t>ORD100256</t>
  </si>
  <si>
    <t>CUST1728</t>
  </si>
  <si>
    <t>ORD100257</t>
  </si>
  <si>
    <t>ORD100258</t>
  </si>
  <si>
    <t>ORD100259</t>
  </si>
  <si>
    <t>CUST1522</t>
  </si>
  <si>
    <t>ORD100260</t>
  </si>
  <si>
    <t>CUST1115</t>
  </si>
  <si>
    <t>ORD100261</t>
  </si>
  <si>
    <t>ORD100262</t>
  </si>
  <si>
    <t>ORD100263</t>
  </si>
  <si>
    <t>CUST1247</t>
  </si>
  <si>
    <t>ORD100264</t>
  </si>
  <si>
    <t>CUST1601</t>
  </si>
  <si>
    <t>ORD100265</t>
  </si>
  <si>
    <t>CUST1175</t>
  </si>
  <si>
    <t>ORD100266</t>
  </si>
  <si>
    <t>CUST1443</t>
  </si>
  <si>
    <t>ORD100267</t>
  </si>
  <si>
    <t>ORD100268</t>
  </si>
  <si>
    <t>CUST1762</t>
  </si>
  <si>
    <t>ORD100269</t>
  </si>
  <si>
    <t>ORD100270</t>
  </si>
  <si>
    <t>CUST1105</t>
  </si>
  <si>
    <t>ORD100271</t>
  </si>
  <si>
    <t>CUST1797</t>
  </si>
  <si>
    <t>ORD100272</t>
  </si>
  <si>
    <t>ORD100273</t>
  </si>
  <si>
    <t>CUST1276</t>
  </si>
  <si>
    <t>ORD100274</t>
  </si>
  <si>
    <t>CUST1674</t>
  </si>
  <si>
    <t>ORD100275</t>
  </si>
  <si>
    <t>ORD100276</t>
  </si>
  <si>
    <t>CUST1586</t>
  </si>
  <si>
    <t>ORD100277</t>
  </si>
  <si>
    <t>CUST1901</t>
  </si>
  <si>
    <t>ORD100278</t>
  </si>
  <si>
    <t>CUST1544</t>
  </si>
  <si>
    <t>ORD100279</t>
  </si>
  <si>
    <t>ORD100280</t>
  </si>
  <si>
    <t>ORD100281</t>
  </si>
  <si>
    <t>CUST1368</t>
  </si>
  <si>
    <t>ORD100282</t>
  </si>
  <si>
    <t>ORD100283</t>
  </si>
  <si>
    <t>CUST1663</t>
  </si>
  <si>
    <t>ORD100284</t>
  </si>
  <si>
    <t>CUST1541</t>
  </si>
  <si>
    <t>ORD100285</t>
  </si>
  <si>
    <t>ORD100286</t>
  </si>
  <si>
    <t>CUST1972</t>
  </si>
  <si>
    <t>ORD100287</t>
  </si>
  <si>
    <t>CUST1854</t>
  </si>
  <si>
    <t>ORD100288</t>
  </si>
  <si>
    <t>CUST1040</t>
  </si>
  <si>
    <t>ORD100289</t>
  </si>
  <si>
    <t>CUST1993</t>
  </si>
  <si>
    <t>ORD100290</t>
  </si>
  <si>
    <t>ORD100291</t>
  </si>
  <si>
    <t>CUST1796</t>
  </si>
  <si>
    <t>ORD100292</t>
  </si>
  <si>
    <t>CUST1284</t>
  </si>
  <si>
    <t>ORD100293</t>
  </si>
  <si>
    <t>CUST1140</t>
  </si>
  <si>
    <t>ORD100294</t>
  </si>
  <si>
    <t>ORD100295</t>
  </si>
  <si>
    <t>ORD100296</t>
  </si>
  <si>
    <t>CUST1134</t>
  </si>
  <si>
    <t>ORD100297</t>
  </si>
  <si>
    <t>CUST1835</t>
  </si>
  <si>
    <t>ORD100298</t>
  </si>
  <si>
    <t>ORD100299</t>
  </si>
  <si>
    <t>CUST1456</t>
  </si>
  <si>
    <t>ORD100300</t>
  </si>
  <si>
    <t>CUST1920</t>
  </si>
  <si>
    <t>ORD100301</t>
  </si>
  <si>
    <t>CUST1483</t>
  </si>
  <si>
    <t>ORD100302</t>
  </si>
  <si>
    <t>CUST1258</t>
  </si>
  <si>
    <t>ORD100303</t>
  </si>
  <si>
    <t>CUST1965</t>
  </si>
  <si>
    <t>ORD100304</t>
  </si>
  <si>
    <t>CUST1068</t>
  </si>
  <si>
    <t>ORD100305</t>
  </si>
  <si>
    <t>CUST1939</t>
  </si>
  <si>
    <t>ORD100306</t>
  </si>
  <si>
    <t>CUST1769</t>
  </si>
  <si>
    <t>ORD100307</t>
  </si>
  <si>
    <t>ORD100308</t>
  </si>
  <si>
    <t>CUST1409</t>
  </si>
  <si>
    <t>ORD100309</t>
  </si>
  <si>
    <t>CUST1080</t>
  </si>
  <si>
    <t>ORD100310</t>
  </si>
  <si>
    <t>ORD100311</t>
  </si>
  <si>
    <t>CUST1045</t>
  </si>
  <si>
    <t>ORD100312</t>
  </si>
  <si>
    <t>CUST1698</t>
  </si>
  <si>
    <t>ORD100313</t>
  </si>
  <si>
    <t>CUST1772</t>
  </si>
  <si>
    <t>ORD100314</t>
  </si>
  <si>
    <t>CUST1381</t>
  </si>
  <si>
    <t>ORD100315</t>
  </si>
  <si>
    <t>CUST1102</t>
  </si>
  <si>
    <t>ORD100316</t>
  </si>
  <si>
    <t>CUST1167</t>
  </si>
  <si>
    <t>ORD100317</t>
  </si>
  <si>
    <t>CUST1347</t>
  </si>
  <si>
    <t>ORD100318</t>
  </si>
  <si>
    <t>ORD100319</t>
  </si>
  <si>
    <t>CUST1418</t>
  </si>
  <si>
    <t>ORD100320</t>
  </si>
  <si>
    <t>CUST1986</t>
  </si>
  <si>
    <t>ORD100321</t>
  </si>
  <si>
    <t>CUST1811</t>
  </si>
  <si>
    <t>ORD100322</t>
  </si>
  <si>
    <t>CUST1331</t>
  </si>
  <si>
    <t>ORD100323</t>
  </si>
  <si>
    <t>CUST1894</t>
  </si>
  <si>
    <t>ORD100324</t>
  </si>
  <si>
    <t>CUST1158</t>
  </si>
  <si>
    <t>ORD100325</t>
  </si>
  <si>
    <t>ORD100326</t>
  </si>
  <si>
    <t>CUST1286</t>
  </si>
  <si>
    <t>ORD100327</t>
  </si>
  <si>
    <t>CUST1493</t>
  </si>
  <si>
    <t>ORD100328</t>
  </si>
  <si>
    <t>CUST1704</t>
  </si>
  <si>
    <t>ORD100329</t>
  </si>
  <si>
    <t>CUST1771</t>
  </si>
  <si>
    <t>ORD100330</t>
  </si>
  <si>
    <t>ORD100331</t>
  </si>
  <si>
    <t>CUST1088</t>
  </si>
  <si>
    <t>ORD100332</t>
  </si>
  <si>
    <t>CUST1012</t>
  </si>
  <si>
    <t>ORD100333</t>
  </si>
  <si>
    <t>CUST1349</t>
  </si>
  <si>
    <t>ORD100334</t>
  </si>
  <si>
    <t>CUST1325</t>
  </si>
  <si>
    <t>ORD100335</t>
  </si>
  <si>
    <t>CUST1760</t>
  </si>
  <si>
    <t>ORD100336</t>
  </si>
  <si>
    <t>ORD100337</t>
  </si>
  <si>
    <t>CUST1147</t>
  </si>
  <si>
    <t>ORD100338</t>
  </si>
  <si>
    <t>CUST1568</t>
  </si>
  <si>
    <t>ORD100339</t>
  </si>
  <si>
    <t>ORD100340</t>
  </si>
  <si>
    <t>CUST1815</t>
  </si>
  <si>
    <t>ORD100341</t>
  </si>
  <si>
    <t>ORD100342</t>
  </si>
  <si>
    <t>CUST1440</t>
  </si>
  <si>
    <t>ORD100343</t>
  </si>
  <si>
    <t>ORD100344</t>
  </si>
  <si>
    <t>ORD100345</t>
  </si>
  <si>
    <t>CUST1427</t>
  </si>
  <si>
    <t>ORD100346</t>
  </si>
  <si>
    <t>CUST1425</t>
  </si>
  <si>
    <t>ORD100347</t>
  </si>
  <si>
    <t>CUST1564</t>
  </si>
  <si>
    <t>ORD100348</t>
  </si>
  <si>
    <t>CUST1428</t>
  </si>
  <si>
    <t>ORD100349</t>
  </si>
  <si>
    <t>CUST1744</t>
  </si>
  <si>
    <t>ORD100350</t>
  </si>
  <si>
    <t>CUST1070</t>
  </si>
  <si>
    <t>ORD100351</t>
  </si>
  <si>
    <t>CUST1219</t>
  </si>
  <si>
    <t>ORD100352</t>
  </si>
  <si>
    <t>ORD100353</t>
  </si>
  <si>
    <t>CUST1447</t>
  </si>
  <si>
    <t>ORD100354</t>
  </si>
  <si>
    <t>CUST1533</t>
  </si>
  <si>
    <t>ORD100355</t>
  </si>
  <si>
    <t>CUST1626</t>
  </si>
  <si>
    <t>ORD100356</t>
  </si>
  <si>
    <t>ORD100357</t>
  </si>
  <si>
    <t>CUST1872</t>
  </si>
  <si>
    <t>ORD100358</t>
  </si>
  <si>
    <t>CUST1302</t>
  </si>
  <si>
    <t>ORD100359</t>
  </si>
  <si>
    <t>CUST1157</t>
  </si>
  <si>
    <t>ORD100360</t>
  </si>
  <si>
    <t>CUST1559</t>
  </si>
  <si>
    <t>ORD100361</t>
  </si>
  <si>
    <t>CUST1002</t>
  </si>
  <si>
    <t>ORD100362</t>
  </si>
  <si>
    <t>ORD100363</t>
  </si>
  <si>
    <t>ORD100364</t>
  </si>
  <si>
    <t>ORD100365</t>
  </si>
  <si>
    <t>ORD100366</t>
  </si>
  <si>
    <t>CUST1862</t>
  </si>
  <si>
    <t>ORD100367</t>
  </si>
  <si>
    <t>CUST1957</t>
  </si>
  <si>
    <t>ORD100368</t>
  </si>
  <si>
    <t>CUST1051</t>
  </si>
  <si>
    <t>ORD100369</t>
  </si>
  <si>
    <t>CUST1185</t>
  </si>
  <si>
    <t>ORD100370</t>
  </si>
  <si>
    <t>CUST1280</t>
  </si>
  <si>
    <t>ORD100371</t>
  </si>
  <si>
    <t>ORD100372</t>
  </si>
  <si>
    <t>ORD100373</t>
  </si>
  <si>
    <t>CUST1010</t>
  </si>
  <si>
    <t>ORD100374</t>
  </si>
  <si>
    <t>ORD100375</t>
  </si>
  <si>
    <t>ORD100376</t>
  </si>
  <si>
    <t>CUST1606</t>
  </si>
  <si>
    <t>ORD100377</t>
  </si>
  <si>
    <t>CUST1716</t>
  </si>
  <si>
    <t>ORD100378</t>
  </si>
  <si>
    <t>ORD100379</t>
  </si>
  <si>
    <t>ORD100380</t>
  </si>
  <si>
    <t>CUST1404</t>
  </si>
  <si>
    <t>ORD100381</t>
  </si>
  <si>
    <t>ORD100382</t>
  </si>
  <si>
    <t>CUST1009</t>
  </si>
  <si>
    <t>ORD100383</t>
  </si>
  <si>
    <t>CUST1967</t>
  </si>
  <si>
    <t>ORD100384</t>
  </si>
  <si>
    <t>ORD100385</t>
  </si>
  <si>
    <t>CUST1494</t>
  </si>
  <si>
    <t>ORD100386</t>
  </si>
  <si>
    <t>ORD100387</t>
  </si>
  <si>
    <t>CUST1587</t>
  </si>
  <si>
    <t>ORD100388</t>
  </si>
  <si>
    <t>CUST1884</t>
  </si>
  <si>
    <t>ORD100389</t>
  </si>
  <si>
    <t>CUST1454</t>
  </si>
  <si>
    <t>ORD100390</t>
  </si>
  <si>
    <t>CUST1678</t>
  </si>
  <si>
    <t>ORD100391</t>
  </si>
  <si>
    <t>ORD100392</t>
  </si>
  <si>
    <t>CUST1680</t>
  </si>
  <si>
    <t>ORD100393</t>
  </si>
  <si>
    <t>CUST1042</t>
  </si>
  <si>
    <t>ORD100394</t>
  </si>
  <si>
    <t>CUST1690</t>
  </si>
  <si>
    <t>ORD100395</t>
  </si>
  <si>
    <t>ORD100396</t>
  </si>
  <si>
    <t>CUST1313</t>
  </si>
  <si>
    <t>ORD100397</t>
  </si>
  <si>
    <t>CUST1207</t>
  </si>
  <si>
    <t>ORD100398</t>
  </si>
  <si>
    <t>CUST1742</t>
  </si>
  <si>
    <t>ORD100399</t>
  </si>
  <si>
    <t>CUST1977</t>
  </si>
  <si>
    <t>ORD100400</t>
  </si>
  <si>
    <t>CUST1322</t>
  </si>
  <si>
    <t>ORD100401</t>
  </si>
  <si>
    <t>CUST1940</t>
  </si>
  <si>
    <t>ORD100402</t>
  </si>
  <si>
    <t>ORD100403</t>
  </si>
  <si>
    <t>CUST1819</t>
  </si>
  <si>
    <t>ORD100404</t>
  </si>
  <si>
    <t>CUST1030</t>
  </si>
  <si>
    <t>ORD100405</t>
  </si>
  <si>
    <t>ORD100406</t>
  </si>
  <si>
    <t>CUST1519</t>
  </si>
  <si>
    <t>ORD100407</t>
  </si>
  <si>
    <t>CUST1358</t>
  </si>
  <si>
    <t>ORD100408</t>
  </si>
  <si>
    <t>ORD100409</t>
  </si>
  <si>
    <t>ORD100410</t>
  </si>
  <si>
    <t>CUST1909</t>
  </si>
  <si>
    <t>ORD100411</t>
  </si>
  <si>
    <t>CUST1279</t>
  </si>
  <si>
    <t>ORD100412</t>
  </si>
  <si>
    <t>CUST1576</t>
  </si>
  <si>
    <t>ORD100413</t>
  </si>
  <si>
    <t>CUST1636</t>
  </si>
  <si>
    <t>ORD100414</t>
  </si>
  <si>
    <t>ORD100415</t>
  </si>
  <si>
    <t>CUST1163</t>
  </si>
  <si>
    <t>ORD100416</t>
  </si>
  <si>
    <t>ORD100417</t>
  </si>
  <si>
    <t>CUST1233</t>
  </si>
  <si>
    <t>ORD100418</t>
  </si>
  <si>
    <t>CUST1773</t>
  </si>
  <si>
    <t>ORD100419</t>
  </si>
  <si>
    <t>CUST1242</t>
  </si>
  <si>
    <t>ORD100420</t>
  </si>
  <si>
    <t>CUST1752</t>
  </si>
  <si>
    <t>ORD100421</t>
  </si>
  <si>
    <t>CUST1743</t>
  </si>
  <si>
    <t>ORD100422</t>
  </si>
  <si>
    <t>CUST1047</t>
  </si>
  <si>
    <t>ORD100423</t>
  </si>
  <si>
    <t>CUST1327</t>
  </si>
  <si>
    <t>ORD100424</t>
  </si>
  <si>
    <t>CUST1422</t>
  </si>
  <si>
    <t>ORD100425</t>
  </si>
  <si>
    <t>CUST1405</t>
  </si>
  <si>
    <t>ORD100426</t>
  </si>
  <si>
    <t>ORD100427</t>
  </si>
  <si>
    <t>CUST1514</t>
  </si>
  <si>
    <t>ORD100428</t>
  </si>
  <si>
    <t>CUST1184</t>
  </si>
  <si>
    <t>ORD100429</t>
  </si>
  <si>
    <t>ORD100430</t>
  </si>
  <si>
    <t>CUST1339</t>
  </si>
  <si>
    <t>ORD100431</t>
  </si>
  <si>
    <t>CUST1971</t>
  </si>
  <si>
    <t>ORD100432</t>
  </si>
  <si>
    <t>ORD100433</t>
  </si>
  <si>
    <t>CUST1857</t>
  </si>
  <si>
    <t>ORD100434</t>
  </si>
  <si>
    <t>ORD100435</t>
  </si>
  <si>
    <t>CUST1275</t>
  </si>
  <si>
    <t>ORD100436</t>
  </si>
  <si>
    <t>CUST1790</t>
  </si>
  <si>
    <t>ORD100437</t>
  </si>
  <si>
    <t>CUST1332</t>
  </si>
  <si>
    <t>ORD100438</t>
  </si>
  <si>
    <t>ORD100439</t>
  </si>
  <si>
    <t>CUST1399</t>
  </si>
  <si>
    <t>ORD100440</t>
  </si>
  <si>
    <t>CUST1257</t>
  </si>
  <si>
    <t>ORD100441</t>
  </si>
  <si>
    <t>ORD100442</t>
  </si>
  <si>
    <t>CUST1395</t>
  </si>
  <si>
    <t>ORD100443</t>
  </si>
  <si>
    <t>ORD100444</t>
  </si>
  <si>
    <t>CUST1684</t>
  </si>
  <si>
    <t>ORD100445</t>
  </si>
  <si>
    <t>ORD100446</t>
  </si>
  <si>
    <t>ORD100447</t>
  </si>
  <si>
    <t>ORD100448</t>
  </si>
  <si>
    <t>CUST1164</t>
  </si>
  <si>
    <t>ORD100449</t>
  </si>
  <si>
    <t>CUST1008</t>
  </si>
  <si>
    <t>ORD100450</t>
  </si>
  <si>
    <t>ORD100451</t>
  </si>
  <si>
    <t>CUST1675</t>
  </si>
  <si>
    <t>ORD100452</t>
  </si>
  <si>
    <t>CUST1956</t>
  </si>
  <si>
    <t>ORD100453</t>
  </si>
  <si>
    <t>ORD100454</t>
  </si>
  <si>
    <t>ORD100455</t>
  </si>
  <si>
    <t>ORD100456</t>
  </si>
  <si>
    <t>ORD100457</t>
  </si>
  <si>
    <t>CUST1758</t>
  </si>
  <si>
    <t>ORD100458</t>
  </si>
  <si>
    <t>CUST1132</t>
  </si>
  <si>
    <t>ORD100459</t>
  </si>
  <si>
    <t>ORD100460</t>
  </si>
  <si>
    <t>CUST1101</t>
  </si>
  <si>
    <t>ORD100461</t>
  </si>
  <si>
    <t>ORD100462</t>
  </si>
  <si>
    <t>ORD100463</t>
  </si>
  <si>
    <t>CUST1724</t>
  </si>
  <si>
    <t>ORD100464</t>
  </si>
  <si>
    <t>ORD100465</t>
  </si>
  <si>
    <t>ORD100466</t>
  </si>
  <si>
    <t>ORD100467</t>
  </si>
  <si>
    <t>CUST1511</t>
  </si>
  <si>
    <t>ORD100468</t>
  </si>
  <si>
    <t>ORD100469</t>
  </si>
  <si>
    <t>CUST1548</t>
  </si>
  <si>
    <t>ORD100470</t>
  </si>
  <si>
    <t>CUST1910</t>
  </si>
  <si>
    <t>ORD100471</t>
  </si>
  <si>
    <t>ORD100472</t>
  </si>
  <si>
    <t>CUST1903</t>
  </si>
  <si>
    <t>ORD100473</t>
  </si>
  <si>
    <t>ORD100474</t>
  </si>
  <si>
    <t>ORD100475</t>
  </si>
  <si>
    <t>CUST1793</t>
  </si>
  <si>
    <t>ORD100476</t>
  </si>
  <si>
    <t>CUST1093</t>
  </si>
  <si>
    <t>ORD100477</t>
  </si>
  <si>
    <t>CUST1812</t>
  </si>
  <si>
    <t>ORD100478</t>
  </si>
  <si>
    <t>ORD100479</t>
  </si>
  <si>
    <t>CUST1809</t>
  </si>
  <si>
    <t>ORD100480</t>
  </si>
  <si>
    <t>CUST1673</t>
  </si>
  <si>
    <t>ORD100481</t>
  </si>
  <si>
    <t>ORD100482</t>
  </si>
  <si>
    <t>CUST1562</t>
  </si>
  <si>
    <t>ORD100483</t>
  </si>
  <si>
    <t>ORD100484</t>
  </si>
  <si>
    <t>CUST1340</t>
  </si>
  <si>
    <t>ORD100485</t>
  </si>
  <si>
    <t>CUST1788</t>
  </si>
  <si>
    <t>ORD100486</t>
  </si>
  <si>
    <t>ORD100487</t>
  </si>
  <si>
    <t>CUST1281</t>
  </si>
  <si>
    <t>ORD100488</t>
  </si>
  <si>
    <t>CUST1015</t>
  </si>
  <si>
    <t>ORD100489</t>
  </si>
  <si>
    <t>ORD100490</t>
  </si>
  <si>
    <t>CUST1953</t>
  </si>
  <si>
    <t>ORD100491</t>
  </si>
  <si>
    <t>ORD100492</t>
  </si>
  <si>
    <t>CUST1098</t>
  </si>
  <si>
    <t>ORD100493</t>
  </si>
  <si>
    <t>CUST1620</t>
  </si>
  <si>
    <t>ORD100494</t>
  </si>
  <si>
    <t>CUST1469</t>
  </si>
  <si>
    <t>ORD100495</t>
  </si>
  <si>
    <t>ORD100496</t>
  </si>
  <si>
    <t>CUST1925</t>
  </si>
  <si>
    <t>ORD100497</t>
  </si>
  <si>
    <t>ORD100498</t>
  </si>
  <si>
    <t>CUST1359</t>
  </si>
  <si>
    <t>ORD100499</t>
  </si>
  <si>
    <t>CUST1610</t>
  </si>
  <si>
    <t>ORD100500</t>
  </si>
  <si>
    <t>CUST1162</t>
  </si>
  <si>
    <t>ORD100501</t>
  </si>
  <si>
    <t>ORD100502</t>
  </si>
  <si>
    <t>ORD100503</t>
  </si>
  <si>
    <t>CUST1299</t>
  </si>
  <si>
    <t>ORD100504</t>
  </si>
  <si>
    <t>CUST1312</t>
  </si>
  <si>
    <t>ORD100505</t>
  </si>
  <si>
    <t>ORD100506</t>
  </si>
  <si>
    <t>CUST1786</t>
  </si>
  <si>
    <t>ORD100507</t>
  </si>
  <si>
    <t>CUST1262</t>
  </si>
  <si>
    <t>ORD100508</t>
  </si>
  <si>
    <t>ORD100509</t>
  </si>
  <si>
    <t>ORD100510</t>
  </si>
  <si>
    <t>ORD100511</t>
  </si>
  <si>
    <t>ORD100512</t>
  </si>
  <si>
    <t>ORD100513</t>
  </si>
  <si>
    <t>CUST1966</t>
  </si>
  <si>
    <t>ORD100514</t>
  </si>
  <si>
    <t>ORD100515</t>
  </si>
  <si>
    <t>CUST1125</t>
  </si>
  <si>
    <t>ORD100516</t>
  </si>
  <si>
    <t>CUST1027</t>
  </si>
  <si>
    <t>ORD100517</t>
  </si>
  <si>
    <t>CUST1891</t>
  </si>
  <si>
    <t>ORD100518</t>
  </si>
  <si>
    <t>ORD100519</t>
  </si>
  <si>
    <t>CUST1645</t>
  </si>
  <si>
    <t>ORD100520</t>
  </si>
  <si>
    <t>CUST1878</t>
  </si>
  <si>
    <t>ORD100521</t>
  </si>
  <si>
    <t>ORD100522</t>
  </si>
  <si>
    <t>ORD100523</t>
  </si>
  <si>
    <t>CUST1144</t>
  </si>
  <si>
    <t>ORD100524</t>
  </si>
  <si>
    <t>CUST1191</t>
  </si>
  <si>
    <t>ORD100525</t>
  </si>
  <si>
    <t>CUST1265</t>
  </si>
  <si>
    <t>ORD100526</t>
  </si>
  <si>
    <t>ORD100527</t>
  </si>
  <si>
    <t>CUST1617</t>
  </si>
  <si>
    <t>ORD100528</t>
  </si>
  <si>
    <t>ORD100529</t>
  </si>
  <si>
    <t>CUST1801</t>
  </si>
  <si>
    <t>ORD100530</t>
  </si>
  <si>
    <t>CUST1613</t>
  </si>
  <si>
    <t>ORD100531</t>
  </si>
  <si>
    <t>CUST1307</t>
  </si>
  <si>
    <t>ORD100532</t>
  </si>
  <si>
    <t>CUST1402</t>
  </si>
  <si>
    <t>ORD100533</t>
  </si>
  <si>
    <t>ORD100534</t>
  </si>
  <si>
    <t>ORD100535</t>
  </si>
  <si>
    <t>ORD100536</t>
  </si>
  <si>
    <t>ORD100537</t>
  </si>
  <si>
    <t>CUST1906</t>
  </si>
  <si>
    <t>ORD100538</t>
  </si>
  <si>
    <t>CUST1029</t>
  </si>
  <si>
    <t>ORD100539</t>
  </si>
  <si>
    <t>ORD100540</t>
  </si>
  <si>
    <t>ORD100541</t>
  </si>
  <si>
    <t>ORD100542</t>
  </si>
  <si>
    <t>ORD100543</t>
  </si>
  <si>
    <t>ORD100544</t>
  </si>
  <si>
    <t>ORD100545</t>
  </si>
  <si>
    <t>ORD100546</t>
  </si>
  <si>
    <t>CUST1014</t>
  </si>
  <si>
    <t>ORD100547</t>
  </si>
  <si>
    <t>CUST1290</t>
  </si>
  <si>
    <t>ORD100548</t>
  </si>
  <si>
    <t>CUST1210</t>
  </si>
  <si>
    <t>ORD100549</t>
  </si>
  <si>
    <t>CUST1693</t>
  </si>
  <si>
    <t>ORD100550</t>
  </si>
  <si>
    <t>CUST1565</t>
  </si>
  <si>
    <t>ORD100551</t>
  </si>
  <si>
    <t>CUST1612</t>
  </si>
  <si>
    <t>ORD100552</t>
  </si>
  <si>
    <t>CUST1686</t>
  </si>
  <si>
    <t>ORD100553</t>
  </si>
  <si>
    <t>ORD100554</t>
  </si>
  <si>
    <t>CUST1477</t>
  </si>
  <si>
    <t>ORD100555</t>
  </si>
  <si>
    <t>ORD100556</t>
  </si>
  <si>
    <t>CUST1230</t>
  </si>
  <si>
    <t>ORD100557</t>
  </si>
  <si>
    <t>ORD100558</t>
  </si>
  <si>
    <t>CUST1880</t>
  </si>
  <si>
    <t>ORD100559</t>
  </si>
  <si>
    <t>CUST1983</t>
  </si>
  <si>
    <t>ORD100560</t>
  </si>
  <si>
    <t>CUST1844</t>
  </si>
  <si>
    <t>ORD100561</t>
  </si>
  <si>
    <t>CUST1994</t>
  </si>
  <si>
    <t>ORD100562</t>
  </si>
  <si>
    <t>CUST1328</t>
  </si>
  <si>
    <t>ORD100563</t>
  </si>
  <si>
    <t>CUST1963</t>
  </si>
  <si>
    <t>ORD100564</t>
  </si>
  <si>
    <t>CUST1679</t>
  </si>
  <si>
    <t>ORD100565</t>
  </si>
  <si>
    <t>CUST1720</t>
  </si>
  <si>
    <t>ORD100566</t>
  </si>
  <si>
    <t>CUST1267</t>
  </si>
  <si>
    <t>ORD100567</t>
  </si>
  <si>
    <t>ORD100568</t>
  </si>
  <si>
    <t>CUST1118</t>
  </si>
  <si>
    <t>ORD100569</t>
  </si>
  <si>
    <t>ORD100570</t>
  </si>
  <si>
    <t>CUST1252</t>
  </si>
  <si>
    <t>ORD100571</t>
  </si>
  <si>
    <t>ORD100572</t>
  </si>
  <si>
    <t>CUST1813</t>
  </si>
  <si>
    <t>ORD100573</t>
  </si>
  <si>
    <t>CUST1546</t>
  </si>
  <si>
    <t>ORD100574</t>
  </si>
  <si>
    <t>ORD100575</t>
  </si>
  <si>
    <t>ORD100576</t>
  </si>
  <si>
    <t>CUST1499</t>
  </si>
  <si>
    <t>ORD100577</t>
  </si>
  <si>
    <t>ORD100578</t>
  </si>
  <si>
    <t>CUST1614</t>
  </si>
  <si>
    <t>ORD100579</t>
  </si>
  <si>
    <t>ORD100580</t>
  </si>
  <si>
    <t>ORD100581</t>
  </si>
  <si>
    <t>ORD100582</t>
  </si>
  <si>
    <t>ORD100583</t>
  </si>
  <si>
    <t>CUST1945</t>
  </si>
  <si>
    <t>ORD100584</t>
  </si>
  <si>
    <t>CUST1408</t>
  </si>
  <si>
    <t>ORD100585</t>
  </si>
  <si>
    <t>ORD100586</t>
  </si>
  <si>
    <t>CUST1777</t>
  </si>
  <si>
    <t>ORD100587</t>
  </si>
  <si>
    <t>ORD100588</t>
  </si>
  <si>
    <t>ORD100589</t>
  </si>
  <si>
    <t>ORD100590</t>
  </si>
  <si>
    <t>CUST1774</t>
  </si>
  <si>
    <t>ORD100591</t>
  </si>
  <si>
    <t>CUST1517</t>
  </si>
  <si>
    <t>ORD100592</t>
  </si>
  <si>
    <t>ORD100593</t>
  </si>
  <si>
    <t>CUST1410</t>
  </si>
  <si>
    <t>ORD100594</t>
  </si>
  <si>
    <t>CUST1099</t>
  </si>
  <si>
    <t>ORD100595</t>
  </si>
  <si>
    <t>ORD100596</t>
  </si>
  <si>
    <t>CUST1928</t>
  </si>
  <si>
    <t>ORD100597</t>
  </si>
  <si>
    <t>CUST1644</t>
  </si>
  <si>
    <t>ORD100598</t>
  </si>
  <si>
    <t>ORD100599</t>
  </si>
  <si>
    <t>CUST1775</t>
  </si>
  <si>
    <t>ORD100600</t>
  </si>
  <si>
    <t>ORD100601</t>
  </si>
  <si>
    <t>CUST1170</t>
  </si>
  <si>
    <t>ORD100602</t>
  </si>
  <si>
    <t>ORD100603</t>
  </si>
  <si>
    <t>CUST1662</t>
  </si>
  <si>
    <t>ORD100604</t>
  </si>
  <si>
    <t>CUST1868</t>
  </si>
  <si>
    <t>ORD100605</t>
  </si>
  <si>
    <t>ORD100606</t>
  </si>
  <si>
    <t>ORD100607</t>
  </si>
  <si>
    <t>ORD100608</t>
  </si>
  <si>
    <t>ORD100609</t>
  </si>
  <si>
    <t>ORD100610</t>
  </si>
  <si>
    <t>ORD100611</t>
  </si>
  <si>
    <t>CUST1251</t>
  </si>
  <si>
    <t>ORD100612</t>
  </si>
  <si>
    <t>CUST1240</t>
  </si>
  <si>
    <t>ORD100613</t>
  </si>
  <si>
    <t>CUST1238</t>
  </si>
  <si>
    <t>ORD100614</t>
  </si>
  <si>
    <t>CUST1764</t>
  </si>
  <si>
    <t>ORD100615</t>
  </si>
  <si>
    <t>ORD100616</t>
  </si>
  <si>
    <t>ORD100617</t>
  </si>
  <si>
    <t>CUST1749</t>
  </si>
  <si>
    <t>ORD100618</t>
  </si>
  <si>
    <t>ORD100619</t>
  </si>
  <si>
    <t>ORD100620</t>
  </si>
  <si>
    <t>CUST1270</t>
  </si>
  <si>
    <t>ORD100621</t>
  </si>
  <si>
    <t>CUST1407</t>
  </si>
  <si>
    <t>ORD100622</t>
  </si>
  <si>
    <t>ORD100623</t>
  </si>
  <si>
    <t>ORD100624</t>
  </si>
  <si>
    <t>ORD100625</t>
  </si>
  <si>
    <t>CUST1982</t>
  </si>
  <si>
    <t>ORD100626</t>
  </si>
  <si>
    <t>CUST1050</t>
  </si>
  <si>
    <t>ORD100627</t>
  </si>
  <si>
    <t>ORD100628</t>
  </si>
  <si>
    <t>ORD100629</t>
  </si>
  <si>
    <t>ORD100630</t>
  </si>
  <si>
    <t>ORD100631</t>
  </si>
  <si>
    <t>CUST1348</t>
  </si>
  <si>
    <t>ORD100632</t>
  </si>
  <si>
    <t>ORD100633</t>
  </si>
  <si>
    <t>ORD100634</t>
  </si>
  <si>
    <t>CUST1130</t>
  </si>
  <si>
    <t>ORD100635</t>
  </si>
  <si>
    <t>ORD100636</t>
  </si>
  <si>
    <t>CUST1214</t>
  </si>
  <si>
    <t>ORD100637</t>
  </si>
  <si>
    <t>ORD100638</t>
  </si>
  <si>
    <t>CUST1453</t>
  </si>
  <si>
    <t>ORD100639</t>
  </si>
  <si>
    <t>CUST1714</t>
  </si>
  <si>
    <t>ORD100640</t>
  </si>
  <si>
    <t>ORD100641</t>
  </si>
  <si>
    <t>CUST1705</t>
  </si>
  <si>
    <t>ORD100642</t>
  </si>
  <si>
    <t>ORD100643</t>
  </si>
  <si>
    <t>CUST1103</t>
  </si>
  <si>
    <t>ORD100644</t>
  </si>
  <si>
    <t>ORD100645</t>
  </si>
  <si>
    <t>CUST1518</t>
  </si>
  <si>
    <t>ORD100646</t>
  </si>
  <si>
    <t>ORD100647</t>
  </si>
  <si>
    <t>CUST1234</t>
  </si>
  <si>
    <t>ORD100648</t>
  </si>
  <si>
    <t>CUST1468</t>
  </si>
  <si>
    <t>ORD100649</t>
  </si>
  <si>
    <t>ORD100650</t>
  </si>
  <si>
    <t>ORD100651</t>
  </si>
  <si>
    <t>CUST1379</t>
  </si>
  <si>
    <t>ORD100652</t>
  </si>
  <si>
    <t>ORD100653</t>
  </si>
  <si>
    <t>CUST1603</t>
  </si>
  <si>
    <t>ORD100654</t>
  </si>
  <si>
    <t>CUST1542</t>
  </si>
  <si>
    <t>ORD100655</t>
  </si>
  <si>
    <t>ORD100656</t>
  </si>
  <si>
    <t>CUST1393</t>
  </si>
  <si>
    <t>ORD100657</t>
  </si>
  <si>
    <t>ORD100658</t>
  </si>
  <si>
    <t>ORD100659</t>
  </si>
  <si>
    <t>CUST1228</t>
  </si>
  <si>
    <t>ORD100660</t>
  </si>
  <si>
    <t>CUST1373</t>
  </si>
  <si>
    <t>ORD100661</t>
  </si>
  <si>
    <t>ORD100662</t>
  </si>
  <si>
    <t>ORD100663</t>
  </si>
  <si>
    <t>CUST1697</t>
  </si>
  <si>
    <t>ORD100664</t>
  </si>
  <si>
    <t>ORD100665</t>
  </si>
  <si>
    <t>ORD100666</t>
  </si>
  <si>
    <t>CUST1879</t>
  </si>
  <si>
    <t>ORD100667</t>
  </si>
  <si>
    <t>CUST1459</t>
  </si>
  <si>
    <t>ORD100668</t>
  </si>
  <si>
    <t>CUST1212</t>
  </si>
  <si>
    <t>ORD100669</t>
  </si>
  <si>
    <t>CUST1084</t>
  </si>
  <si>
    <t>ORD100670</t>
  </si>
  <si>
    <t>ORD100671</t>
  </si>
  <si>
    <t>ORD100672</t>
  </si>
  <si>
    <t>CUST1039</t>
  </si>
  <si>
    <t>ORD100673</t>
  </si>
  <si>
    <t>ORD100674</t>
  </si>
  <si>
    <t>CUST1232</t>
  </si>
  <si>
    <t>ORD100675</t>
  </si>
  <si>
    <t>CUST1475</t>
  </si>
  <si>
    <t>ORD100676</t>
  </si>
  <si>
    <t>CUST1353</t>
  </si>
  <si>
    <t>ORD100677</t>
  </si>
  <si>
    <t>ORD100678</t>
  </si>
  <si>
    <t>CUST1256</t>
  </si>
  <si>
    <t>ORD100679</t>
  </si>
  <si>
    <t>CUST1747</t>
  </si>
  <si>
    <t>ORD100680</t>
  </si>
  <si>
    <t>CUST1597</t>
  </si>
  <si>
    <t>ORD100681</t>
  </si>
  <si>
    <t>CUST1198</t>
  </si>
  <si>
    <t>ORD100682</t>
  </si>
  <si>
    <t>CUST1979</t>
  </si>
  <si>
    <t>ORD100683</t>
  </si>
  <si>
    <t>CUST1900</t>
  </si>
  <si>
    <t>ORD100684</t>
  </si>
  <si>
    <t>ORD100685</t>
  </si>
  <si>
    <t>CUST1355</t>
  </si>
  <si>
    <t>ORD100686</t>
  </si>
  <si>
    <t>CUST1639</t>
  </si>
  <si>
    <t>ORD100687</t>
  </si>
  <si>
    <t>CUST1323</t>
  </si>
  <si>
    <t>ORD100688</t>
  </si>
  <si>
    <t>CUST1981</t>
  </si>
  <si>
    <t>ORD100689</t>
  </si>
  <si>
    <t>CUST1913</t>
  </si>
  <si>
    <t>ORD100690</t>
  </si>
  <si>
    <t>CUST1677</t>
  </si>
  <si>
    <t>ORD100691</t>
  </si>
  <si>
    <t>CUST1685</t>
  </si>
  <si>
    <t>ORD100692</t>
  </si>
  <si>
    <t>ORD100693</t>
  </si>
  <si>
    <t>CUST1861</t>
  </si>
  <si>
    <t>ORD100694</t>
  </si>
  <si>
    <t>ORD100695</t>
  </si>
  <si>
    <t>ORD100696</t>
  </si>
  <si>
    <t>CUST1980</t>
  </si>
  <si>
    <t>ORD100697</t>
  </si>
  <si>
    <t>ORD100698</t>
  </si>
  <si>
    <t>CUST1584</t>
  </si>
  <si>
    <t>ORD100699</t>
  </si>
  <si>
    <t>CUST1699</t>
  </si>
  <si>
    <t>ORD100700</t>
  </si>
  <si>
    <t>ORD100701</t>
  </si>
  <si>
    <t>CUST1805</t>
  </si>
  <si>
    <t>ORD100702</t>
  </si>
  <si>
    <t>CUST1995</t>
  </si>
  <si>
    <t>ORD100703</t>
  </si>
  <si>
    <t>CUST1955</t>
  </si>
  <si>
    <t>ORD100704</t>
  </si>
  <si>
    <t>ORD100705</t>
  </si>
  <si>
    <t>CUST1874</t>
  </si>
  <si>
    <t>ORD100706</t>
  </si>
  <si>
    <t>ORD100707</t>
  </si>
  <si>
    <t>CUST1400</t>
  </si>
  <si>
    <t>ORD100708</t>
  </si>
  <si>
    <t>CUST1783</t>
  </si>
  <si>
    <t>ORD100709</t>
  </si>
  <si>
    <t>ORD100710</t>
  </si>
  <si>
    <t>CUST1927</t>
  </si>
  <si>
    <t>ORD100711</t>
  </si>
  <si>
    <t>ORD100712</t>
  </si>
  <si>
    <t>CUST1403</t>
  </si>
  <si>
    <t>ORD100713</t>
  </si>
  <si>
    <t>ORD100714</t>
  </si>
  <si>
    <t>CUST1476</t>
  </si>
  <si>
    <t>ORD100715</t>
  </si>
  <si>
    <t>CUST1870</t>
  </si>
  <si>
    <t>ORD100716</t>
  </si>
  <si>
    <t>ORD100717</t>
  </si>
  <si>
    <t>ORD100718</t>
  </si>
  <si>
    <t>CUST1365</t>
  </si>
  <si>
    <t>ORD100719</t>
  </si>
  <si>
    <t>ORD100720</t>
  </si>
  <si>
    <t>CUST1075</t>
  </si>
  <si>
    <t>ORD100721</t>
  </si>
  <si>
    <t>CUST1572</t>
  </si>
  <si>
    <t>ORD100722</t>
  </si>
  <si>
    <t>CUST1918</t>
  </si>
  <si>
    <t>ORD100723</t>
  </si>
  <si>
    <t>CUST1297</t>
  </si>
  <si>
    <t>ORD100724</t>
  </si>
  <si>
    <t>ORD100725</t>
  </si>
  <si>
    <t>CUST1096</t>
  </si>
  <si>
    <t>ORD100726</t>
  </si>
  <si>
    <t>CUST1615</t>
  </si>
  <si>
    <t>ORD100727</t>
  </si>
  <si>
    <t>ORD100728</t>
  </si>
  <si>
    <t>ORD100729</t>
  </si>
  <si>
    <t>ORD100730</t>
  </si>
  <si>
    <t>ORD100731</t>
  </si>
  <si>
    <t>ORD100732</t>
  </si>
  <si>
    <t>ORD100733</t>
  </si>
  <si>
    <t>CUST1912</t>
  </si>
  <si>
    <t>ORD100734</t>
  </si>
  <si>
    <t>ORD100735</t>
  </si>
  <si>
    <t>ORD100736</t>
  </si>
  <si>
    <t>ORD100737</t>
  </si>
  <si>
    <t>CUST1795</t>
  </si>
  <si>
    <t>ORD100738</t>
  </si>
  <si>
    <t>CUST1531</t>
  </si>
  <si>
    <t>ORD100739</t>
  </si>
  <si>
    <t>CUST1174</t>
  </si>
  <si>
    <t>ORD100740</t>
  </si>
  <si>
    <t>ORD100741</t>
  </si>
  <si>
    <t>CUST1936</t>
  </si>
  <si>
    <t>ORD100742</t>
  </si>
  <si>
    <t>CUST1627</t>
  </si>
  <si>
    <t>ORD100743</t>
  </si>
  <si>
    <t>CUST1295</t>
  </si>
  <si>
    <t>ORD100744</t>
  </si>
  <si>
    <t>CUST1521</t>
  </si>
  <si>
    <t>ORD100745</t>
  </si>
  <si>
    <t>ORD100746</t>
  </si>
  <si>
    <t>CUST1104</t>
  </si>
  <si>
    <t>ORD100747</t>
  </si>
  <si>
    <t>CUST1865</t>
  </si>
  <si>
    <t>ORD100748</t>
  </si>
  <si>
    <t>ORD100749</t>
  </si>
  <si>
    <t>ORD100750</t>
  </si>
  <si>
    <t>ORD100751</t>
  </si>
  <si>
    <t>ORD100752</t>
  </si>
  <si>
    <t>ORD100753</t>
  </si>
  <si>
    <t>CUST1241</t>
  </si>
  <si>
    <t>ORD100754</t>
  </si>
  <si>
    <t>ORD100755</t>
  </si>
  <si>
    <t>ORD100756</t>
  </si>
  <si>
    <t>CUST1482</t>
  </si>
  <si>
    <t>ORD100757</t>
  </si>
  <si>
    <t>ORD100758</t>
  </si>
  <si>
    <t>ORD100759</t>
  </si>
  <si>
    <t>ORD100760</t>
  </si>
  <si>
    <t>ORD100761</t>
  </si>
  <si>
    <t>CUST1217</t>
  </si>
  <si>
    <t>ORD100762</t>
  </si>
  <si>
    <t>ORD100763</t>
  </si>
  <si>
    <t>CUST1998</t>
  </si>
  <si>
    <t>ORD100764</t>
  </si>
  <si>
    <t>ORD100765</t>
  </si>
  <si>
    <t>ORD100766</t>
  </si>
  <si>
    <t>ORD100767</t>
  </si>
  <si>
    <t>ORD100768</t>
  </si>
  <si>
    <t>CUST1656</t>
  </si>
  <si>
    <t>ORD100769</t>
  </si>
  <si>
    <t>ORD100770</t>
  </si>
  <si>
    <t>CUST1142</t>
  </si>
  <si>
    <t>ORD100771</t>
  </si>
  <si>
    <t>CUST1438</t>
  </si>
  <si>
    <t>ORD100772</t>
  </si>
  <si>
    <t>CUST1709</t>
  </si>
  <si>
    <t>ORD100773</t>
  </si>
  <si>
    <t>CUST1735</t>
  </si>
  <si>
    <t>ORD100774</t>
  </si>
  <si>
    <t>CUST1451</t>
  </si>
  <si>
    <t>ORD100775</t>
  </si>
  <si>
    <t>CUST1077</t>
  </si>
  <si>
    <t>ORD100776</t>
  </si>
  <si>
    <t>CUST1239</t>
  </si>
  <si>
    <t>ORD100777</t>
  </si>
  <si>
    <t>CUST1204</t>
  </si>
  <si>
    <t>ORD100778</t>
  </si>
  <si>
    <t>CUST1871</t>
  </si>
  <si>
    <t>ORD100779</t>
  </si>
  <si>
    <t>ORD100780</t>
  </si>
  <si>
    <t>CUST1849</t>
  </si>
  <si>
    <t>ORD100781</t>
  </si>
  <si>
    <t>ORD100782</t>
  </si>
  <si>
    <t>ORD100783</t>
  </si>
  <si>
    <t>CUST1337</t>
  </si>
  <si>
    <t>ORD100784</t>
  </si>
  <si>
    <t>ORD100785</t>
  </si>
  <si>
    <t>CUST1924</t>
  </si>
  <si>
    <t>ORD100786</t>
  </si>
  <si>
    <t>ORD100787</t>
  </si>
  <si>
    <t>CUST1094</t>
  </si>
  <si>
    <t>ORD100788</t>
  </si>
  <si>
    <t>CUST1165</t>
  </si>
  <si>
    <t>ORD100789</t>
  </si>
  <si>
    <t>CUST1467</t>
  </si>
  <si>
    <t>ORD100790</t>
  </si>
  <si>
    <t>CUST1876</t>
  </si>
  <si>
    <t>ORD100791</t>
  </si>
  <si>
    <t>ORD100792</t>
  </si>
  <si>
    <t>CUST1599</t>
  </si>
  <si>
    <t>ORD100793</t>
  </si>
  <si>
    <t>ORD100794</t>
  </si>
  <si>
    <t>ORD100795</t>
  </si>
  <si>
    <t>ORD100796</t>
  </si>
  <si>
    <t>CUST1117</t>
  </si>
  <si>
    <t>ORD100797</t>
  </si>
  <si>
    <t>ORD100798</t>
  </si>
  <si>
    <t>CUST1097</t>
  </si>
  <si>
    <t>ORD100799</t>
  </si>
  <si>
    <t>CUST1556</t>
  </si>
  <si>
    <t>ORD100800</t>
  </si>
  <si>
    <t>ORD100801</t>
  </si>
  <si>
    <t>ORD100802</t>
  </si>
  <si>
    <t>CUST1048</t>
  </si>
  <si>
    <t>ORD100803</t>
  </si>
  <si>
    <t>ORD100804</t>
  </si>
  <si>
    <t>CUST1681</t>
  </si>
  <si>
    <t>ORD100805</t>
  </si>
  <si>
    <t>CUST1011</t>
  </si>
  <si>
    <t>ORD100806</t>
  </si>
  <si>
    <t>CUST1205</t>
  </si>
  <si>
    <t>ORD100807</t>
  </si>
  <si>
    <t>ORD100808</t>
  </si>
  <si>
    <t>CUST1823</t>
  </si>
  <si>
    <t>ORD100809</t>
  </si>
  <si>
    <t>ORD100810</t>
  </si>
  <si>
    <t>ORD100811</t>
  </si>
  <si>
    <t>ORD100812</t>
  </si>
  <si>
    <t>ORD100813</t>
  </si>
  <si>
    <t>ORD100814</t>
  </si>
  <si>
    <t>ORD100815</t>
  </si>
  <si>
    <t>CUST1126</t>
  </si>
  <si>
    <t>ORD100816</t>
  </si>
  <si>
    <t>ORD100817</t>
  </si>
  <si>
    <t>CUST1787</t>
  </si>
  <si>
    <t>ORD100818</t>
  </si>
  <si>
    <t>ORD100819</t>
  </si>
  <si>
    <t>ORD100820</t>
  </si>
  <si>
    <t>ORD100821</t>
  </si>
  <si>
    <t>ORD100822</t>
  </si>
  <si>
    <t>CUST1537</t>
  </si>
  <si>
    <t>ORD100823</t>
  </si>
  <si>
    <t>CUST1382</t>
  </si>
  <si>
    <t>ORD100824</t>
  </si>
  <si>
    <t>CUST1959</t>
  </si>
  <si>
    <t>ORD100825</t>
  </si>
  <si>
    <t>ORD100826</t>
  </si>
  <si>
    <t>ORD100827</t>
  </si>
  <si>
    <t>ORD100828</t>
  </si>
  <si>
    <t>ORD100829</t>
  </si>
  <si>
    <t>ORD100830</t>
  </si>
  <si>
    <t>ORD100831</t>
  </si>
  <si>
    <t>CUST1067</t>
  </si>
  <si>
    <t>ORD100832</t>
  </si>
  <si>
    <t>ORD100833</t>
  </si>
  <si>
    <t>ORD100834</t>
  </si>
  <si>
    <t>ORD100835</t>
  </si>
  <si>
    <t>CUST1890</t>
  </si>
  <si>
    <t>ORD100836</t>
  </si>
  <si>
    <t>ORD100837</t>
  </si>
  <si>
    <t>CUST1691</t>
  </si>
  <si>
    <t>ORD100838</t>
  </si>
  <si>
    <t>CUST1268</t>
  </si>
  <si>
    <t>ORD100839</t>
  </si>
  <si>
    <t>ORD100840</t>
  </si>
  <si>
    <t>CUST1598</t>
  </si>
  <si>
    <t>ORD100841</t>
  </si>
  <si>
    <t>ORD100842</t>
  </si>
  <si>
    <t>ORD100843</t>
  </si>
  <si>
    <t>CUST1195</t>
  </si>
  <si>
    <t>ORD100844</t>
  </si>
  <si>
    <t>ORD100845</t>
  </si>
  <si>
    <t>CUST1703</t>
  </si>
  <si>
    <t>ORD100846</t>
  </si>
  <si>
    <t>CUST1922</t>
  </si>
  <si>
    <t>ORD100847</t>
  </si>
  <si>
    <t>ORD100848</t>
  </si>
  <si>
    <t>CUST1261</t>
  </si>
  <si>
    <t>ORD100849</t>
  </si>
  <si>
    <t>ORD100850</t>
  </si>
  <si>
    <t>ORD100851</t>
  </si>
  <si>
    <t>CUST1146</t>
  </si>
  <si>
    <t>ORD100852</t>
  </si>
  <si>
    <t>CUST1226</t>
  </si>
  <si>
    <t>ORD100853</t>
  </si>
  <si>
    <t>ORD100854</t>
  </si>
  <si>
    <t>ORD100855</t>
  </si>
  <si>
    <t>CUST1056</t>
  </si>
  <si>
    <t>ORD100856</t>
  </si>
  <si>
    <t>ORD100857</t>
  </si>
  <si>
    <t>ORD100858</t>
  </si>
  <si>
    <t>CUST1485</t>
  </si>
  <si>
    <t>ORD100859</t>
  </si>
  <si>
    <t>ORD100860</t>
  </si>
  <si>
    <t>ORD100861</t>
  </si>
  <si>
    <t>ORD100862</t>
  </si>
  <si>
    <t>ORD100863</t>
  </si>
  <si>
    <t>CUST1908</t>
  </si>
  <si>
    <t>ORD100864</t>
  </si>
  <si>
    <t>ORD100865</t>
  </si>
  <si>
    <t>CUST1061</t>
  </si>
  <si>
    <t>ORD100866</t>
  </si>
  <si>
    <t>ORD100867</t>
  </si>
  <si>
    <t>CUST1112</t>
  </si>
  <si>
    <t>ORD100868</t>
  </si>
  <si>
    <t>CUST1926</t>
  </si>
  <si>
    <t>ORD100869</t>
  </si>
  <si>
    <t>CUST1640</t>
  </si>
  <si>
    <t>ORD100870</t>
  </si>
  <si>
    <t>CUST1672</t>
  </si>
  <si>
    <t>ORD100871</t>
  </si>
  <si>
    <t>CUST1005</t>
  </si>
  <si>
    <t>ORD100872</t>
  </si>
  <si>
    <t>CUST1141</t>
  </si>
  <si>
    <t>ORD100873</t>
  </si>
  <si>
    <t>CUST1847</t>
  </si>
  <si>
    <t>ORD100874</t>
  </si>
  <si>
    <t>CUST1187</t>
  </si>
  <si>
    <t>ORD100875</t>
  </si>
  <si>
    <t>ORD100876</t>
  </si>
  <si>
    <t>CUST1429</t>
  </si>
  <si>
    <t>ORD100877</t>
  </si>
  <si>
    <t>CUST1321</t>
  </si>
  <si>
    <t>ORD100878</t>
  </si>
  <si>
    <t>CUST1022</t>
  </si>
  <si>
    <t>ORD100879</t>
  </si>
  <si>
    <t>CUST1549</t>
  </si>
  <si>
    <t>ORD100880</t>
  </si>
  <si>
    <t>ORD100881</t>
  </si>
  <si>
    <t>ORD100882</t>
  </si>
  <si>
    <t>CUST1466</t>
  </si>
  <si>
    <t>ORD100883</t>
  </si>
  <si>
    <t>CUST1579</t>
  </si>
  <si>
    <t>ORD100884</t>
  </si>
  <si>
    <t>ORD100885</t>
  </si>
  <si>
    <t>ORD100886</t>
  </si>
  <si>
    <t>ORD100887</t>
  </si>
  <si>
    <t>ORD100888</t>
  </si>
  <si>
    <t>ORD100889</t>
  </si>
  <si>
    <t>ORD100890</t>
  </si>
  <si>
    <t>ORD100891</t>
  </si>
  <si>
    <t>ORD100892</t>
  </si>
  <si>
    <t>CUST1116</t>
  </si>
  <si>
    <t>ORD100893</t>
  </si>
  <si>
    <t>ORD100894</t>
  </si>
  <si>
    <t>ORD100895</t>
  </si>
  <si>
    <t>ORD100896</t>
  </si>
  <si>
    <t>ORD100897</t>
  </si>
  <si>
    <t>CUST1670</t>
  </si>
  <si>
    <t>ORD100898</t>
  </si>
  <si>
    <t>ORD100899</t>
  </si>
  <si>
    <t>ORD100900</t>
  </si>
  <si>
    <t>ORD100901</t>
  </si>
  <si>
    <t>ORD100902</t>
  </si>
  <si>
    <t>CUST1178</t>
  </si>
  <si>
    <t>ORD100903</t>
  </si>
  <si>
    <t>ORD100904</t>
  </si>
  <si>
    <t>CUST1338</t>
  </si>
  <si>
    <t>ORD100905</t>
  </si>
  <si>
    <t>CUST1881</t>
  </si>
  <si>
    <t>ORD100906</t>
  </si>
  <si>
    <t>ORD100907</t>
  </si>
  <si>
    <t>ORD100908</t>
  </si>
  <si>
    <t>ORD100909</t>
  </si>
  <si>
    <t>CUST1442</t>
  </si>
  <si>
    <t>ORD100910</t>
  </si>
  <si>
    <t>CUST1472</t>
  </si>
  <si>
    <t>ORD100911</t>
  </si>
  <si>
    <t>CUST1789</t>
  </si>
  <si>
    <t>ORD100912</t>
  </si>
  <si>
    <t>ORD100913</t>
  </si>
  <si>
    <t>CUST1718</t>
  </si>
  <si>
    <t>ORD100914</t>
  </si>
  <si>
    <t>CUST1352</t>
  </si>
  <si>
    <t>ORD100915</t>
  </si>
  <si>
    <t>ORD100916</t>
  </si>
  <si>
    <t>CUST1411</t>
  </si>
  <si>
    <t>ORD100917</t>
  </si>
  <si>
    <t>ORD100918</t>
  </si>
  <si>
    <t>CUST1316</t>
  </si>
  <si>
    <t>ORD100919</t>
  </si>
  <si>
    <t>CUST1306</t>
  </si>
  <si>
    <t>ORD100920</t>
  </si>
  <si>
    <t>CUST1319</t>
  </si>
  <si>
    <t>ORD100921</t>
  </si>
  <si>
    <t>CUST1669</t>
  </si>
  <si>
    <t>ORD100922</t>
  </si>
  <si>
    <t>ORD100923</t>
  </si>
  <si>
    <t>CUST1171</t>
  </si>
  <si>
    <t>ORD100924</t>
  </si>
  <si>
    <t>ORD100925</t>
  </si>
  <si>
    <t>ORD100926</t>
  </si>
  <si>
    <t>CUST1038</t>
  </si>
  <si>
    <t>ORD100927</t>
  </si>
  <si>
    <t>ORD100928</t>
  </si>
  <si>
    <t>ORD100929</t>
  </si>
  <si>
    <t>ORD100930</t>
  </si>
  <si>
    <t>ORD100931</t>
  </si>
  <si>
    <t>CUST1578</t>
  </si>
  <si>
    <t>ORD100932</t>
  </si>
  <si>
    <t>CUST1756</t>
  </si>
  <si>
    <t>ORD100933</t>
  </si>
  <si>
    <t>CUST1343</t>
  </si>
  <si>
    <t>ORD100934</t>
  </si>
  <si>
    <t>ORD100935</t>
  </si>
  <si>
    <t>ORD100936</t>
  </si>
  <si>
    <t>ORD100937</t>
  </si>
  <si>
    <t>ORD100938</t>
  </si>
  <si>
    <t>CUST1820</t>
  </si>
  <si>
    <t>ORD100939</t>
  </si>
  <si>
    <t>ORD100940</t>
  </si>
  <si>
    <t>ORD100941</t>
  </si>
  <si>
    <t>CUST1025</t>
  </si>
  <si>
    <t>ORD100942</t>
  </si>
  <si>
    <t>ORD100943</t>
  </si>
  <si>
    <t>ORD100944</t>
  </si>
  <si>
    <t>ORD100945</t>
  </si>
  <si>
    <t>ORD100946</t>
  </si>
  <si>
    <t>ORD100947</t>
  </si>
  <si>
    <t>CUST1838</t>
  </si>
  <si>
    <t>ORD100948</t>
  </si>
  <si>
    <t>ORD100949</t>
  </si>
  <si>
    <t>ORD100950</t>
  </si>
  <si>
    <t>CUST1463</t>
  </si>
  <si>
    <t>ORD100951</t>
  </si>
  <si>
    <t>ORD100952</t>
  </si>
  <si>
    <t>ORD100953</t>
  </si>
  <si>
    <t>CUST1003</t>
  </si>
  <si>
    <t>ORD100954</t>
  </si>
  <si>
    <t>ORD100955</t>
  </si>
  <si>
    <t>ORD100956</t>
  </si>
  <si>
    <t>ORD100957</t>
  </si>
  <si>
    <t>ORD100958</t>
  </si>
  <si>
    <t>CUST1386</t>
  </si>
  <si>
    <t>ORD100959</t>
  </si>
  <si>
    <t>CUST1969</t>
  </si>
  <si>
    <t>ORD100960</t>
  </si>
  <si>
    <t>CUST1780</t>
  </si>
  <si>
    <t>ORD100961</t>
  </si>
  <si>
    <t>ORD100962</t>
  </si>
  <si>
    <t>ORD100963</t>
  </si>
  <si>
    <t>ORD100964</t>
  </si>
  <si>
    <t>ORD100965</t>
  </si>
  <si>
    <t>ORD100966</t>
  </si>
  <si>
    <t>CUST1465</t>
  </si>
  <si>
    <t>ORD100967</t>
  </si>
  <si>
    <t>CUST1168</t>
  </si>
  <si>
    <t>ORD100968</t>
  </si>
  <si>
    <t>ORD100969</t>
  </si>
  <si>
    <t>CUST1272</t>
  </si>
  <si>
    <t>ORD100970</t>
  </si>
  <si>
    <t>CUST1510</t>
  </si>
  <si>
    <t>ORD100971</t>
  </si>
  <si>
    <t>ORD100972</t>
  </si>
  <si>
    <t>CUST1423</t>
  </si>
  <si>
    <t>ORD100973</t>
  </si>
  <si>
    <t>CUST1414</t>
  </si>
  <si>
    <t>ORD100974</t>
  </si>
  <si>
    <t>CUST1345</t>
  </si>
  <si>
    <t>ORD100975</t>
  </si>
  <si>
    <t>CUST1915</t>
  </si>
  <si>
    <t>ORD100976</t>
  </si>
  <si>
    <t>CUST1802</t>
  </si>
  <si>
    <t>ORD100977</t>
  </si>
  <si>
    <t>ORD100978</t>
  </si>
  <si>
    <t>CUST1652</t>
  </si>
  <si>
    <t>ORD100979</t>
  </si>
  <si>
    <t>ORD100980</t>
  </si>
  <si>
    <t>ORD100981</t>
  </si>
  <si>
    <t>ORD100982</t>
  </si>
  <si>
    <t>CUST1149</t>
  </si>
  <si>
    <t>ORD100983</t>
  </si>
  <si>
    <t>ORD100984</t>
  </si>
  <si>
    <t>CUST1784</t>
  </si>
  <si>
    <t>ORD100985</t>
  </si>
  <si>
    <t>CUST1492</t>
  </si>
  <si>
    <t>ORD100986</t>
  </si>
  <si>
    <t>ORD100987</t>
  </si>
  <si>
    <t>ORD100988</t>
  </si>
  <si>
    <t>ORD100989</t>
  </si>
  <si>
    <t>ORD100990</t>
  </si>
  <si>
    <t>CUST1943</t>
  </si>
  <si>
    <t>ORD100991</t>
  </si>
  <si>
    <t>ORD100992</t>
  </si>
  <si>
    <t>CUST1563</t>
  </si>
  <si>
    <t>ORD100993</t>
  </si>
  <si>
    <t>ORD100994</t>
  </si>
  <si>
    <t>ORD100995</t>
  </si>
  <si>
    <t>ORD100996</t>
  </si>
  <si>
    <t>ORD100997</t>
  </si>
  <si>
    <t>CUST1651</t>
  </si>
  <si>
    <t>ORD100998</t>
  </si>
  <si>
    <t>ORD100999</t>
  </si>
  <si>
    <t>CUST1085</t>
  </si>
  <si>
    <t>ORD101000</t>
  </si>
  <si>
    <t>ORD101001</t>
  </si>
  <si>
    <t>CUST1575</t>
  </si>
  <si>
    <t>ORD101002</t>
  </si>
  <si>
    <t>CUST1192</t>
  </si>
  <si>
    <t>ORD101003</t>
  </si>
  <si>
    <t>CUST1412</t>
  </si>
  <si>
    <t>ORD101004</t>
  </si>
  <si>
    <t>ORD101005</t>
  </si>
  <si>
    <t>CUST1216</t>
  </si>
  <si>
    <t>ORD101006</t>
  </si>
  <si>
    <t>ORD101007</t>
  </si>
  <si>
    <t>ORD101008</t>
  </si>
  <si>
    <t>ORD101009</t>
  </si>
  <si>
    <t>ORD101010</t>
  </si>
  <si>
    <t>CUST1152</t>
  </si>
  <si>
    <t>ORD101011</t>
  </si>
  <si>
    <t>ORD101012</t>
  </si>
  <si>
    <t>ORD101013</t>
  </si>
  <si>
    <t>ORD101014</t>
  </si>
  <si>
    <t>ORD101015</t>
  </si>
  <si>
    <t>ORD101016</t>
  </si>
  <si>
    <t>ORD101017</t>
  </si>
  <si>
    <t>CUST1420</t>
  </si>
  <si>
    <t>ORD101018</t>
  </si>
  <si>
    <t>CUST1525</t>
  </si>
  <si>
    <t>ORD101019</t>
  </si>
  <si>
    <t>ORD101020</t>
  </si>
  <si>
    <t>CUST1757</t>
  </si>
  <si>
    <t>ORD101021</t>
  </si>
  <si>
    <t>ORD101022</t>
  </si>
  <si>
    <t>CUST1848</t>
  </si>
  <si>
    <t>ORD101023</t>
  </si>
  <si>
    <t>ORD101024</t>
  </si>
  <si>
    <t>ORD101025</t>
  </si>
  <si>
    <t>ORD101026</t>
  </si>
  <si>
    <t>ORD101027</t>
  </si>
  <si>
    <t>ORD101028</t>
  </si>
  <si>
    <t>ORD101029</t>
  </si>
  <si>
    <t>ORD101030</t>
  </si>
  <si>
    <t>CUST1641</t>
  </si>
  <si>
    <t>ORD101031</t>
  </si>
  <si>
    <t>CUST1650</t>
  </si>
  <si>
    <t>ORD101032</t>
  </si>
  <si>
    <t>ORD101033</t>
  </si>
  <si>
    <t>CUST1490</t>
  </si>
  <si>
    <t>ORD101034</t>
  </si>
  <si>
    <t>CUST1748</t>
  </si>
  <si>
    <t>ORD101035</t>
  </si>
  <si>
    <t>ORD101036</t>
  </si>
  <si>
    <t>ORD101037</t>
  </si>
  <si>
    <t>CUST1271</t>
  </si>
  <si>
    <t>ORD101038</t>
  </si>
  <si>
    <t>CUST1654</t>
  </si>
  <si>
    <t>ORD101039</t>
  </si>
  <si>
    <t>ORD101040</t>
  </si>
  <si>
    <t>ORD101041</t>
  </si>
  <si>
    <t>CUST1380</t>
  </si>
  <si>
    <t>ORD101042</t>
  </si>
  <si>
    <t>ORD101043</t>
  </si>
  <si>
    <t>ORD101044</t>
  </si>
  <si>
    <t>ORD101045</t>
  </si>
  <si>
    <t>ORD101046</t>
  </si>
  <si>
    <t>ORD101047</t>
  </si>
  <si>
    <t>CUST1621</t>
  </si>
  <si>
    <t>ORD101048</t>
  </si>
  <si>
    <t>CUST1737</t>
  </si>
  <si>
    <t>ORD101049</t>
  </si>
  <si>
    <t>ORD101050</t>
  </si>
  <si>
    <t>ORD101051</t>
  </si>
  <si>
    <t>ORD101052</t>
  </si>
  <si>
    <t>ORD101053</t>
  </si>
  <si>
    <t>ORD101054</t>
  </si>
  <si>
    <t>ORD101055</t>
  </si>
  <si>
    <t>ORD101056</t>
  </si>
  <si>
    <t>CUST1458</t>
  </si>
  <si>
    <t>ORD101057</t>
  </si>
  <si>
    <t>CUST1236</t>
  </si>
  <si>
    <t>ORD101058</t>
  </si>
  <si>
    <t>CUST1310</t>
  </si>
  <si>
    <t>ORD101059</t>
  </si>
  <si>
    <t>ORD101060</t>
  </si>
  <si>
    <t>ORD101061</t>
  </si>
  <si>
    <t>ORD101062</t>
  </si>
  <si>
    <t>CUST1892</t>
  </si>
  <si>
    <t>ORD101063</t>
  </si>
  <si>
    <t>ORD101064</t>
  </si>
  <si>
    <t>ORD101065</t>
  </si>
  <si>
    <t>ORD101066</t>
  </si>
  <si>
    <t>ORD101067</t>
  </si>
  <si>
    <t>CUST1895</t>
  </si>
  <si>
    <t>ORD101068</t>
  </si>
  <si>
    <t>ORD101069</t>
  </si>
  <si>
    <t>ORD101070</t>
  </si>
  <si>
    <t>ORD101071</t>
  </si>
  <si>
    <t>ORD101072</t>
  </si>
  <si>
    <t>ORD101073</t>
  </si>
  <si>
    <t>ORD101074</t>
  </si>
  <si>
    <t>ORD101075</t>
  </si>
  <si>
    <t>CUST1505</t>
  </si>
  <si>
    <t>ORD101076</t>
  </si>
  <si>
    <t>ORD101077</t>
  </si>
  <si>
    <t>ORD101078</t>
  </si>
  <si>
    <t>ORD101079</t>
  </si>
  <si>
    <t>ORD101080</t>
  </si>
  <si>
    <t>ORD101081</t>
  </si>
  <si>
    <t>ORD101082</t>
  </si>
  <si>
    <t>ORD101083</t>
  </si>
  <si>
    <t>ORD101084</t>
  </si>
  <si>
    <t>ORD101085</t>
  </si>
  <si>
    <t>ORD101086</t>
  </si>
  <si>
    <t>ORD101087</t>
  </si>
  <si>
    <t>CUST1223</t>
  </si>
  <si>
    <t>ORD101088</t>
  </si>
  <si>
    <t>ORD101089</t>
  </si>
  <si>
    <t>ORD101090</t>
  </si>
  <si>
    <t>ORD101091</t>
  </si>
  <si>
    <t>ORD101092</t>
  </si>
  <si>
    <t>CUST1873</t>
  </si>
  <si>
    <t>ORD101093</t>
  </si>
  <si>
    <t>ORD101094</t>
  </si>
  <si>
    <t>CUST1330</t>
  </si>
  <si>
    <t>ORD101095</t>
  </si>
  <si>
    <t>ORD101096</t>
  </si>
  <si>
    <t>CUST1108</t>
  </si>
  <si>
    <t>ORD101097</t>
  </si>
  <si>
    <t>ORD101098</t>
  </si>
  <si>
    <t>ORD101099</t>
  </si>
  <si>
    <t>CUST1792</t>
  </si>
  <si>
    <t>ORD101100</t>
  </si>
  <si>
    <t>ORD101101</t>
  </si>
  <si>
    <t>ORD101102</t>
  </si>
  <si>
    <t>CUST1119</t>
  </si>
  <si>
    <t>ORD101103</t>
  </si>
  <si>
    <t>CUST1344</t>
  </si>
  <si>
    <t>ORD101104</t>
  </si>
  <si>
    <t>ORD101105</t>
  </si>
  <si>
    <t>ORD101106</t>
  </si>
  <si>
    <t>ORD101107</t>
  </si>
  <si>
    <t>ORD101108</t>
  </si>
  <si>
    <t>ORD101109</t>
  </si>
  <si>
    <t>ORD101110</t>
  </si>
  <si>
    <t>ORD101111</t>
  </si>
  <si>
    <t>CUST1071</t>
  </si>
  <si>
    <t>ORD101112</t>
  </si>
  <si>
    <t>ORD101113</t>
  </si>
  <si>
    <t>ORD101114</t>
  </si>
  <si>
    <t>ORD101115</t>
  </si>
  <si>
    <t>ORD101116</t>
  </si>
  <si>
    <t>ORD101117</t>
  </si>
  <si>
    <t>CUST1074</t>
  </si>
  <si>
    <t>ORD101118</t>
  </si>
  <si>
    <t>CUST1839</t>
  </si>
  <si>
    <t>ORD101119</t>
  </si>
  <si>
    <t>ORD101120</t>
  </si>
  <si>
    <t>ORD101121</t>
  </si>
  <si>
    <t>CUST1689</t>
  </si>
  <si>
    <t>ORD101122</t>
  </si>
  <si>
    <t>ORD101123</t>
  </si>
  <si>
    <t>CUST1457</t>
  </si>
  <si>
    <t>ORD101124</t>
  </si>
  <si>
    <t>CUST1334</t>
  </si>
  <si>
    <t>ORD101125</t>
  </si>
  <si>
    <t>ORD101126</t>
  </si>
  <si>
    <t>ORD101127</t>
  </si>
  <si>
    <t>ORD101128</t>
  </si>
  <si>
    <t>CUST1007</t>
  </si>
  <si>
    <t>ORD101129</t>
  </si>
  <si>
    <t>ORD101130</t>
  </si>
  <si>
    <t>CUST1734</t>
  </si>
  <si>
    <t>ORD101131</t>
  </si>
  <si>
    <t>CUST1218</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</si>
  <si>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</si>
  <si>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</si>
  <si>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</si>
  <si>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</si>
  <si>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</si>
  <si>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</si>
  <si>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</si>
  <si>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</si>
  <si>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</si>
  <si>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</si>
  <si>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</si>
  <si>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</si>
  <si>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</si>
  <si>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</si>
  <si>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</si>
  <si>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</si>
  <si>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CUST1688</t>
  </si>
  <si>
    <t>ORD101148</t>
  </si>
  <si>
    <t>CUST1883</t>
  </si>
  <si>
    <t>ORD101149</t>
  </si>
  <si>
    <t>ORD101150</t>
  </si>
  <si>
    <t>ORD101151</t>
  </si>
  <si>
    <t>ORD101152</t>
  </si>
  <si>
    <t>ORD101153</t>
  </si>
  <si>
    <t>ORD101154</t>
  </si>
  <si>
    <t>ORD101155</t>
  </si>
  <si>
    <t>ORD101156</t>
  </si>
  <si>
    <t>ORD101157</t>
  </si>
  <si>
    <t>ORD101158</t>
  </si>
  <si>
    <t>ORD101159</t>
  </si>
  <si>
    <t>ORD101160</t>
  </si>
  <si>
    <t>ORD101161</t>
  </si>
  <si>
    <t>CUST1189</t>
  </si>
  <si>
    <t>ORD101162</t>
  </si>
  <si>
    <t>CUST1111</t>
  </si>
  <si>
    <t>ORD101163</t>
  </si>
  <si>
    <t>CUST1647</t>
  </si>
  <si>
    <t>ORD101164</t>
  </si>
  <si>
    <t>CUST1985</t>
  </si>
  <si>
    <t>ORD101165</t>
  </si>
  <si>
    <t>ORD101166</t>
  </si>
  <si>
    <t>ORD101167</t>
  </si>
  <si>
    <t>CUST1750</t>
  </si>
  <si>
    <t>ORD101168</t>
  </si>
  <si>
    <t>ORD101169</t>
  </si>
  <si>
    <t>CUST1941</t>
  </si>
  <si>
    <t>ORD101170</t>
  </si>
  <si>
    <t>ORD101171</t>
  </si>
  <si>
    <t>CUST1715</t>
  </si>
  <si>
    <t>ORD101172</t>
  </si>
  <si>
    <t>ORD101173</t>
  </si>
  <si>
    <t>ORD101174</t>
  </si>
  <si>
    <t>ORD101175</t>
  </si>
  <si>
    <t>ORD101176</t>
  </si>
  <si>
    <t>ORD101177</t>
  </si>
  <si>
    <t>ORD101178</t>
  </si>
  <si>
    <t>ORD101179</t>
  </si>
  <si>
    <t>CUST1091</t>
  </si>
  <si>
    <t>ORD101180</t>
  </si>
  <si>
    <t>ORD101181</t>
  </si>
  <si>
    <t>ORD101182</t>
  </si>
  <si>
    <t>ORD101183</t>
  </si>
  <si>
    <t>ORD101184</t>
  </si>
  <si>
    <t>ORD101185</t>
  </si>
  <si>
    <t>CUST1215</t>
  </si>
  <si>
    <t>ORD101186</t>
  </si>
  <si>
    <t>ORD101187</t>
  </si>
  <si>
    <t>ORD101188</t>
  </si>
  <si>
    <t>ORD101189</t>
  </si>
  <si>
    <t>ORD101190</t>
  </si>
  <si>
    <t>ORD101191</t>
  </si>
  <si>
    <t>ORD101192</t>
  </si>
  <si>
    <t>CUST1081</t>
  </si>
  <si>
    <t>ORD101193</t>
  </si>
  <si>
    <t>ORD101194</t>
  </si>
  <si>
    <t>ORD101195</t>
  </si>
  <si>
    <t>ORD101196</t>
  </si>
  <si>
    <t>ORD101197</t>
  </si>
  <si>
    <t>ORD101198</t>
  </si>
  <si>
    <t>CUST1244</t>
  </si>
  <si>
    <t>ORD101199</t>
  </si>
  <si>
    <t>ORD101200</t>
  </si>
  <si>
    <t>CUST1798</t>
  </si>
  <si>
    <t>ORD101201</t>
  </si>
  <si>
    <t>CUST1064</t>
  </si>
  <si>
    <t>ORD101202</t>
  </si>
  <si>
    <t>ORD101203</t>
  </si>
  <si>
    <t>ORD101204</t>
  </si>
  <si>
    <t>ORD101205</t>
  </si>
  <si>
    <t>ORD101206</t>
  </si>
  <si>
    <t>ORD101207</t>
  </si>
  <si>
    <t>CUST1929</t>
  </si>
  <si>
    <t>ORD101208</t>
  </si>
  <si>
    <t>ORD101209</t>
  </si>
  <si>
    <t>ORD101210</t>
  </si>
  <si>
    <t>CUST1487</t>
  </si>
  <si>
    <t>ORD101211</t>
  </si>
  <si>
    <t>ORD101212</t>
  </si>
  <si>
    <t>ORD101213</t>
  </si>
  <si>
    <t>ORD101214</t>
  </si>
  <si>
    <t>ORD101215</t>
  </si>
  <si>
    <t>CUST1988</t>
  </si>
  <si>
    <t>ORD101216</t>
  </si>
  <si>
    <t>ORD101217</t>
  </si>
  <si>
    <t>ORD101218</t>
  </si>
  <si>
    <t>ORD101219</t>
  </si>
  <si>
    <t>ORD101220</t>
  </si>
  <si>
    <t>ORD101221</t>
  </si>
  <si>
    <t>ORD101222</t>
  </si>
  <si>
    <t>ORD101223</t>
  </si>
  <si>
    <t>ORD101224</t>
  </si>
  <si>
    <t>ORD101225</t>
  </si>
  <si>
    <t>CUST1486</t>
  </si>
  <si>
    <t>ORD101226</t>
  </si>
  <si>
    <t>ORD101227</t>
  </si>
  <si>
    <t>ORD101228</t>
  </si>
  <si>
    <t>CUST1948</t>
  </si>
  <si>
    <t>ORD101229</t>
  </si>
  <si>
    <t>ORD101230</t>
  </si>
  <si>
    <t>ORD101231</t>
  </si>
  <si>
    <t>ORD101232</t>
  </si>
  <si>
    <t>ORD101233</t>
  </si>
  <si>
    <t>ORD101234</t>
  </si>
  <si>
    <t>ORD101235</t>
  </si>
  <si>
    <t>CUST1406</t>
  </si>
  <si>
    <t>ORD101236</t>
  </si>
  <si>
    <t>ORD101237</t>
  </si>
  <si>
    <t>CUST1776</t>
  </si>
  <si>
    <t>ORD101238</t>
  </si>
  <si>
    <t>ORD101239</t>
  </si>
  <si>
    <t>ORD101240</t>
  </si>
  <si>
    <t>ORD101241</t>
  </si>
  <si>
    <t>ORD101242</t>
  </si>
  <si>
    <t>ORD101243</t>
  </si>
  <si>
    <t>ORD101244</t>
  </si>
  <si>
    <t>ORD101245</t>
  </si>
  <si>
    <t>CUST1856</t>
  </si>
  <si>
    <t>ORD101246</t>
  </si>
  <si>
    <t>ORD101247</t>
  </si>
  <si>
    <t>CUST1109</t>
  </si>
  <si>
    <t>ORD101248</t>
  </si>
  <si>
    <t>ORD101249</t>
  </si>
  <si>
    <t>ORD101250</t>
  </si>
  <si>
    <t>ORD101251</t>
  </si>
  <si>
    <t>CUST1110</t>
  </si>
  <si>
    <t>ORD101252</t>
  </si>
  <si>
    <t>CUST1932</t>
  </si>
  <si>
    <t>ORD101253</t>
  </si>
  <si>
    <t>ORD101254</t>
  </si>
  <si>
    <t>ORD101255</t>
  </si>
  <si>
    <t>CUST1449</t>
  </si>
  <si>
    <t>ORD101256</t>
  </si>
  <si>
    <t>ORD101257</t>
  </si>
  <si>
    <t>CUST1607</t>
  </si>
  <si>
    <t>ORD101258</t>
  </si>
  <si>
    <t>ORD101259</t>
  </si>
  <si>
    <t>CUST1889</t>
  </si>
  <si>
    <t>ORD101260</t>
  </si>
  <si>
    <t>CUST1778</t>
  </si>
  <si>
    <t>ORD101261</t>
  </si>
  <si>
    <t>CUST1161</t>
  </si>
  <si>
    <t>ORD101262</t>
  </si>
  <si>
    <t>CUST1333</t>
  </si>
  <si>
    <t>ORD101263</t>
  </si>
  <si>
    <t>CUST1363</t>
  </si>
  <si>
    <t>ORD101264</t>
  </si>
  <si>
    <t>CUST1893</t>
  </si>
  <si>
    <t>ORD101265</t>
  </si>
  <si>
    <t>ORD101266</t>
  </si>
  <si>
    <t>ORD101267</t>
  </si>
  <si>
    <t>ORD101268</t>
  </si>
  <si>
    <t>ORD101269</t>
  </si>
  <si>
    <t>ORD101270</t>
  </si>
  <si>
    <t>CUST1073</t>
  </si>
  <si>
    <t>ORD101271</t>
  </si>
  <si>
    <t>ORD101272</t>
  </si>
  <si>
    <t>ORD101273</t>
  </si>
  <si>
    <t>ORD101274</t>
  </si>
  <si>
    <t>ORD101275</t>
  </si>
  <si>
    <t>ORD101276</t>
  </si>
  <si>
    <t>CUST1566</t>
  </si>
  <si>
    <t>ORD101277</t>
  </si>
  <si>
    <t>ORD101278</t>
  </si>
  <si>
    <t>CUST1571</t>
  </si>
  <si>
    <t>ORD101279</t>
  </si>
  <si>
    <t>ORD101280</t>
  </si>
  <si>
    <t>ORD101281</t>
  </si>
  <si>
    <t>ORD101282</t>
  </si>
  <si>
    <t>ORD101283</t>
  </si>
  <si>
    <t>ORD101284</t>
  </si>
  <si>
    <t>CUST1139</t>
  </si>
  <si>
    <t>ORD101285</t>
  </si>
  <si>
    <t>CUST1391</t>
  </si>
  <si>
    <t>ORD101286</t>
  </si>
  <si>
    <t>CUST1471</t>
  </si>
  <si>
    <t>ORD101287</t>
  </si>
  <si>
    <t>ORD101288</t>
  </si>
  <si>
    <t>CUST1357</t>
  </si>
  <si>
    <t>ORD101289</t>
  </si>
  <si>
    <t>ORD101290</t>
  </si>
  <si>
    <t>ORD101291</t>
  </si>
  <si>
    <t>CUST1683</t>
  </si>
  <si>
    <t>ORD101292</t>
  </si>
  <si>
    <t>ORD101293</t>
  </si>
  <si>
    <t>CUST1721</t>
  </si>
  <si>
    <t>ORD101294</t>
  </si>
  <si>
    <t>CUST1274</t>
  </si>
  <si>
    <t>ORD101295</t>
  </si>
  <si>
    <t>ORD101296</t>
  </si>
  <si>
    <t>ORD101297</t>
  </si>
  <si>
    <t>ORD101298</t>
  </si>
  <si>
    <t>ORD101299</t>
  </si>
  <si>
    <t>ORD101300</t>
  </si>
  <si>
    <t>ORD101301</t>
  </si>
  <si>
    <t>ORD101302</t>
  </si>
  <si>
    <t>CUST1441</t>
  </si>
  <si>
    <t>ORD101303</t>
  </si>
  <si>
    <t>CUST1193</t>
  </si>
  <si>
    <t>ORD101304</t>
  </si>
  <si>
    <t>ORD101305</t>
  </si>
  <si>
    <t>CUST1419</t>
  </si>
  <si>
    <t>ORD101306</t>
  </si>
  <si>
    <t>CUST1635</t>
  </si>
  <si>
    <t>ORD101307</t>
  </si>
  <si>
    <t>ORD101308</t>
  </si>
  <si>
    <t>ORD101309</t>
  </si>
  <si>
    <t>ORD101310</t>
  </si>
  <si>
    <t>CUST1608</t>
  </si>
  <si>
    <t>ORD101311</t>
  </si>
  <si>
    <t>ORD101312</t>
  </si>
  <si>
    <t>ORD101313</t>
  </si>
  <si>
    <t>ORD101314</t>
  </si>
  <si>
    <t>CUST1249</t>
  </si>
  <si>
    <t>ORD101315</t>
  </si>
  <si>
    <t>ORD101316</t>
  </si>
  <si>
    <t>ORD101317</t>
  </si>
  <si>
    <t>CUST1830</t>
  </si>
  <si>
    <t>ORD101318</t>
  </si>
  <si>
    <t>ORD101319</t>
  </si>
  <si>
    <t>ORD101320</t>
  </si>
  <si>
    <t>ORD101321</t>
  </si>
  <si>
    <t>CUST1540</t>
  </si>
  <si>
    <t>ORD101322</t>
  </si>
  <si>
    <t>ORD101323</t>
  </si>
  <si>
    <t>CUST1937</t>
  </si>
  <si>
    <t>ORD101324</t>
  </si>
  <si>
    <t>ORD101325</t>
  </si>
  <si>
    <t>CUST1535</t>
  </si>
  <si>
    <t>ORD101326</t>
  </si>
  <si>
    <t>ORD101327</t>
  </si>
  <si>
    <t>ORD101328</t>
  </si>
  <si>
    <t>CUST1092</t>
  </si>
  <si>
    <t>ORD101329</t>
  </si>
  <si>
    <t>CUST1294</t>
  </si>
  <si>
    <t>ORD101330</t>
  </si>
  <si>
    <t>ORD101331</t>
  </si>
  <si>
    <t>ORD101332</t>
  </si>
  <si>
    <t>ORD101333</t>
  </si>
  <si>
    <t>ORD101334</t>
  </si>
  <si>
    <t>ORD101335</t>
  </si>
  <si>
    <t>ORD101336</t>
  </si>
  <si>
    <t>ORD101337</t>
  </si>
  <si>
    <t>ORD101338</t>
  </si>
  <si>
    <t>CUST1974</t>
  </si>
  <si>
    <t>ORD101339</t>
  </si>
  <si>
    <t>ORD101340</t>
  </si>
  <si>
    <t>CUST1208</t>
  </si>
  <si>
    <t>ORD101341</t>
  </si>
  <si>
    <t>ORD101342</t>
  </si>
  <si>
    <t>ORD101343</t>
  </si>
  <si>
    <t>ORD101344</t>
  </si>
  <si>
    <t>ORD101345</t>
  </si>
  <si>
    <t>ORD101346</t>
  </si>
  <si>
    <t>CUST1016</t>
  </si>
  <si>
    <t>ORD101347</t>
  </si>
  <si>
    <t>CUST1763</t>
  </si>
  <si>
    <t>ORD101348</t>
  </si>
  <si>
    <t>CUST1591</t>
  </si>
  <si>
    <t>ORD101349</t>
  </si>
  <si>
    <t>ORD101350</t>
  </si>
  <si>
    <t>ORD101351</t>
  </si>
  <si>
    <t>ORD101352</t>
  </si>
  <si>
    <t>CUST1201</t>
  </si>
  <si>
    <t>ORD101353</t>
  </si>
  <si>
    <t>ORD101354</t>
  </si>
  <si>
    <t>CUST1618</t>
  </si>
  <si>
    <t>ORD101355</t>
  </si>
  <si>
    <t>CUST1725</t>
  </si>
  <si>
    <t>ORD101356</t>
  </si>
  <si>
    <t>CUST1311</t>
  </si>
  <si>
    <t>ORD101357</t>
  </si>
  <si>
    <t>CUST1935</t>
  </si>
  <si>
    <t>ORD101358</t>
  </si>
  <si>
    <t>ORD101359</t>
  </si>
  <si>
    <t>ORD101360</t>
  </si>
  <si>
    <t>CUST1888</t>
  </si>
  <si>
    <t>ORD101361</t>
  </si>
  <si>
    <t>CUST1944</t>
  </si>
  <si>
    <t>ORD101362</t>
  </si>
  <si>
    <t>ORD101363</t>
  </si>
  <si>
    <t>ORD101364</t>
  </si>
  <si>
    <t>ORD101365</t>
  </si>
  <si>
    <t>ORD101366</t>
  </si>
  <si>
    <t>ORD101367</t>
  </si>
  <si>
    <t>ORD101368</t>
  </si>
  <si>
    <t>CUST1992</t>
  </si>
  <si>
    <t>ORD101369</t>
  </si>
  <si>
    <t>ORD101370</t>
  </si>
  <si>
    <t>CUST1415</t>
  </si>
  <si>
    <t>ORD101371</t>
  </si>
  <si>
    <t>CUST1513</t>
  </si>
  <si>
    <t>ORD101372</t>
  </si>
  <si>
    <t>ORD101373</t>
  </si>
  <si>
    <t>ORD101374</t>
  </si>
  <si>
    <t>ORD101375</t>
  </si>
  <si>
    <t>ORD101376</t>
  </si>
  <si>
    <t>CUST1153</t>
  </si>
  <si>
    <t>ORD101377</t>
  </si>
  <si>
    <t>ORD101378</t>
  </si>
  <si>
    <t>ORD101379</t>
  </si>
  <si>
    <t>ORD101380</t>
  </si>
  <si>
    <t>ORD101381</t>
  </si>
  <si>
    <t>ORD101382</t>
  </si>
  <si>
    <t>ORD101383</t>
  </si>
  <si>
    <t>ORD101384</t>
  </si>
  <si>
    <t>ORD101385</t>
  </si>
  <si>
    <t>ORD101386</t>
  </si>
  <si>
    <t>CUST1973</t>
  </si>
  <si>
    <t>ORD101387</t>
  </si>
  <si>
    <t>ORD101388</t>
  </si>
  <si>
    <t>CUST1833</t>
  </si>
  <si>
    <t>ORD101389</t>
  </si>
  <si>
    <t>ORD101390</t>
  </si>
  <si>
    <t>ORD101391</t>
  </si>
  <si>
    <t>ORD101392</t>
  </si>
  <si>
    <t>ORD101393</t>
  </si>
  <si>
    <t>CUST1041</t>
  </si>
  <si>
    <t>ORD101394</t>
  </si>
  <si>
    <t>CUST1430</t>
  </si>
  <si>
    <t>ORD101395</t>
  </si>
  <si>
    <t>ORD101396</t>
  </si>
  <si>
    <t>ORD101397</t>
  </si>
  <si>
    <t>CUST1970</t>
  </si>
  <si>
    <t>ORD101398</t>
  </si>
  <si>
    <t>ORD101399</t>
  </si>
  <si>
    <t>ORD101400</t>
  </si>
  <si>
    <t>ORD101401</t>
  </si>
  <si>
    <t>ORD101402</t>
  </si>
  <si>
    <t>ORD101403</t>
  </si>
  <si>
    <t>CUST1053</t>
  </si>
  <si>
    <t>ORD101404</t>
  </si>
  <si>
    <t>ORD101405</t>
  </si>
  <si>
    <t>ORD101406</t>
  </si>
  <si>
    <t>CUST1850</t>
  </si>
  <si>
    <t>ORD101407</t>
  </si>
  <si>
    <t>ORD101408</t>
  </si>
  <si>
    <t>ORD101409</t>
  </si>
  <si>
    <t>ORD101410</t>
  </si>
  <si>
    <t>ORD101411</t>
  </si>
  <si>
    <t>CUST1324</t>
  </si>
  <si>
    <t>ORD101412</t>
  </si>
  <si>
    <t>ORD101413</t>
  </si>
  <si>
    <t>ORD101414</t>
  </si>
  <si>
    <t>ORD101415</t>
  </si>
  <si>
    <t>CUST1616</t>
  </si>
  <si>
    <t>ORD101416</t>
  </si>
  <si>
    <t>ORD101417</t>
  </si>
  <si>
    <t>ORD101418</t>
  </si>
  <si>
    <t>CUST1342</t>
  </si>
  <si>
    <t>ORD101419</t>
  </si>
  <si>
    <t>ORD101420</t>
  </si>
  <si>
    <t>ORD101421</t>
  </si>
  <si>
    <t>ORD101422</t>
  </si>
  <si>
    <t>ORD101423</t>
  </si>
  <si>
    <t>ORD101424</t>
  </si>
  <si>
    <t>ORD101425</t>
  </si>
  <si>
    <t>ORD101426</t>
  </si>
  <si>
    <t>ORD101427</t>
  </si>
  <si>
    <t>CUST1054</t>
  </si>
  <si>
    <t>ORD101428</t>
  </si>
  <si>
    <t>ORD101429</t>
  </si>
  <si>
    <t>CUST1842</t>
  </si>
  <si>
    <t>ORD101430</t>
  </si>
  <si>
    <t>ORD101431</t>
  </si>
  <si>
    <t>ORD101432</t>
  </si>
  <si>
    <t>ORD101433</t>
  </si>
  <si>
    <t>ORD101434</t>
  </si>
  <si>
    <t>ORD101435</t>
  </si>
  <si>
    <t>CUST1962</t>
  </si>
  <si>
    <t>ORD101436</t>
  </si>
  <si>
    <t>CUST1701</t>
  </si>
  <si>
    <t>ORD101437</t>
  </si>
  <si>
    <t>ORD101438</t>
  </si>
  <si>
    <t>ORD101439</t>
  </si>
  <si>
    <t>ORD101440</t>
  </si>
  <si>
    <t>ORD101441</t>
  </si>
  <si>
    <t>ORD101442</t>
  </si>
  <si>
    <t>ORD101443</t>
  </si>
  <si>
    <t>ORD101444</t>
  </si>
  <si>
    <t>ORD101445</t>
  </si>
  <si>
    <t>ORD101446</t>
  </si>
  <si>
    <t>ORD101447</t>
  </si>
  <si>
    <t>ORD101448</t>
  </si>
  <si>
    <t>ORD101449</t>
  </si>
  <si>
    <t>ORD101450</t>
  </si>
  <si>
    <t>CUST1825</t>
  </si>
  <si>
    <t>ORD101451</t>
  </si>
  <si>
    <t>ORD101452</t>
  </si>
  <si>
    <t>ORD101453</t>
  </si>
  <si>
    <t>ORD101454</t>
  </si>
  <si>
    <t>ORD101455</t>
  </si>
  <si>
    <t>ORD101456</t>
  </si>
  <si>
    <t>ORD101457</t>
  </si>
  <si>
    <t>ORD101458</t>
  </si>
  <si>
    <t>ORD101459</t>
  </si>
  <si>
    <t>CUST1708</t>
  </si>
  <si>
    <t>ORD101460</t>
  </si>
  <si>
    <t>ORD101461</t>
  </si>
  <si>
    <t>ORD101462</t>
  </si>
  <si>
    <t>ORD101463</t>
  </si>
  <si>
    <t>ORD101464</t>
  </si>
  <si>
    <t>ORD101465</t>
  </si>
  <si>
    <t>CUST1560</t>
  </si>
  <si>
    <t>ORD101466</t>
  </si>
  <si>
    <t>ORD101467</t>
  </si>
  <si>
    <t>ORD101468</t>
  </si>
  <si>
    <t>ORD101469</t>
  </si>
  <si>
    <t>ORD101470</t>
  </si>
  <si>
    <t>ORD101471</t>
  </si>
  <si>
    <t>ORD101472</t>
  </si>
  <si>
    <t>CUST1990</t>
  </si>
  <si>
    <t>ORD101473</t>
  </si>
  <si>
    <t>ORD101474</t>
  </si>
  <si>
    <t>ORD101475</t>
  </si>
  <si>
    <t>CUST1585</t>
  </si>
  <si>
    <t>ORD101476</t>
  </si>
  <si>
    <t>CUST1806</t>
  </si>
  <si>
    <t>ORD101477</t>
  </si>
  <si>
    <t>ORD101478</t>
  </si>
  <si>
    <t>ORD101479</t>
  </si>
  <si>
    <t>CUST1046</t>
  </si>
  <si>
    <t>ORD101480</t>
  </si>
  <si>
    <t>ORD101481</t>
  </si>
  <si>
    <t>ORD101482</t>
  </si>
  <si>
    <t>ORD101483</t>
  </si>
  <si>
    <t>ORD101484</t>
  </si>
  <si>
    <t>ORD101485</t>
  </si>
  <si>
    <t>ORD101486</t>
  </si>
  <si>
    <t>ORD101487</t>
  </si>
  <si>
    <t>ORD101488</t>
  </si>
  <si>
    <t>ORD101489</t>
  </si>
  <si>
    <t>ORD101490</t>
  </si>
  <si>
    <t>ORD101491</t>
  </si>
  <si>
    <t>ORD101492</t>
  </si>
  <si>
    <t>CUST1069</t>
  </si>
  <si>
    <t>ORD101493</t>
  </si>
  <si>
    <t>ORD101494</t>
  </si>
  <si>
    <t>CUST1729</t>
  </si>
  <si>
    <t>ORD101495</t>
  </si>
  <si>
    <t>ORD101496</t>
  </si>
  <si>
    <t>ORD101497</t>
  </si>
  <si>
    <t>ORD101498</t>
  </si>
  <si>
    <t>CUST1326</t>
  </si>
  <si>
    <t>ORD101499</t>
  </si>
  <si>
    <t>ORD101500</t>
  </si>
  <si>
    <t>ORD101501</t>
  </si>
  <si>
    <t>Column</t>
  </si>
  <si>
    <t>Description</t>
  </si>
  <si>
    <t>Unique order number</t>
  </si>
  <si>
    <t>Date of purchase</t>
  </si>
  <si>
    <t>Decathlon branch</t>
  </si>
  <si>
    <t>Store city</t>
  </si>
  <si>
    <t>Sales region</t>
  </si>
  <si>
    <t>Unique customer ID</t>
  </si>
  <si>
    <t>Customer gender</t>
  </si>
  <si>
    <t>Customer age bucket</t>
  </si>
  <si>
    <t>Loyalty membership</t>
  </si>
  <si>
    <t>Product category</t>
  </si>
  <si>
    <t>Product name</t>
  </si>
  <si>
    <t>Units sold</t>
  </si>
  <si>
    <t>Selling price per unit</t>
  </si>
  <si>
    <t>Discount applied</t>
  </si>
  <si>
    <t>Net sales amount</t>
  </si>
  <si>
    <t>Estimated cost</t>
  </si>
  <si>
    <t>Sales - Cost</t>
  </si>
  <si>
    <t>Mode of payment</t>
  </si>
  <si>
    <t>Handled by</t>
  </si>
  <si>
    <t>1-5 rating</t>
  </si>
  <si>
    <t xml:space="preserve">  PIVOT TABLES  —  DATA ENGINE</t>
  </si>
  <si>
    <t>Grand Total</t>
  </si>
  <si>
    <t>Total Sales</t>
  </si>
  <si>
    <t>Monthly Sales</t>
  </si>
  <si>
    <t>Sales by Sport</t>
  </si>
  <si>
    <t>Sales by Region</t>
  </si>
  <si>
    <t>Sales by City</t>
  </si>
  <si>
    <t>Sales by Brand</t>
  </si>
  <si>
    <t>Sales by Salesperson</t>
  </si>
  <si>
    <t>Total Profit</t>
  </si>
  <si>
    <t>Orders</t>
  </si>
  <si>
    <t>Rating</t>
  </si>
  <si>
    <t>PROFIT MARGIN</t>
  </si>
  <si>
    <t>TOTAL ORDERS</t>
  </si>
  <si>
    <t>AVG RATING</t>
  </si>
  <si>
    <t>Retail Sales Analytics  ·  Financial Year 2025</t>
  </si>
  <si>
    <t>FY 2025</t>
  </si>
  <si>
    <t>TOTAL SALES</t>
  </si>
  <si>
    <t>Gross revenue, FY25</t>
  </si>
  <si>
    <t>TOTAL PROFIT</t>
  </si>
  <si>
    <t>Net profit, FY25</t>
  </si>
  <si>
    <t>Profit ÷ Sales</t>
  </si>
  <si>
    <t>Transactions</t>
  </si>
  <si>
    <t>AVG ORDER VALUE</t>
  </si>
  <si>
    <t>Sales ÷ Orders</t>
  </si>
  <si>
    <t>Out of 5.0</t>
  </si>
  <si>
    <t>FILTERS</t>
  </si>
  <si>
    <t>Source: Decathlon Retail Sales Dataset (FY2025)   ·   Built with Excel PivotTables, PivotCharts &amp; Slicers</t>
  </si>
  <si>
    <t xml:space="preserve">                        Decathlon  —  Retail Sales Dashboard</t>
  </si>
  <si>
    <t xml:space="preserve">Salesperson </t>
  </si>
  <si>
    <t>Section</t>
  </si>
  <si>
    <t>Observation</t>
  </si>
  <si>
    <t>Business Impact</t>
  </si>
  <si>
    <t>Recommendation</t>
  </si>
  <si>
    <t>Executive Summary</t>
  </si>
  <si>
    <t>The dashboard provides a complete overview of Decathlon's retail performance across stores, products, customers, and payment methods.</t>
  </si>
  <si>
    <t>Helps management monitor business performance from one place.</t>
  </si>
  <si>
    <t>Use this dashboard for monthly and quarterly business review meetings.</t>
  </si>
  <si>
    <t>Sales Performance</t>
  </si>
  <si>
    <t>Sales vary across product categories and stores.</t>
  </si>
  <si>
    <t>Identifies high-performing and low-performing business areas.</t>
  </si>
  <si>
    <t>Increase inventory for high-demand products and review the performance of low-selling categories.</t>
  </si>
  <si>
    <t>Profitability</t>
  </si>
  <si>
    <t>Profit does not always increase with sales because discounts reduce margins.</t>
  </si>
  <si>
    <t>High sales with low margins affect business profitability.</t>
  </si>
  <si>
    <t>Monitor discount strategies and focus on improving profit margins.</t>
  </si>
  <si>
    <t>Customer Behaviour</t>
  </si>
  <si>
    <t>Customers use multiple payment methods and belong to different membership types.</t>
  </si>
  <si>
    <t>Understanding customer preferences improves customer experience.</t>
  </si>
  <si>
    <t>Promote loyalty memberships and digital payment offers.</t>
  </si>
  <si>
    <t>Product Performance</t>
  </si>
  <si>
    <t>Certain sports categories contribute significantly more revenue than others.</t>
  </si>
  <si>
    <t>Identifies best-selling categories for inventory planning.</t>
  </si>
  <si>
    <t>Prioritize stock availability for top-performing categories.</t>
  </si>
  <si>
    <t>Store Performance</t>
  </si>
  <si>
    <t>Some stores consistently outperform others.</t>
  </si>
  <si>
    <t>Helps identify best practices and improvement opportunities.</t>
  </si>
  <si>
    <t>Study top-performing stores and replicate their strategies.</t>
  </si>
  <si>
    <t>Sales Trend</t>
  </si>
  <si>
    <t>Monthly sales trends help identify seasonal demand.</t>
  </si>
  <si>
    <t>Useful for planning promotions and inventory.</t>
  </si>
  <si>
    <t>Increase marketing during peak demand months.</t>
  </si>
  <si>
    <t>Customer Satisfaction</t>
  </si>
  <si>
    <t>Average customer ratings indicate overall shopping experience.</t>
  </si>
  <si>
    <t>Higher satisfaction improves customer retention.</t>
  </si>
  <si>
    <t>Focus on service quality and post-purchase support.</t>
  </si>
  <si>
    <t>Operational Efficiency</t>
  </si>
  <si>
    <t>Interactive slicers allow quick analysis by store, category, region, and payment method.</t>
  </si>
  <si>
    <t>Reduces manual reporting effort.</t>
  </si>
  <si>
    <t>Use dashboard for daily operational monitoring.</t>
  </si>
  <si>
    <t>Overall Recommendation</t>
  </si>
  <si>
    <t>The dashboard enables data-driven retail decision-making.</t>
  </si>
  <si>
    <t>Supports management with faster and more accurate decisions.</t>
  </si>
  <si>
    <t>Regularly update the dashboard using new transactional data.</t>
  </si>
  <si>
    <t>No.</t>
  </si>
  <si>
    <t>Insight</t>
  </si>
  <si>
    <t>Total sales and profit can be monitored in real time using KPI cards.</t>
  </si>
  <si>
    <t>Monthly sales trends help identify seasonal demand patterns.</t>
  </si>
  <si>
    <t>Product categories contribute differently to total revenue and profit.</t>
  </si>
  <si>
    <t>Store-wise analysis helps identify high and low performing branches.</t>
  </si>
  <si>
    <t>Customer ratings provide insight into customer satisfaction.</t>
  </si>
  <si>
    <t>Discounts have a direct impact on profitability.</t>
  </si>
  <si>
    <t>Membership analysis can support customer retention strategies.</t>
  </si>
  <si>
    <t>Payment method analysis helps understand customer purchasing behavior.</t>
  </si>
  <si>
    <t>Interactive slicers make dashboard exploration easier for management.</t>
  </si>
  <si>
    <t>The dashboard converts raw sales data into actionable business intelligence.</t>
  </si>
  <si>
    <t>This dashboard provides an interactive overview of Decathlon's retail sales performance for FY2025.</t>
  </si>
  <si>
    <t>It enables management to monitor sales, profit, customer behavior, store performance, and product performance through dynamic visualizations and KPI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</si>
</sst>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0"/>
    <numFmt numFmtId="166" formatCode="&quot;₹&quot;#,##0.0,,&quot;M&quot;"/>
    <numFmt numFmtId="167" formatCode="0.0%"/>
    <numFmt numFmtId="168" formatCode="&quot;₹&quot;#,##0"/>
  </numFmts>
  <fonts count="14" x14ac:knownFonts="1">
    <font>
      <sz val="11"/>
      <color theme="1"/>
      <name val="Calibri"/>
      <family val="2"/>
      <scheme val="minor"/>
    </font>
    <font>
      <b/>
      <sz val="10"/>
      <color rgb="FFFFFFFF"/>
      <name val="Calibri"/>
    </font>
    <font>
      <sz val="9"/>
      <name val="Calibri"/>
    </font>
    <font>
      <b/>
      <sz val="11"/>
      <color rgb="FFFFFFFF"/>
      <name val="Calibri"/>
    </font>
    <font>
      <b/>
      <sz val="14"/>
      <color rgb="FFFFFFFF"/>
      <name val="Calibri"/>
      <family val="2"/>
      <scheme val="minor"/>
    </font>
    <font>
      <b/>
      <sz val="11"/>
      <color rgb="FF0F1E3D"/>
      <name val="Calibri"/>
      <family val="2"/>
      <scheme val="minor"/>
    </font>
    <font>
      <b/>
      <sz val="19"/>
      <color rgb="FF1A2332"/>
      <name val="Segoe UI"/>
      <family val="2"/>
    </font>
    <font>
      <sz val="10.5"/>
      <color rgb="FF788091"/>
      <name val="Segoe UI"/>
      <family val="2"/>
    </font>
    <font>
      <b/>
      <sz val="11"/>
      <color rgb="FFFFFFFF"/>
      <name val="Segoe UI"/>
      <family val="2"/>
    </font>
    <font>
      <b/>
      <sz val="8.5"/>
      <color rgb="FF788091"/>
      <name val="Segoe UI"/>
      <family val="2"/>
    </font>
    <font>
      <b/>
      <sz val="21"/>
      <color rgb="FF1A2332"/>
      <name val="Segoe UI"/>
      <family val="2"/>
    </font>
    <font>
      <sz val="8.5"/>
      <color rgb="FF788091"/>
      <name val="Segoe UI"/>
      <family val="2"/>
    </font>
    <font>
      <b/>
      <sz val="9"/>
      <color rgb="FF788091"/>
      <name val="Segoe UI"/>
      <family val="2"/>
    </font>
    <font>
      <b/>
      <sz val="11"/>
      <color theme="1"/>
      <name val="Calibri"/>
      <family val="2"/>
      <scheme val="minor"/>
    </font>
  </fonts>
  <fills count="10">
    <fill>
      <patternFill patternType="none"/>
    </fill>
    <fill>
      <patternFill patternType="gray125"/>
    </fill>
    <fill>
      <patternFill patternType="solid">
        <fgColor rgb="FF0F1E3D"/>
      </patternFill>
    </fill>
    <fill>
      <patternFill patternType="solid">
        <fgColor rgb="FFF7F9FC"/>
      </patternFill>
    </fill>
    <fill>
      <patternFill patternType="solid">
        <fgColor rgb="FF0082C3"/>
      </patternFill>
    </fill>
    <fill>
      <patternFill patternType="solid">
        <fgColor rgb="FFFFFFFF"/>
        <bgColor indexed="64"/>
      </patternFill>
    </fill>
    <fill>
      <patternFill patternType="solid">
        <fgColor rgb="FF0F1E3D"/>
        <bgColor indexed="64"/>
      </patternFill>
    </fill>
    <fill>
      <patternFill patternType="solid">
        <fgColor rgb="FF0082C3"/>
        <bgColor indexed="64"/>
      </patternFill>
    </fill>
    <fill>
      <patternFill patternType="solid">
        <fgColor rgb="FFF5F6F8"/>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D5DAE5"/>
      </left>
      <right style="thin">
        <color rgb="FFD5DAE5"/>
      </right>
      <top style="thin">
        <color rgb="FFD5DAE5"/>
      </top>
      <bottom style="thin">
        <color rgb="FFD5DAE5"/>
      </bottom>
      <diagonal/>
    </border>
    <border>
      <left/>
      <right/>
      <top style="thin">
        <color rgb="FFE4E7EE"/>
      </top>
      <bottom/>
      <diagonal/>
    </border>
    <border>
      <left/>
      <right style="thin">
        <color rgb="FFE4E7EE"/>
      </right>
      <top style="thin">
        <color rgb="FFE4E7EE"/>
      </top>
      <bottom/>
      <diagonal/>
    </border>
    <border>
      <left/>
      <right style="thin">
        <color rgb="FFE4E7EE"/>
      </right>
      <top/>
      <bottom/>
      <diagonal/>
    </border>
    <border>
      <left/>
      <right/>
      <top/>
      <bottom style="thin">
        <color rgb="FFE4E7EE"/>
      </bottom>
      <diagonal/>
    </border>
    <border>
      <left/>
      <right style="thin">
        <color rgb="FFE4E7EE"/>
      </right>
      <top/>
      <bottom style="thin">
        <color rgb="FFE4E7EE"/>
      </bottom>
      <diagonal/>
    </border>
    <border>
      <left style="thick">
        <color rgb="FF0082C3"/>
      </left>
      <right/>
      <top style="thin">
        <color rgb="FFE4E7EE"/>
      </top>
      <bottom/>
      <diagonal/>
    </border>
    <border>
      <left style="thick">
        <color rgb="FF0082C3"/>
      </left>
      <right/>
      <top/>
      <bottom/>
      <diagonal/>
    </border>
    <border>
      <left style="thick">
        <color rgb="FF0082C3"/>
      </left>
      <right/>
      <top/>
      <bottom style="thin">
        <color rgb="FFE4E7EE"/>
      </bottom>
      <diagonal/>
    </border>
    <border>
      <left/>
      <right/>
      <top/>
      <bottom style="thin">
        <color indexed="64"/>
      </bottom>
      <diagonal/>
    </border>
  </borders>
  <cellStyleXfs count="1">
    <xf numFmtId="0" fontId="0" fillId="0" borderId="0"/>
  </cellStyleXfs>
  <cellXfs count="49">
    <xf numFmtId="0" fontId="0" fillId="0" borderId="0" xfId="0"/>
    <xf numFmtId="0" fontId="3" fillId="4" borderId="1" xfId="0" applyFont="1" applyFill="1" applyBorder="1" applyAlignment="1">
      <alignment horizontal="center" vertical="top"/>
    </xf>
    <xf numFmtId="0" fontId="0" fillId="5" borderId="0" xfId="0" applyFill="1"/>
    <xf numFmtId="0" fontId="0" fillId="0" borderId="0" xfId="0" pivotButton="1"/>
    <xf numFmtId="0" fontId="0" fillId="0" borderId="0" xfId="0" applyAlignment="1">
      <alignment horizontal="left"/>
    </xf>
    <xf numFmtId="165" fontId="0" fillId="0" borderId="0" xfId="0" applyNumberFormat="1"/>
    <xf numFmtId="0" fontId="5" fillId="5" borderId="0" xfId="0" applyFont="1" applyFill="1" applyAlignment="1">
      <alignment horizontal="left" vertical="center"/>
    </xf>
    <xf numFmtId="0" fontId="1" fillId="2" borderId="2" xfId="0" applyFont="1" applyFill="1" applyBorder="1" applyAlignment="1">
      <alignment vertical="center" wrapText="1"/>
    </xf>
    <xf numFmtId="0" fontId="2" fillId="3" borderId="2" xfId="0" applyFont="1" applyFill="1" applyBorder="1"/>
    <xf numFmtId="164" fontId="2" fillId="3" borderId="2" xfId="0" applyNumberFormat="1" applyFont="1" applyFill="1" applyBorder="1"/>
    <xf numFmtId="165" fontId="2" fillId="3" borderId="2" xfId="0" applyNumberFormat="1" applyFont="1" applyFill="1" applyBorder="1"/>
    <xf numFmtId="9" fontId="2" fillId="3" borderId="2" xfId="0" applyNumberFormat="1" applyFont="1" applyFill="1" applyBorder="1"/>
    <xf numFmtId="0" fontId="2" fillId="0" borderId="2" xfId="0" applyFont="1" applyBorder="1"/>
    <xf numFmtId="164" fontId="2" fillId="0" borderId="2" xfId="0" applyNumberFormat="1" applyFont="1" applyBorder="1"/>
    <xf numFmtId="165" fontId="2" fillId="0" borderId="2" xfId="0" applyNumberFormat="1" applyFont="1" applyBorder="1"/>
    <xf numFmtId="9" fontId="2" fillId="0" borderId="2" xfId="0" applyNumberFormat="1" applyFont="1" applyBorder="1"/>
    <xf numFmtId="0" fontId="0" fillId="8" borderId="0" xfId="0" applyFill="1"/>
    <xf numFmtId="0" fontId="0" fillId="7" borderId="0" xfId="0" applyFill="1"/>
    <xf numFmtId="0" fontId="0" fillId="8" borderId="0" xfId="0" applyFill="1" applyAlignment="1">
      <alignment horizontal="center"/>
    </xf>
    <xf numFmtId="0" fontId="8" fillId="7" borderId="0" xfId="0" applyFont="1" applyFill="1" applyAlignment="1">
      <alignment horizontal="center" vertical="center"/>
    </xf>
    <xf numFmtId="0" fontId="0" fillId="7" borderId="0" xfId="0" applyFill="1" applyAlignment="1">
      <alignment horizontal="center" vertical="center"/>
    </xf>
    <xf numFmtId="0" fontId="9" fillId="5" borderId="8" xfId="0" applyFont="1" applyFill="1" applyBorder="1" applyAlignment="1">
      <alignment horizontal="left" vertical="center" indent="1"/>
    </xf>
    <xf numFmtId="0" fontId="9" fillId="5" borderId="3" xfId="0" applyFont="1" applyFill="1" applyBorder="1" applyAlignment="1">
      <alignment horizontal="left" vertical="center" indent="1"/>
    </xf>
    <xf numFmtId="0" fontId="9" fillId="5" borderId="4" xfId="0" applyFont="1" applyFill="1" applyBorder="1" applyAlignment="1">
      <alignment horizontal="left" vertical="center" indent="1"/>
    </xf>
    <xf numFmtId="166" fontId="10" fillId="5" borderId="9" xfId="0" applyNumberFormat="1" applyFont="1" applyFill="1" applyBorder="1" applyAlignment="1">
      <alignment horizontal="left" vertical="center" indent="1"/>
    </xf>
    <xf numFmtId="0" fontId="10" fillId="5" borderId="0" xfId="0" applyFont="1" applyFill="1" applyAlignment="1">
      <alignment horizontal="left" vertical="center" indent="1"/>
    </xf>
    <xf numFmtId="0" fontId="10" fillId="5" borderId="5" xfId="0" applyFont="1" applyFill="1" applyBorder="1" applyAlignment="1">
      <alignment horizontal="left" vertical="center" indent="1"/>
    </xf>
    <xf numFmtId="0" fontId="10" fillId="5" borderId="9" xfId="0" applyFont="1" applyFill="1" applyBorder="1" applyAlignment="1">
      <alignment horizontal="left" vertical="center" indent="1"/>
    </xf>
    <xf numFmtId="0" fontId="6" fillId="5" borderId="0" xfId="0" applyFont="1" applyFill="1" applyAlignment="1">
      <alignment horizontal="center" vertical="center"/>
    </xf>
    <xf numFmtId="0" fontId="7" fillId="5" borderId="11" xfId="0" applyFont="1" applyFill="1" applyBorder="1" applyAlignment="1">
      <alignment horizontal="center" vertical="center"/>
    </xf>
    <xf numFmtId="2" fontId="10" fillId="5" borderId="9" xfId="0" applyNumberFormat="1" applyFont="1" applyFill="1" applyBorder="1" applyAlignment="1">
      <alignment horizontal="left" vertical="center" indent="1"/>
    </xf>
    <xf numFmtId="0" fontId="11" fillId="5" borderId="9" xfId="0" applyFont="1" applyFill="1" applyBorder="1" applyAlignment="1">
      <alignment horizontal="left" vertical="center" indent="1"/>
    </xf>
    <xf numFmtId="0" fontId="11" fillId="5" borderId="0" xfId="0" applyFont="1" applyFill="1" applyAlignment="1">
      <alignment horizontal="left" vertical="center" indent="1"/>
    </xf>
    <xf numFmtId="0" fontId="11" fillId="5" borderId="5" xfId="0" applyFont="1" applyFill="1" applyBorder="1" applyAlignment="1">
      <alignment horizontal="left" vertical="center" indent="1"/>
    </xf>
    <xf numFmtId="0" fontId="11" fillId="5" borderId="10" xfId="0" applyFont="1" applyFill="1" applyBorder="1" applyAlignment="1">
      <alignment horizontal="left" vertical="center" indent="1"/>
    </xf>
    <xf numFmtId="0" fontId="11" fillId="5" borderId="6" xfId="0" applyFont="1" applyFill="1" applyBorder="1" applyAlignment="1">
      <alignment horizontal="left" vertical="center" indent="1"/>
    </xf>
    <xf numFmtId="0" fontId="11" fillId="5" borderId="7" xfId="0" applyFont="1" applyFill="1" applyBorder="1" applyAlignment="1">
      <alignment horizontal="left" vertical="center" indent="1"/>
    </xf>
    <xf numFmtId="0" fontId="12" fillId="8" borderId="0" xfId="0" applyFont="1" applyFill="1" applyAlignment="1">
      <alignment horizontal="left" vertical="center" indent="1"/>
    </xf>
    <xf numFmtId="167" fontId="10" fillId="5" borderId="9" xfId="0" applyNumberFormat="1" applyFont="1" applyFill="1" applyBorder="1" applyAlignment="1">
      <alignment horizontal="left" vertical="center" indent="1"/>
    </xf>
    <xf numFmtId="3" fontId="10" fillId="5" borderId="9" xfId="0" applyNumberFormat="1" applyFont="1" applyFill="1" applyBorder="1" applyAlignment="1">
      <alignment horizontal="left" vertical="center" indent="1"/>
    </xf>
    <xf numFmtId="168" fontId="10" fillId="5" borderId="9" xfId="0" applyNumberFormat="1" applyFont="1" applyFill="1" applyBorder="1" applyAlignment="1">
      <alignment horizontal="left" vertical="center" indent="1"/>
    </xf>
    <xf numFmtId="0" fontId="4" fillId="6" borderId="0" xfId="0" applyFont="1" applyFill="1" applyAlignment="1">
      <alignment horizontal="left" vertical="center"/>
    </xf>
    <xf numFmtId="0" fontId="0" fillId="6" borderId="0" xfId="0" applyFill="1" applyAlignment="1">
      <alignment horizontal="left" vertical="center"/>
    </xf>
    <xf numFmtId="0" fontId="0" fillId="0" borderId="0" xfId="0" applyNumberFormat="1"/>
    <xf numFmtId="0" fontId="0" fillId="0" borderId="0" xfId="0" applyBorder="1" applyAlignment="1">
      <alignment vertical="center" wrapText="1"/>
    </xf>
    <xf numFmtId="0" fontId="0" fillId="0" borderId="0" xfId="0" applyAlignment="1">
      <alignment wrapText="1"/>
    </xf>
    <xf numFmtId="0" fontId="13" fillId="0" borderId="0" xfId="0" applyFont="1" applyBorder="1" applyAlignment="1">
      <alignment horizontal="center" vertical="center" wrapText="1"/>
    </xf>
    <xf numFmtId="0" fontId="0" fillId="0" borderId="0" xfId="0" applyBorder="1" applyAlignment="1">
      <alignment horizontal="center" vertical="center" wrapText="1"/>
    </xf>
    <xf numFmtId="0" fontId="13" fillId="9" borderId="0" xfId="0" applyFont="1" applyFill="1" applyBorder="1" applyAlignment="1">
      <alignment horizontal="center" vertical="center" wrapText="1"/>
    </xf>
  </cellXfs>
  <cellStyles count="1">
    <cellStyle name="Normal" xfId="0" builtinId="0"/>
  </cellStyles>
  <dxfs count="12">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[Decathlon_Sales_Dashboard.xlsx]Pivots!pMonth</c:name>
    <c:fmtId val="2"/>
  </c:pivotSource>
  <c:chart>
    <c:title>
      <c:tx>
        <c:rich>
          <a:bodyPr/>
          <a:lstStyle/>
          <a:p>
            <a:pPr>
              <a:defRPr/>
            </a:pPr>
            <a:r>
              <a:rPr lang="en-IN"/>
              <a:t>Monthly Sales Trend</a:t>
            </a:r>
          </a:p>
        </c:rich>
      </c:tx>
      <c:layout>
        <c:manualLayout>
          <c:xMode val="edge"/>
          <c:yMode val="edge"/>
          <c:x val="0.32761900740503108"/>
          <c:y val="5.3333436320475387E-2"/>
        </c:manualLayout>
      </c:layout>
      <c:overlay val="0"/>
    </c:title>
    <c:autoTitleDeleted val="0"/>
    <c:pivotFmts>
      <c:pivotFmt>
        <c:idx val="0"/>
        <c:spPr>
          <a:solidFill>
            <a:srgbClr val="0082C3">
              <a:alpha val="30000"/>
            </a:srgbClr>
          </a:solidFill>
          <a:ln w="28575">
            <a:solidFill>
              <a:srgbClr val="0082C3"/>
            </a:solidFill>
          </a:ln>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Pivots!$C$4</c:f>
              <c:strCache>
                <c:ptCount val="1"/>
                <c:pt idx="0">
                  <c:v>Total</c:v>
                </c:pt>
              </c:strCache>
            </c:strRef>
          </c:tx>
          <c:spPr>
            <a:solidFill>
              <a:srgbClr val="0082C3">
                <a:alpha val="30000"/>
              </a:srgbClr>
            </a:solidFill>
            <a:ln w="28575">
              <a:solidFill>
                <a:srgbClr val="0082C3"/>
              </a:solidFill>
            </a:ln>
          </c:spPr>
          <c:cat>
            <c:strRef>
              <c:f>Pivots!$B$5:$B$17</c:f>
              <c:strCache>
                <c:ptCount val="12"/>
                <c:pt idx="0">
                  <c:v>01 Jan</c:v>
                </c:pt>
                <c:pt idx="1">
                  <c:v>02 Feb</c:v>
                </c:pt>
                <c:pt idx="2">
                  <c:v>03 Mar</c:v>
                </c:pt>
                <c:pt idx="3">
                  <c:v>04 Apr</c:v>
                </c:pt>
                <c:pt idx="4">
                  <c:v>05 May</c:v>
                </c:pt>
                <c:pt idx="5">
                  <c:v>06 Jun</c:v>
                </c:pt>
                <c:pt idx="6">
                  <c:v>07 Jul</c:v>
                </c:pt>
                <c:pt idx="7">
                  <c:v>08 Aug</c:v>
                </c:pt>
                <c:pt idx="8">
                  <c:v>09 Sep</c:v>
                </c:pt>
                <c:pt idx="9">
                  <c:v>10 Oct</c:v>
                </c:pt>
                <c:pt idx="10">
                  <c:v>11 Nov</c:v>
                </c:pt>
                <c:pt idx="11">
                  <c:v>12 Dec</c:v>
                </c:pt>
              </c:strCache>
            </c:strRef>
          </c:cat>
          <c:val>
            <c:numRef>
              <c:f>Pivots!$C$5:$C$17</c:f>
              <c:numCache>
                <c:formatCode>\₹#,##0</c:formatCode>
                <c:ptCount val="12"/>
                <c:pt idx="0">
                  <c:v>780539.43000000017</c:v>
                </c:pt>
                <c:pt idx="1">
                  <c:v>1090284.7500000002</c:v>
                </c:pt>
                <c:pt idx="2">
                  <c:v>1200522.0400000003</c:v>
                </c:pt>
                <c:pt idx="3">
                  <c:v>1244716.2899999998</c:v>
                </c:pt>
                <c:pt idx="4">
                  <c:v>926971.19999999972</c:v>
                </c:pt>
                <c:pt idx="5">
                  <c:v>1213417.3999999992</c:v>
                </c:pt>
                <c:pt idx="6">
                  <c:v>889116.92000000027</c:v>
                </c:pt>
                <c:pt idx="7">
                  <c:v>711331.87999999989</c:v>
                </c:pt>
                <c:pt idx="8">
                  <c:v>1071376.8200000003</c:v>
                </c:pt>
                <c:pt idx="9">
                  <c:v>1053989.6400000001</c:v>
                </c:pt>
                <c:pt idx="10">
                  <c:v>981409.67999999982</c:v>
                </c:pt>
                <c:pt idx="11">
                  <c:v>823320.5900000002</c:v>
                </c:pt>
              </c:numCache>
            </c:numRef>
          </c:val>
          <c:extLst>
            <c:ext xmlns:c16="http://schemas.microsoft.com/office/drawing/2014/chart" uri="{C3380CC4-5D6E-409C-BE32-E72D297353CC}">
              <c16:uniqueId val="{00000002-5D92-45CD-80D9-9E2C299537AF}"/>
            </c:ext>
          </c:extLst>
        </c:ser>
        <c:dLbls>
          <c:showLegendKey val="0"/>
          <c:showVal val="0"/>
          <c:showCatName val="0"/>
          <c:showSerName val="0"/>
          <c:showPercent val="0"/>
          <c:showBubbleSize val="0"/>
        </c:dLbls>
        <c:axId val="1663038991"/>
        <c:axId val="1569139887"/>
      </c:areaChart>
      <c:catAx>
        <c:axId val="1663038991"/>
        <c:scaling>
          <c:orientation val="minMax"/>
        </c:scaling>
        <c:delete val="0"/>
        <c:axPos val="b"/>
        <c:numFmt formatCode="General" sourceLinked="1"/>
        <c:majorTickMark val="none"/>
        <c:minorTickMark val="none"/>
        <c:tickLblPos val="nextTo"/>
        <c:spPr>
          <a:ln>
            <a:solidFill>
              <a:srgbClr val="E4E7EE"/>
            </a:solidFill>
          </a:ln>
        </c:spPr>
        <c:txPr>
          <a:bodyPr/>
          <a:lstStyle/>
          <a:p>
            <a:pPr>
              <a:defRPr sz="800">
                <a:solidFill>
                  <a:srgbClr val="1A2332"/>
                </a:solidFill>
              </a:defRPr>
            </a:pPr>
            <a:endParaRPr lang="en-US"/>
          </a:p>
        </c:txPr>
        <c:crossAx val="1569139887"/>
        <c:crosses val="autoZero"/>
        <c:auto val="1"/>
        <c:lblAlgn val="ctr"/>
        <c:lblOffset val="100"/>
        <c:noMultiLvlLbl val="0"/>
      </c:catAx>
      <c:valAx>
        <c:axId val="1569139887"/>
        <c:scaling>
          <c:orientation val="minMax"/>
        </c:scaling>
        <c:delete val="0"/>
        <c:axPos val="l"/>
        <c:majorGridlines>
          <c:spPr>
            <a:ln>
              <a:solidFill>
                <a:srgbClr val="EEF0F5"/>
              </a:solidFill>
            </a:ln>
          </c:spPr>
        </c:majorGridlines>
        <c:numFmt formatCode="\₹#,##0" sourceLinked="1"/>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800">
                <a:solidFill>
                  <a:srgbClr val="788091"/>
                </a:solidFill>
              </a:defRPr>
            </a:pPr>
            <a:endParaRPr lang="en-US"/>
          </a:p>
        </c:txPr>
        <c:crossAx val="1663038991"/>
        <c:crosses val="autoZero"/>
        <c:crossBetween val="midCat"/>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[Decathlon_Sales_Dashboard.xlsx]Pivots!pSport</c:name>
    <c:fmtId val="2"/>
  </c:pivotSource>
  <c:chart>
    <c:title>
      <c:tx>
        <c:rich>
          <a:bodyPr/>
          <a:lstStyle/>
          <a:p>
            <a:pPr>
              <a:defRPr/>
            </a:pPr>
            <a:r>
              <a:rPr lang="en-IN"/>
              <a:t>Sales by Sport Category</a:t>
            </a:r>
          </a:p>
        </c:rich>
      </c:tx>
      <c:layout>
        <c:manualLayout>
          <c:xMode val="edge"/>
          <c:yMode val="edge"/>
          <c:x val="0.3080000411948568"/>
          <c:y val="4.6793752799962923E-2"/>
        </c:manualLayout>
      </c:layout>
      <c:overlay val="0"/>
    </c:title>
    <c:autoTitleDeleted val="0"/>
    <c:pivotFmts>
      <c:pivotFmt>
        <c:idx val="0"/>
        <c:spPr>
          <a:solidFill>
            <a:srgbClr val="0082C3"/>
          </a:solidFill>
        </c:spPr>
        <c:marker>
          <c:symbol val="none"/>
        </c:marker>
        <c:dLbl>
          <c:idx val="0"/>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c:spPr>
      </c:pivotFmt>
    </c:pivotFmts>
    <c:plotArea>
      <c:layout/>
      <c:barChart>
        <c:barDir val="bar"/>
        <c:grouping val="clustered"/>
        <c:varyColors val="0"/>
        <c:ser>
          <c:idx val="0"/>
          <c:order val="0"/>
          <c:tx>
            <c:strRef>
              <c:f>Pivots!$G$4</c:f>
              <c:strCache>
                <c:ptCount val="1"/>
                <c:pt idx="0">
                  <c:v>Total</c:v>
                </c:pt>
              </c:strCache>
            </c:strRef>
          </c:tx>
          <c:spPr>
            <a:solidFill>
              <a:srgbClr val="0082C3"/>
            </a:solidFill>
          </c:spPr>
          <c:invertIfNegative val="0"/>
          <c:dPt>
            <c:idx val="0"/>
            <c:invertIfNegative val="0"/>
            <c:bubble3D val="0"/>
            <c:spPr>
              <a:solidFill>
                <a:srgbClr val="F5A623"/>
              </a:solidFill>
            </c:spPr>
            <c:extLst>
              <c:ext xmlns:c16="http://schemas.microsoft.com/office/drawing/2014/chart" uri="{C3380CC4-5D6E-409C-BE32-E72D297353CC}">
                <c16:uniqueId val="{00000003-000E-4B3B-9544-398DA3011A4E}"/>
              </c:ext>
            </c:extLst>
          </c:dPt>
          <c:dLbls>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Pivots!$F$5:$F$11</c:f>
              <c:strCache>
                <c:ptCount val="6"/>
                <c:pt idx="0">
                  <c:v>Cycling</c:v>
                </c:pt>
                <c:pt idx="1">
                  <c:v>Hiking</c:v>
                </c:pt>
                <c:pt idx="2">
                  <c:v>Running</c:v>
                </c:pt>
                <c:pt idx="3">
                  <c:v>Football</c:v>
                </c:pt>
                <c:pt idx="4">
                  <c:v>Yoga</c:v>
                </c:pt>
                <c:pt idx="5">
                  <c:v>Swimming</c:v>
                </c:pt>
              </c:strCache>
            </c:strRef>
          </c:cat>
          <c:val>
            <c:numRef>
              <c:f>Pivots!$G$5:$G$11</c:f>
              <c:numCache>
                <c:formatCode>\₹#,##0</c:formatCode>
                <c:ptCount val="6"/>
                <c:pt idx="0">
                  <c:v>6231088.4500000011</c:v>
                </c:pt>
                <c:pt idx="1">
                  <c:v>1689794.6499999992</c:v>
                </c:pt>
                <c:pt idx="2">
                  <c:v>1459057.7700000016</c:v>
                </c:pt>
                <c:pt idx="3">
                  <c:v>1311109.8799999994</c:v>
                </c:pt>
                <c:pt idx="4">
                  <c:v>744785.51000000071</c:v>
                </c:pt>
                <c:pt idx="5">
                  <c:v>551160.37999999977</c:v>
                </c:pt>
              </c:numCache>
            </c:numRef>
          </c:val>
          <c:extLst>
            <c:ext xmlns:c16="http://schemas.microsoft.com/office/drawing/2014/chart" uri="{C3380CC4-5D6E-409C-BE32-E72D297353CC}">
              <c16:uniqueId val="{00000002-000E-4B3B-9544-398DA3011A4E}"/>
            </c:ext>
          </c:extLst>
        </c:ser>
        <c:dLbls>
          <c:showLegendKey val="0"/>
          <c:showVal val="0"/>
          <c:showCatName val="0"/>
          <c:showSerName val="0"/>
          <c:showPercent val="0"/>
          <c:showBubbleSize val="0"/>
        </c:dLbls>
        <c:gapWidth val="70"/>
        <c:axId val="1665132895"/>
        <c:axId val="1569144687"/>
      </c:barChart>
      <c:catAx>
        <c:axId val="1665132895"/>
        <c:scaling>
          <c:orientation val="maxMin"/>
        </c:scaling>
        <c:delete val="0"/>
        <c:axPos val="l"/>
        <c:numFmt formatCode="General" sourceLinked="1"/>
        <c:majorTickMark val="none"/>
        <c:minorTickMark val="none"/>
        <c:tickLblPos val="nextTo"/>
        <c:spPr>
          <a:ln>
            <a:solidFill>
              <a:srgbClr val="E4E7EE"/>
            </a:solidFill>
          </a:ln>
        </c:spPr>
        <c:txPr>
          <a:bodyPr/>
          <a:lstStyle/>
          <a:p>
            <a:pPr>
              <a:defRPr sz="850">
                <a:solidFill>
                  <a:srgbClr val="1A2332"/>
                </a:solidFill>
              </a:defRPr>
            </a:pPr>
            <a:endParaRPr lang="en-US"/>
          </a:p>
        </c:txPr>
        <c:crossAx val="1569144687"/>
        <c:crosses val="autoZero"/>
        <c:auto val="1"/>
        <c:lblAlgn val="ctr"/>
        <c:lblOffset val="100"/>
        <c:noMultiLvlLbl val="0"/>
      </c:catAx>
      <c:valAx>
        <c:axId val="1569144687"/>
        <c:scaling>
          <c:orientation val="minMax"/>
        </c:scaling>
        <c:delete val="0"/>
        <c:axPos val="t"/>
        <c:numFmt formatCode="\₹#,##0"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1665132895"/>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[Decathlon_Sales_Dashboard.xlsx]Pivots!pReg</c:name>
    <c:fmtId val="2"/>
  </c:pivotSource>
  <c:chart>
    <c:title>
      <c:tx>
        <c:rich>
          <a:bodyPr/>
          <a:lstStyle/>
          <a:p>
            <a:pPr>
              <a:defRPr/>
            </a:pPr>
            <a:r>
              <a:rPr lang="en-IN"/>
              <a:t>Sales by Region</a:t>
            </a:r>
          </a:p>
        </c:rich>
      </c:tx>
      <c:layout>
        <c:manualLayout>
          <c:xMode val="edge"/>
          <c:yMode val="edge"/>
          <c:x val="0.37339678026231332"/>
          <c:y val="5.3333436320475387E-2"/>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568C"/>
          </a:solidFill>
        </c:spPr>
      </c:pivotFmt>
      <c:pivotFmt>
        <c:idx val="2"/>
        <c:spPr>
          <a:solidFill>
            <a:srgbClr val="0082C3"/>
          </a:solidFill>
        </c:spPr>
      </c:pivotFmt>
      <c:pivotFmt>
        <c:idx val="3"/>
        <c:spPr>
          <a:solidFill>
            <a:srgbClr val="78BEE1"/>
          </a:solidFill>
        </c:spPr>
      </c:pivotFmt>
    </c:pivotFmts>
    <c:plotArea>
      <c:layout/>
      <c:doughnutChart>
        <c:varyColors val="1"/>
        <c:ser>
          <c:idx val="0"/>
          <c:order val="0"/>
          <c:tx>
            <c:strRef>
              <c:f>Pivots!$K$4</c:f>
              <c:strCache>
                <c:ptCount val="1"/>
                <c:pt idx="0">
                  <c:v>Total</c:v>
                </c:pt>
              </c:strCache>
            </c:strRef>
          </c:tx>
          <c:dPt>
            <c:idx val="0"/>
            <c:bubble3D val="0"/>
            <c:spPr>
              <a:solidFill>
                <a:srgbClr val="00568C"/>
              </a:solidFill>
            </c:spPr>
            <c:extLst>
              <c:ext xmlns:c16="http://schemas.microsoft.com/office/drawing/2014/chart" uri="{C3380CC4-5D6E-409C-BE32-E72D297353CC}">
                <c16:uniqueId val="{00000003-6AD4-44CD-B7F8-F896B39A067F}"/>
              </c:ext>
            </c:extLst>
          </c:dPt>
          <c:dPt>
            <c:idx val="1"/>
            <c:bubble3D val="0"/>
            <c:spPr>
              <a:solidFill>
                <a:srgbClr val="0082C3"/>
              </a:solidFill>
            </c:spPr>
            <c:extLst>
              <c:ext xmlns:c16="http://schemas.microsoft.com/office/drawing/2014/chart" uri="{C3380CC4-5D6E-409C-BE32-E72D297353CC}">
                <c16:uniqueId val="{00000004-6AD4-44CD-B7F8-F896B39A067F}"/>
              </c:ext>
            </c:extLst>
          </c:dPt>
          <c:dPt>
            <c:idx val="2"/>
            <c:bubble3D val="0"/>
            <c:spPr>
              <a:solidFill>
                <a:srgbClr val="78BEE1"/>
              </a:solidFill>
            </c:spPr>
            <c:extLst>
              <c:ext xmlns:c16="http://schemas.microsoft.com/office/drawing/2014/chart" uri="{C3380CC4-5D6E-409C-BE32-E72D297353CC}">
                <c16:uniqueId val="{00000005-6AD4-44CD-B7F8-F896B39A067F}"/>
              </c:ext>
            </c:extLst>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Pivots!$J$5:$J$8</c:f>
              <c:strCache>
                <c:ptCount val="3"/>
                <c:pt idx="0">
                  <c:v>North</c:v>
                </c:pt>
                <c:pt idx="1">
                  <c:v>West</c:v>
                </c:pt>
                <c:pt idx="2">
                  <c:v>South</c:v>
                </c:pt>
              </c:strCache>
            </c:strRef>
          </c:cat>
          <c:val>
            <c:numRef>
              <c:f>Pivots!$K$5:$K$8</c:f>
              <c:numCache>
                <c:formatCode>\₹#,##0</c:formatCode>
                <c:ptCount val="3"/>
                <c:pt idx="0">
                  <c:v>4930077.5699999956</c:v>
                </c:pt>
                <c:pt idx="1">
                  <c:v>3844277.1999999993</c:v>
                </c:pt>
                <c:pt idx="2">
                  <c:v>3212641.870000002</c:v>
                </c:pt>
              </c:numCache>
            </c:numRef>
          </c:val>
          <c:extLst>
            <c:ext xmlns:c16="http://schemas.microsoft.com/office/drawing/2014/chart" uri="{C3380CC4-5D6E-409C-BE32-E72D297353CC}">
              <c16:uniqueId val="{00000002-6AD4-44CD-B7F8-F896B39A067F}"/>
            </c:ext>
          </c:extLst>
        </c:ser>
        <c:dLbls>
          <c:showLegendKey val="0"/>
          <c:showVal val="0"/>
          <c:showCatName val="0"/>
          <c:showSerName val="0"/>
          <c:showPercent val="0"/>
          <c:showBubbleSize val="0"/>
          <c:showLeaderLines val="0"/>
        </c:dLbls>
        <c:firstSliceAng val="0"/>
        <c:holeSize val="62"/>
      </c:doughnutChart>
      <c:spPr>
        <a:noFill/>
        <a:extLst>
          <a:ext uri="{909E8E84-426E-40DD-AFC4-6F175D3DCCD1}">
            <a14:hiddenFill xmlns:a14="http://schemas.microsoft.com/office/drawing/2010/main">
              <a:noFill/>
            </a14:hiddenFill>
          </a:ext>
        </a:extLst>
      </c:spPr>
    </c:plotArea>
    <c:legend>
      <c:legendPos val="b"/>
      <c:overlay val="0"/>
      <c:txPr>
        <a:bodyPr/>
        <a:lstStyle/>
        <a:p>
          <a:pPr>
            <a:defRPr sz="850">
              <a:solidFill>
                <a:srgbClr val="1A2332"/>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[Decathlon_Sales_Dashboard.xlsx]Pivots!pCity</c:name>
    <c:fmtId val="2"/>
  </c:pivotSource>
  <c:chart>
    <c:title>
      <c:tx>
        <c:rich>
          <a:bodyPr/>
          <a:lstStyle/>
          <a:p>
            <a:pPr>
              <a:defRPr/>
            </a:pPr>
            <a:r>
              <a:rPr lang="en-IN"/>
              <a:t>Sales by City</a:t>
            </a:r>
          </a:p>
        </c:rich>
      </c:tx>
      <c:layout>
        <c:manualLayout>
          <c:xMode val="edge"/>
          <c:yMode val="edge"/>
          <c:x val="0.38320630301744524"/>
          <c:y val="5.9873119840987858E-2"/>
        </c:manualLayout>
      </c:layout>
      <c:overlay val="0"/>
    </c:title>
    <c:autoTitleDeleted val="0"/>
    <c:pivotFmts>
      <c:pivotFmt>
        <c:idx val="0"/>
        <c:spPr>
          <a:solidFill>
            <a:srgbClr val="0082C3"/>
          </a:solidFill>
        </c:spPr>
        <c:marker>
          <c:symbol val="none"/>
        </c:marker>
        <c:dLbl>
          <c:idx val="0"/>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c:spPr>
      </c:pivotFmt>
    </c:pivotFmts>
    <c:plotArea>
      <c:layout/>
      <c:barChart>
        <c:barDir val="bar"/>
        <c:grouping val="clustered"/>
        <c:varyColors val="0"/>
        <c:ser>
          <c:idx val="0"/>
          <c:order val="0"/>
          <c:tx>
            <c:strRef>
              <c:f>Pivots!$O$4</c:f>
              <c:strCache>
                <c:ptCount val="1"/>
                <c:pt idx="0">
                  <c:v>Total</c:v>
                </c:pt>
              </c:strCache>
            </c:strRef>
          </c:tx>
          <c:spPr>
            <a:solidFill>
              <a:srgbClr val="0082C3"/>
            </a:solidFill>
          </c:spPr>
          <c:invertIfNegative val="0"/>
          <c:dPt>
            <c:idx val="0"/>
            <c:invertIfNegative val="0"/>
            <c:bubble3D val="0"/>
            <c:spPr>
              <a:solidFill>
                <a:srgbClr val="F5A623"/>
              </a:solidFill>
            </c:spPr>
            <c:extLst>
              <c:ext xmlns:c16="http://schemas.microsoft.com/office/drawing/2014/chart" uri="{C3380CC4-5D6E-409C-BE32-E72D297353CC}">
                <c16:uniqueId val="{00000003-FBD1-48F3-A466-268D49F1163F}"/>
              </c:ext>
            </c:extLst>
          </c:dPt>
          <c:dLbls>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Pivots!$N$5:$N$15</c:f>
              <c:strCache>
                <c:ptCount val="10"/>
                <c:pt idx="0">
                  <c:v>Mumbai</c:v>
                </c:pt>
                <c:pt idx="1">
                  <c:v>Noida</c:v>
                </c:pt>
                <c:pt idx="2">
                  <c:v>Jaipur</c:v>
                </c:pt>
                <c:pt idx="3">
                  <c:v>Hyderabad</c:v>
                </c:pt>
                <c:pt idx="4">
                  <c:v>New Delhi</c:v>
                </c:pt>
                <c:pt idx="5">
                  <c:v>Ahmedabad</c:v>
                </c:pt>
                <c:pt idx="6">
                  <c:v>Gurugram</c:v>
                </c:pt>
                <c:pt idx="7">
                  <c:v>Chennai</c:v>
                </c:pt>
                <c:pt idx="8">
                  <c:v>Pune</c:v>
                </c:pt>
                <c:pt idx="9">
                  <c:v>Bengaluru</c:v>
                </c:pt>
              </c:strCache>
            </c:strRef>
          </c:cat>
          <c:val>
            <c:numRef>
              <c:f>Pivots!$O$5:$O$15</c:f>
              <c:numCache>
                <c:formatCode>\₹#,##0</c:formatCode>
                <c:ptCount val="10"/>
                <c:pt idx="0">
                  <c:v>1628847.3500000008</c:v>
                </c:pt>
                <c:pt idx="1">
                  <c:v>1299533.8000000005</c:v>
                </c:pt>
                <c:pt idx="2">
                  <c:v>1292177.5700000005</c:v>
                </c:pt>
                <c:pt idx="3">
                  <c:v>1277550.7299999993</c:v>
                </c:pt>
                <c:pt idx="4">
                  <c:v>1248097.28</c:v>
                </c:pt>
                <c:pt idx="5">
                  <c:v>1201946.6300000011</c:v>
                </c:pt>
                <c:pt idx="6">
                  <c:v>1090268.9200000004</c:v>
                </c:pt>
                <c:pt idx="7">
                  <c:v>1090122.8100000003</c:v>
                </c:pt>
                <c:pt idx="8">
                  <c:v>1013483.2200000004</c:v>
                </c:pt>
                <c:pt idx="9">
                  <c:v>844968.32999999973</c:v>
                </c:pt>
              </c:numCache>
            </c:numRef>
          </c:val>
          <c:extLst>
            <c:ext xmlns:c16="http://schemas.microsoft.com/office/drawing/2014/chart" uri="{C3380CC4-5D6E-409C-BE32-E72D297353CC}">
              <c16:uniqueId val="{00000002-FBD1-48F3-A466-268D49F1163F}"/>
            </c:ext>
          </c:extLst>
        </c:ser>
        <c:dLbls>
          <c:showLegendKey val="0"/>
          <c:showVal val="0"/>
          <c:showCatName val="0"/>
          <c:showSerName val="0"/>
          <c:showPercent val="0"/>
          <c:showBubbleSize val="0"/>
        </c:dLbls>
        <c:gapWidth val="70"/>
        <c:axId val="1666172815"/>
        <c:axId val="1569174927"/>
      </c:barChart>
      <c:catAx>
        <c:axId val="1666172815"/>
        <c:scaling>
          <c:orientation val="maxMin"/>
        </c:scaling>
        <c:delete val="0"/>
        <c:axPos val="l"/>
        <c:numFmt formatCode="General" sourceLinked="1"/>
        <c:majorTickMark val="none"/>
        <c:minorTickMark val="none"/>
        <c:tickLblPos val="nextTo"/>
        <c:spPr>
          <a:ln>
            <a:solidFill>
              <a:srgbClr val="E4E7EE"/>
            </a:solidFill>
          </a:ln>
        </c:spPr>
        <c:txPr>
          <a:bodyPr/>
          <a:lstStyle/>
          <a:p>
            <a:pPr>
              <a:defRPr sz="850">
                <a:solidFill>
                  <a:srgbClr val="1A2332"/>
                </a:solidFill>
              </a:defRPr>
            </a:pPr>
            <a:endParaRPr lang="en-US"/>
          </a:p>
        </c:txPr>
        <c:crossAx val="1569174927"/>
        <c:crosses val="autoZero"/>
        <c:auto val="1"/>
        <c:lblAlgn val="ctr"/>
        <c:lblOffset val="100"/>
        <c:noMultiLvlLbl val="0"/>
      </c:catAx>
      <c:valAx>
        <c:axId val="1569174927"/>
        <c:scaling>
          <c:orientation val="minMax"/>
        </c:scaling>
        <c:delete val="0"/>
        <c:axPos val="t"/>
        <c:numFmt formatCode="\₹#,##0"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1666172815"/>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[Decathlon_Sales_Dashboard.xlsx]Pivots!pBrand</c:name>
    <c:fmtId val="2"/>
  </c:pivotSource>
  <c:chart>
    <c:title>
      <c:tx>
        <c:rich>
          <a:bodyPr/>
          <a:lstStyle/>
          <a:p>
            <a:pPr>
              <a:defRPr/>
            </a:pPr>
            <a:r>
              <a:rPr lang="en-IN"/>
              <a:t>Sales by Brand</a:t>
            </a:r>
          </a:p>
        </c:rich>
      </c:tx>
      <c:layout>
        <c:manualLayout>
          <c:xMode val="edge"/>
          <c:yMode val="edge"/>
          <c:x val="0.35704766759870032"/>
          <c:y val="5.9873119840987858E-2"/>
        </c:manualLayout>
      </c:layout>
      <c:overlay val="0"/>
    </c:title>
    <c:autoTitleDeleted val="0"/>
    <c:pivotFmts>
      <c:pivotFmt>
        <c:idx val="0"/>
        <c:spPr>
          <a:solidFill>
            <a:srgbClr val="0082C3"/>
          </a:solidFill>
        </c:spPr>
        <c:marker>
          <c:symbol val="none"/>
        </c:marker>
        <c:dLbl>
          <c:idx val="0"/>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c:spPr>
      </c:pivotFmt>
    </c:pivotFmts>
    <c:plotArea>
      <c:layout/>
      <c:barChart>
        <c:barDir val="col"/>
        <c:grouping val="clustered"/>
        <c:varyColors val="0"/>
        <c:ser>
          <c:idx val="0"/>
          <c:order val="0"/>
          <c:tx>
            <c:strRef>
              <c:f>Pivots!$S$4</c:f>
              <c:strCache>
                <c:ptCount val="1"/>
                <c:pt idx="0">
                  <c:v>Total</c:v>
                </c:pt>
              </c:strCache>
            </c:strRef>
          </c:tx>
          <c:spPr>
            <a:solidFill>
              <a:srgbClr val="0082C3"/>
            </a:solidFill>
          </c:spPr>
          <c:invertIfNegative val="0"/>
          <c:dPt>
            <c:idx val="0"/>
            <c:invertIfNegative val="0"/>
            <c:bubble3D val="0"/>
            <c:spPr>
              <a:solidFill>
                <a:srgbClr val="F5A623"/>
              </a:solidFill>
            </c:spPr>
            <c:extLst>
              <c:ext xmlns:c16="http://schemas.microsoft.com/office/drawing/2014/chart" uri="{C3380CC4-5D6E-409C-BE32-E72D297353CC}">
                <c16:uniqueId val="{00000003-5BAE-4A5C-8F41-ED7AE7B61F32}"/>
              </c:ext>
            </c:extLst>
          </c:dPt>
          <c:dLbls>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Pivots!$R$5:$R$13</c:f>
              <c:strCache>
                <c:ptCount val="8"/>
                <c:pt idx="0">
                  <c:v>Nabaiji</c:v>
                </c:pt>
                <c:pt idx="1">
                  <c:v>Perfly</c:v>
                </c:pt>
                <c:pt idx="2">
                  <c:v>Kalenji</c:v>
                </c:pt>
                <c:pt idx="3">
                  <c:v>Artengo</c:v>
                </c:pt>
                <c:pt idx="4">
                  <c:v>Kiprun</c:v>
                </c:pt>
                <c:pt idx="5">
                  <c:v>Btwin</c:v>
                </c:pt>
                <c:pt idx="6">
                  <c:v>Domyos</c:v>
                </c:pt>
                <c:pt idx="7">
                  <c:v>Quechua</c:v>
                </c:pt>
              </c:strCache>
            </c:strRef>
          </c:cat>
          <c:val>
            <c:numRef>
              <c:f>Pivots!$S$5:$S$13</c:f>
              <c:numCache>
                <c:formatCode>\₹#,##0</c:formatCode>
                <c:ptCount val="8"/>
                <c:pt idx="0">
                  <c:v>1993005.5900000015</c:v>
                </c:pt>
                <c:pt idx="1">
                  <c:v>1786813.4599999993</c:v>
                </c:pt>
                <c:pt idx="2">
                  <c:v>1692535.1200000013</c:v>
                </c:pt>
                <c:pt idx="3">
                  <c:v>1527076.4800000004</c:v>
                </c:pt>
                <c:pt idx="4">
                  <c:v>1399794.050000001</c:v>
                </c:pt>
                <c:pt idx="5">
                  <c:v>1337420.9200000004</c:v>
                </c:pt>
                <c:pt idx="6">
                  <c:v>1158048.1700000002</c:v>
                </c:pt>
                <c:pt idx="7">
                  <c:v>1092302.8500000003</c:v>
                </c:pt>
              </c:numCache>
            </c:numRef>
          </c:val>
          <c:extLst>
            <c:ext xmlns:c16="http://schemas.microsoft.com/office/drawing/2014/chart" uri="{C3380CC4-5D6E-409C-BE32-E72D297353CC}">
              <c16:uniqueId val="{00000002-5BAE-4A5C-8F41-ED7AE7B61F32}"/>
            </c:ext>
          </c:extLst>
        </c:ser>
        <c:dLbls>
          <c:showLegendKey val="0"/>
          <c:showVal val="0"/>
          <c:showCatName val="0"/>
          <c:showSerName val="0"/>
          <c:showPercent val="0"/>
          <c:showBubbleSize val="0"/>
        </c:dLbls>
        <c:gapWidth val="70"/>
        <c:axId val="1670076383"/>
        <c:axId val="1569180687"/>
      </c:barChart>
      <c:catAx>
        <c:axId val="1670076383"/>
        <c:scaling>
          <c:orientation val="minMax"/>
        </c:scaling>
        <c:delete val="0"/>
        <c:axPos val="b"/>
        <c:numFmt formatCode="General" sourceLinked="1"/>
        <c:majorTickMark val="none"/>
        <c:minorTickMark val="none"/>
        <c:tickLblPos val="nextTo"/>
        <c:spPr>
          <a:ln>
            <a:solidFill>
              <a:srgbClr val="E4E7EE"/>
            </a:solidFill>
          </a:ln>
        </c:spPr>
        <c:txPr>
          <a:bodyPr/>
          <a:lstStyle/>
          <a:p>
            <a:pPr>
              <a:defRPr sz="850">
                <a:solidFill>
                  <a:srgbClr val="1A2332"/>
                </a:solidFill>
              </a:defRPr>
            </a:pPr>
            <a:endParaRPr lang="en-US"/>
          </a:p>
        </c:txPr>
        <c:crossAx val="1569180687"/>
        <c:crosses val="autoZero"/>
        <c:auto val="1"/>
        <c:lblAlgn val="ctr"/>
        <c:lblOffset val="100"/>
        <c:noMultiLvlLbl val="0"/>
      </c:catAx>
      <c:valAx>
        <c:axId val="1569180687"/>
        <c:scaling>
          <c:orientation val="minMax"/>
        </c:scaling>
        <c:delete val="0"/>
        <c:axPos val="l"/>
        <c:numFmt formatCode="\₹#,##0"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1670076383"/>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[Decathlon_Sales_Dashboard.xlsx]Pivots!pSP</c:name>
    <c:fmtId val="2"/>
  </c:pivotSource>
  <c:chart>
    <c:title>
      <c:tx>
        <c:rich>
          <a:bodyPr/>
          <a:lstStyle/>
          <a:p>
            <a:pPr>
              <a:defRPr/>
            </a:pPr>
            <a:r>
              <a:rPr lang="en-IN"/>
              <a:t>Top Salespersons</a:t>
            </a:r>
          </a:p>
        </c:rich>
      </c:tx>
      <c:layout>
        <c:manualLayout>
          <c:xMode val="edge"/>
          <c:yMode val="edge"/>
          <c:x val="0.34723805291529491"/>
          <c:y val="5.3333436320475387E-2"/>
        </c:manualLayout>
      </c:layout>
      <c:overlay val="0"/>
    </c:title>
    <c:autoTitleDeleted val="0"/>
    <c:pivotFmts>
      <c:pivotFmt>
        <c:idx val="0"/>
        <c:spPr>
          <a:solidFill>
            <a:srgbClr val="0082C3"/>
          </a:solidFill>
        </c:spPr>
        <c:marker>
          <c:symbol val="none"/>
        </c:marker>
        <c:dLbl>
          <c:idx val="0"/>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c:spPr>
      </c:pivotFmt>
    </c:pivotFmts>
    <c:plotArea>
      <c:layout/>
      <c:barChart>
        <c:barDir val="bar"/>
        <c:grouping val="clustered"/>
        <c:varyColors val="0"/>
        <c:ser>
          <c:idx val="0"/>
          <c:order val="0"/>
          <c:tx>
            <c:strRef>
              <c:f>Pivots!$W$4</c:f>
              <c:strCache>
                <c:ptCount val="1"/>
                <c:pt idx="0">
                  <c:v>Total</c:v>
                </c:pt>
              </c:strCache>
            </c:strRef>
          </c:tx>
          <c:spPr>
            <a:solidFill>
              <a:srgbClr val="0082C3"/>
            </a:solidFill>
          </c:spPr>
          <c:invertIfNegative val="0"/>
          <c:dPt>
            <c:idx val="0"/>
            <c:invertIfNegative val="0"/>
            <c:bubble3D val="0"/>
            <c:spPr>
              <a:solidFill>
                <a:srgbClr val="F5A623"/>
              </a:solidFill>
            </c:spPr>
            <c:extLst>
              <c:ext xmlns:c16="http://schemas.microsoft.com/office/drawing/2014/chart" uri="{C3380CC4-5D6E-409C-BE32-E72D297353CC}">
                <c16:uniqueId val="{00000003-0D8D-41F0-87DC-3977B0C242C0}"/>
              </c:ext>
            </c:extLst>
          </c:dPt>
          <c:dLbls>
            <c:numFmt formatCode="&quot;₹&quot;#,##0.0,,&quot;M&quot;" sourceLinked="0"/>
            <c:spPr>
              <a:noFill/>
              <a:ln>
                <a:noFill/>
              </a:ln>
              <a:effectLst/>
            </c:spPr>
            <c:txPr>
              <a:bodyPr wrap="square" lIns="38100" tIns="19050" rIns="38100" bIns="19050" anchor="ctr">
                <a:spAutoFit/>
              </a:bodyPr>
              <a:lstStyle/>
              <a:p>
                <a:pPr>
                  <a:defRPr sz="850" b="1">
                    <a:solidFill>
                      <a:srgbClr val="1A2332"/>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Pivots!$V$5:$V$15</c:f>
              <c:strCache>
                <c:ptCount val="10"/>
                <c:pt idx="0">
                  <c:v>Neha</c:v>
                </c:pt>
                <c:pt idx="1">
                  <c:v>Karan</c:v>
                </c:pt>
                <c:pt idx="2">
                  <c:v>Rohan</c:v>
                </c:pt>
                <c:pt idx="3">
                  <c:v>Ishita</c:v>
                </c:pt>
                <c:pt idx="4">
                  <c:v>Sneha</c:v>
                </c:pt>
                <c:pt idx="5">
                  <c:v>Priya</c:v>
                </c:pt>
                <c:pt idx="6">
                  <c:v>Ananya</c:v>
                </c:pt>
                <c:pt idx="7">
                  <c:v>Vivek</c:v>
                </c:pt>
                <c:pt idx="8">
                  <c:v>Aditya</c:v>
                </c:pt>
                <c:pt idx="9">
                  <c:v>Aarav</c:v>
                </c:pt>
              </c:strCache>
            </c:strRef>
          </c:cat>
          <c:val>
            <c:numRef>
              <c:f>Pivots!$W$5:$W$15</c:f>
              <c:numCache>
                <c:formatCode>\₹#,##0</c:formatCode>
                <c:ptCount val="10"/>
                <c:pt idx="0">
                  <c:v>1318315.4900000005</c:v>
                </c:pt>
                <c:pt idx="1">
                  <c:v>1283071.7400000009</c:v>
                </c:pt>
                <c:pt idx="2">
                  <c:v>1280971.6200000001</c:v>
                </c:pt>
                <c:pt idx="3">
                  <c:v>1265205.3899999997</c:v>
                </c:pt>
                <c:pt idx="4">
                  <c:v>1260552.4500000009</c:v>
                </c:pt>
                <c:pt idx="5">
                  <c:v>1229998.17</c:v>
                </c:pt>
                <c:pt idx="6">
                  <c:v>1167382.58</c:v>
                </c:pt>
                <c:pt idx="7">
                  <c:v>1161213.5999999992</c:v>
                </c:pt>
                <c:pt idx="8">
                  <c:v>1159673.1699999992</c:v>
                </c:pt>
                <c:pt idx="9">
                  <c:v>860612.4300000004</c:v>
                </c:pt>
              </c:numCache>
            </c:numRef>
          </c:val>
          <c:extLst>
            <c:ext xmlns:c16="http://schemas.microsoft.com/office/drawing/2014/chart" uri="{C3380CC4-5D6E-409C-BE32-E72D297353CC}">
              <c16:uniqueId val="{00000002-0D8D-41F0-87DC-3977B0C242C0}"/>
            </c:ext>
          </c:extLst>
        </c:ser>
        <c:dLbls>
          <c:showLegendKey val="0"/>
          <c:showVal val="0"/>
          <c:showCatName val="0"/>
          <c:showSerName val="0"/>
          <c:showPercent val="0"/>
          <c:showBubbleSize val="0"/>
        </c:dLbls>
        <c:gapWidth val="70"/>
        <c:axId val="1677447887"/>
        <c:axId val="1569191727"/>
      </c:barChart>
      <c:catAx>
        <c:axId val="1677447887"/>
        <c:scaling>
          <c:orientation val="maxMin"/>
        </c:scaling>
        <c:delete val="0"/>
        <c:axPos val="l"/>
        <c:numFmt formatCode="General" sourceLinked="1"/>
        <c:majorTickMark val="none"/>
        <c:minorTickMark val="none"/>
        <c:tickLblPos val="nextTo"/>
        <c:spPr>
          <a:ln>
            <a:solidFill>
              <a:srgbClr val="E4E7EE"/>
            </a:solidFill>
          </a:ln>
        </c:spPr>
        <c:txPr>
          <a:bodyPr/>
          <a:lstStyle/>
          <a:p>
            <a:pPr>
              <a:defRPr sz="850">
                <a:solidFill>
                  <a:srgbClr val="1A2332"/>
                </a:solidFill>
              </a:defRPr>
            </a:pPr>
            <a:endParaRPr lang="en-US"/>
          </a:p>
        </c:txPr>
        <c:crossAx val="1569191727"/>
        <c:crosses val="autoZero"/>
        <c:auto val="1"/>
        <c:lblAlgn val="ctr"/>
        <c:lblOffset val="100"/>
        <c:noMultiLvlLbl val="0"/>
      </c:catAx>
      <c:valAx>
        <c:axId val="1569191727"/>
        <c:scaling>
          <c:orientation val="minMax"/>
        </c:scaling>
        <c:delete val="0"/>
        <c:axPos val="t"/>
        <c:numFmt formatCode="\₹#,##0"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1677447887"/>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4E7EE"/>
      </a:solidFill>
    </a:ln>
  </c:spPr>
  <c:txPr>
    <a:bodyPr/>
    <a:lstStyle/>
    <a:p>
      <a:pPr>
        <a:defRPr sz="850">
          <a:solidFill>
            <a:srgbClr val="788091"/>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152400</xdr:rowOff>
    </xdr:from>
    <xdr:to>
      <xdr:col>65</xdr:col>
      <xdr:colOff>107023</xdr:colOff>
      <xdr:row>41</xdr:row>
      <xdr:rowOff>53511</xdr:rowOff>
    </xdr:to>
    <xdr:grpSp>
      <xdr:nvGrpSpPr>
        <xdr:cNvPr id="13" name="Group 12">
          <a:extLst>
            <a:ext uri="{FF2B5EF4-FFF2-40B4-BE49-F238E27FC236}">
              <a16:creationId xmlns:a16="http://schemas.microsoft.com/office/drawing/2014/main" id="{74E0A148-5489-34F4-66D1-D6A8F95C6DDE}"/>
            </a:ext>
          </a:extLst>
        </xdr:cNvPr>
        <xdr:cNvGrpSpPr/>
      </xdr:nvGrpSpPr>
      <xdr:grpSpPr>
        <a:xfrm>
          <a:off x="195146" y="3507059"/>
          <a:ext cx="12596389" cy="4389476"/>
          <a:chOff x="192640" y="3470097"/>
          <a:chExt cx="12328989" cy="4045449"/>
        </a:xfrm>
      </xdr:grpSpPr>
      <xdr:graphicFrame macro="">
        <xdr:nvGraphicFramePr>
          <xdr:cNvPr id="2" name="Chart 1">
            <a:extLst>
              <a:ext uri="{FF2B5EF4-FFF2-40B4-BE49-F238E27FC236}">
                <a16:creationId xmlns:a16="http://schemas.microsoft.com/office/drawing/2014/main" id="{3F74BC12-6243-AA43-9B18-2CB308AE8276}"/>
              </a:ext>
            </a:extLst>
          </xdr:cNvPr>
          <xdr:cNvGraphicFramePr/>
        </xdr:nvGraphicFramePr>
        <xdr:xfrm>
          <a:off x="192640" y="3470097"/>
          <a:ext cx="4291956" cy="192640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500A7FDD-D3A8-C4FC-B03B-D37E8952F132}"/>
              </a:ext>
            </a:extLst>
          </xdr:cNvPr>
          <xdr:cNvGraphicFramePr/>
        </xdr:nvGraphicFramePr>
        <xdr:xfrm>
          <a:off x="4666675" y="3470097"/>
          <a:ext cx="3852809" cy="192640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808284C1-20D8-1C88-211A-8D77F3550ABE}"/>
              </a:ext>
            </a:extLst>
          </xdr:cNvPr>
          <xdr:cNvGraphicFramePr/>
        </xdr:nvGraphicFramePr>
        <xdr:xfrm>
          <a:off x="8668820" y="3470097"/>
          <a:ext cx="3852809" cy="192640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E25DBE2B-1D99-5AA4-6C6A-0BC02042A8C7}"/>
              </a:ext>
            </a:extLst>
          </xdr:cNvPr>
          <xdr:cNvGraphicFramePr/>
        </xdr:nvGraphicFramePr>
        <xdr:xfrm>
          <a:off x="192640" y="5589142"/>
          <a:ext cx="4280721" cy="192640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6CF67C7A-C905-FCE7-DBE5-52F91436A687}"/>
              </a:ext>
            </a:extLst>
          </xdr:cNvPr>
          <xdr:cNvGraphicFramePr/>
        </xdr:nvGraphicFramePr>
        <xdr:xfrm>
          <a:off x="4700381" y="5578563"/>
          <a:ext cx="3852809" cy="192640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637E7E1A-3A13-C621-400B-F2E24422AEAF}"/>
              </a:ext>
            </a:extLst>
          </xdr:cNvPr>
          <xdr:cNvGraphicFramePr/>
        </xdr:nvGraphicFramePr>
        <xdr:xfrm>
          <a:off x="8668820" y="5589142"/>
          <a:ext cx="3852809" cy="192640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0</xdr:colOff>
      <xdr:row>12</xdr:row>
      <xdr:rowOff>53512</xdr:rowOff>
    </xdr:from>
    <xdr:to>
      <xdr:col>65</xdr:col>
      <xdr:colOff>85619</xdr:colOff>
      <xdr:row>18</xdr:row>
      <xdr:rowOff>42809</xdr:rowOff>
    </xdr:to>
    <xdr:grpSp>
      <xdr:nvGrpSpPr>
        <xdr:cNvPr id="12" name="Group 11">
          <a:extLst>
            <a:ext uri="{FF2B5EF4-FFF2-40B4-BE49-F238E27FC236}">
              <a16:creationId xmlns:a16="http://schemas.microsoft.com/office/drawing/2014/main" id="{670A3EA5-337E-294D-1033-2B3B6D8AF752}"/>
            </a:ext>
          </a:extLst>
        </xdr:cNvPr>
        <xdr:cNvGrpSpPr/>
      </xdr:nvGrpSpPr>
      <xdr:grpSpPr>
        <a:xfrm>
          <a:off x="195146" y="2237292"/>
          <a:ext cx="12574985" cy="1160176"/>
          <a:chOff x="192640" y="1979917"/>
          <a:chExt cx="11954411" cy="1365562"/>
        </a:xfrm>
      </xdr:grpSpPr>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763D35C-75AF-5E89-0846-508BF66F8449}"/>
                  </a:ext>
                </a:extLst>
              </xdr:cNvPr>
              <xdr:cNvGraphicFramePr/>
            </xdr:nvGraphicFramePr>
            <xdr:xfrm>
              <a:off x="192640" y="1979917"/>
              <a:ext cx="2921714" cy="136556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5090" y="2233934"/>
                <a:ext cx="3072510" cy="1159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port_Category">
                <a:extLst>
                  <a:ext uri="{FF2B5EF4-FFF2-40B4-BE49-F238E27FC236}">
                    <a16:creationId xmlns:a16="http://schemas.microsoft.com/office/drawing/2014/main" id="{0FE6BA75-DCA3-63D6-653E-57081F41641D}"/>
                  </a:ext>
                </a:extLst>
              </xdr:cNvPr>
              <xdr:cNvGraphicFramePr/>
            </xdr:nvGraphicFramePr>
            <xdr:xfrm>
              <a:off x="3274888" y="2001321"/>
              <a:ext cx="2889606" cy="1344158"/>
            </xdr:xfrm>
            <a:graphic>
              <a:graphicData uri="http://schemas.microsoft.com/office/drawing/2010/slicer">
                <sle:slicer xmlns:sle="http://schemas.microsoft.com/office/drawing/2010/slicer" name="Sport_Category"/>
              </a:graphicData>
            </a:graphic>
          </xdr:graphicFrame>
        </mc:Choice>
        <mc:Fallback xmlns="">
          <xdr:sp macro="" textlink="">
            <xdr:nvSpPr>
              <xdr:cNvPr id="0" name=""/>
              <xdr:cNvSpPr>
                <a:spLocks noTextEdit="1"/>
              </xdr:cNvSpPr>
            </xdr:nvSpPr>
            <xdr:spPr>
              <a:xfrm>
                <a:off x="3436419" y="2252113"/>
                <a:ext cx="3038744" cy="114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Membership_Type">
                <a:extLst>
                  <a:ext uri="{FF2B5EF4-FFF2-40B4-BE49-F238E27FC236}">
                    <a16:creationId xmlns:a16="http://schemas.microsoft.com/office/drawing/2014/main" id="{C12D2029-E921-83A2-0BA4-395455C50408}"/>
                  </a:ext>
                </a:extLst>
              </xdr:cNvPr>
              <xdr:cNvGraphicFramePr/>
            </xdr:nvGraphicFramePr>
            <xdr:xfrm>
              <a:off x="6357135" y="2001321"/>
              <a:ext cx="2707668" cy="1344158"/>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6677747" y="2252113"/>
                <a:ext cx="2847416" cy="114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3AE05CE1-3505-CFF7-45D3-3AE494C71F68}"/>
                  </a:ext>
                </a:extLst>
              </xdr:cNvPr>
              <xdr:cNvGraphicFramePr/>
            </xdr:nvGraphicFramePr>
            <xdr:xfrm>
              <a:off x="9247583" y="1990619"/>
              <a:ext cx="2899468" cy="135486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919074" y="2243024"/>
                <a:ext cx="2847417" cy="115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KHURANA" refreshedDate="46212.441867824076" createdVersion="8" refreshedVersion="8" minRefreshableVersion="3" recordCount="1500" xr:uid="{590939C0-06F8-4CE7-B1AC-3AEBA7C2D1E3}">
  <cacheSource type="worksheet">
    <worksheetSource ref="A1:V1501" sheet="Data"/>
  </cacheSource>
  <cacheFields count="22">
    <cacheField name="Order_ID" numFmtId="0">
      <sharedItems/>
    </cacheField>
    <cacheField name="Order_Date" numFmtId="164">
      <sharedItems containsSemiMixedTypes="0" containsNonDate="0" containsDate="1" containsString="0" minDate="2025-01-01T00:00:00" maxDate="2026-01-01T00:00:00"/>
    </cacheField>
    <cacheField name="Store" numFmtId="0">
      <sharedItems/>
    </cacheField>
    <cacheField name="City" numFmtId="0">
      <sharedItems count="10">
        <s v="Jaipur"/>
        <s v="Pune"/>
        <s v="Ahmedabad"/>
        <s v="Chennai"/>
        <s v="Bengaluru"/>
        <s v="Noida"/>
        <s v="Mumbai"/>
        <s v="Hyderabad"/>
        <s v="Gurugram"/>
        <s v="New Delhi"/>
      </sharedItems>
    </cacheField>
    <cacheField name="Region" numFmtId="0">
      <sharedItems count="3">
        <s v="North"/>
        <s v="West"/>
        <s v="South"/>
      </sharedItems>
    </cacheField>
    <cacheField name="Customer_ID" numFmtId="0">
      <sharedItems/>
    </cacheField>
    <cacheField name="Gender" numFmtId="0">
      <sharedItems/>
    </cacheField>
    <cacheField name="Age_Group" numFmtId="0">
      <sharedItems count="4">
        <s v="36-45"/>
        <s v="26-35"/>
        <s v="18-25"/>
        <s v="46-60"/>
      </sharedItems>
    </cacheField>
    <cacheField name="Membership_Type" numFmtId="0">
      <sharedItems count="3">
        <s v="Silver"/>
        <s v="Basic"/>
        <s v="Gold"/>
      </sharedItems>
    </cacheField>
    <cacheField name="Sport_Category" numFmtId="0">
      <sharedItems count="6">
        <s v="Running"/>
        <s v="Yoga"/>
        <s v="Swimming"/>
        <s v="Cycling"/>
        <s v="Football"/>
        <s v="Hiking"/>
      </sharedItems>
    </cacheField>
    <cacheField name="Product" numFmtId="0">
      <sharedItems/>
    </cacheField>
    <cacheField name="Brand" numFmtId="0">
      <sharedItems count="8">
        <s v="Kiprun"/>
        <s v="Domyos"/>
        <s v="Quechua"/>
        <s v="Perfly"/>
        <s v="Btwin"/>
        <s v="Kalenji"/>
        <s v="Nabaiji"/>
        <s v="Artengo"/>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minValue="475.61" maxValue="26235.24"/>
    </cacheField>
    <cacheField name="Discount_%" numFmtId="9">
      <sharedItems containsSemiMixedTypes="0" containsString="0" containsNumber="1" minValue="0" maxValue="0.3"/>
    </cacheField>
    <cacheField name="Sales" numFmtId="165">
      <sharedItems containsSemiMixedTypes="0" containsString="0" containsNumber="1" minValue="333.58" maxValue="130500.2"/>
    </cacheField>
    <cacheField name="Cost" numFmtId="165">
      <sharedItems containsSemiMixedTypes="0" containsString="0" containsNumber="1" minValue="209.27" maxValue="94448.61"/>
    </cacheField>
    <cacheField name="Profit" numFmtId="165">
      <sharedItems containsSemiMixedTypes="0" containsString="0" containsNumber="1" minValue="-6710.27" maxValue="37980.480000000003"/>
    </cacheField>
    <cacheField name="Payment_Method" numFmtId="0">
      <sharedItems/>
    </cacheField>
    <cacheField name="Salesperson" numFmtId="0">
      <sharedItems count="10">
        <s v="Sneha"/>
        <s v="Ananya"/>
        <s v="Priya"/>
        <s v="Karan"/>
        <s v="Aditya"/>
        <s v="Aarav"/>
        <s v="Rohan"/>
        <s v="Ishita"/>
        <s v="Neha"/>
        <s v="Vivek"/>
      </sharedItems>
    </cacheField>
    <cacheField name="Customer_Rating" numFmtId="0">
      <sharedItems containsSemiMixedTypes="0" containsString="0" containsNumber="1" containsInteger="1" minValue="3" maxValue="5"/>
    </cacheField>
    <cacheField name="Month" numFmtId="0">
      <sharedItems count="12">
        <s v="12 Dec"/>
        <s v="03 Mar"/>
        <s v="11 Nov"/>
        <s v="08 Aug"/>
        <s v="01 Jan"/>
        <s v="04 Apr"/>
        <s v="02 Feb"/>
        <s v="09 Sep"/>
        <s v="07 Jul"/>
        <s v="10 Oct"/>
        <s v="05 May"/>
        <s v="06 Jun"/>
      </sharedItems>
    </cacheField>
  </cacheFields>
  <extLst>
    <ext xmlns:x14="http://schemas.microsoft.com/office/spreadsheetml/2009/9/main" uri="{725AE2AE-9491-48be-B2B4-4EB974FC3084}">
      <x14:pivotCacheDefinition pivotCacheId="504421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100002"/>
    <d v="2025-12-27T00:00:00"/>
    <s v="Decathlon Jaipur"/>
    <x v="0"/>
    <x v="0"/>
    <s v="CUST1013"/>
    <s v="Female"/>
    <x v="0"/>
    <x v="0"/>
    <x v="0"/>
    <s v="Running Shoes"/>
    <x v="0"/>
    <n v="4"/>
    <n v="3931.91"/>
    <n v="0.1"/>
    <n v="14154.88"/>
    <n v="8419.09"/>
    <n v="5735.79"/>
    <s v="Net Banking"/>
    <x v="0"/>
    <n v="3"/>
    <x v="0"/>
  </r>
  <r>
    <s v="ORD100003"/>
    <d v="2025-12-23T00:00:00"/>
    <s v="Decathlon Pune"/>
    <x v="1"/>
    <x v="1"/>
    <s v="CUST1633"/>
    <s v="Male"/>
    <x v="1"/>
    <x v="0"/>
    <x v="1"/>
    <s v="Yoga Block"/>
    <x v="1"/>
    <n v="5"/>
    <n v="594.01"/>
    <n v="0.25"/>
    <n v="2227.54"/>
    <n v="1257.93"/>
    <n v="969.61"/>
    <s v="Credit Card"/>
    <x v="0"/>
    <n v="3"/>
    <x v="0"/>
  </r>
  <r>
    <s v="ORD100004"/>
    <d v="2025-03-26T00:00:00"/>
    <s v="Decathlon Ahmedabad"/>
    <x v="2"/>
    <x v="1"/>
    <s v="CUST1377"/>
    <s v="Female"/>
    <x v="1"/>
    <x v="0"/>
    <x v="1"/>
    <s v="Yoga Mat"/>
    <x v="2"/>
    <n v="2"/>
    <n v="1501.24"/>
    <n v="0.25"/>
    <n v="2251.86"/>
    <n v="1330.71"/>
    <n v="921.15"/>
    <s v="Debit Card"/>
    <x v="1"/>
    <n v="5"/>
    <x v="1"/>
  </r>
  <r>
    <s v="ORD100005"/>
    <d v="2025-11-04T00:00:00"/>
    <s v="Decathlon Chennai"/>
    <x v="3"/>
    <x v="2"/>
    <s v="CUST1392"/>
    <s v="Female"/>
    <x v="0"/>
    <x v="1"/>
    <x v="0"/>
    <s v="Running T-Shirt"/>
    <x v="1"/>
    <n v="3"/>
    <n v="959.21"/>
    <n v="0.15"/>
    <n v="2445.9899999999998"/>
    <n v="1367.28"/>
    <n v="1078.71"/>
    <s v="Cash"/>
    <x v="2"/>
    <n v="3"/>
    <x v="2"/>
  </r>
  <r>
    <s v="ORD100006"/>
    <d v="2025-08-16T00:00:00"/>
    <s v="Decathlon Ahmedabad"/>
    <x v="2"/>
    <x v="1"/>
    <s v="CUST1202"/>
    <s v="Female"/>
    <x v="1"/>
    <x v="2"/>
    <x v="2"/>
    <s v="Swimming Goggles"/>
    <x v="2"/>
    <n v="2"/>
    <n v="855.5"/>
    <n v="0.2"/>
    <n v="1368.8"/>
    <n v="934.79"/>
    <n v="434.01"/>
    <s v="Net Banking"/>
    <x v="3"/>
    <n v="3"/>
    <x v="3"/>
  </r>
  <r>
    <s v="ORD100007"/>
    <d v="2025-11-16T00:00:00"/>
    <s v="Decathlon Chennai"/>
    <x v="3"/>
    <x v="2"/>
    <s v="CUST1581"/>
    <s v="Male"/>
    <x v="1"/>
    <x v="1"/>
    <x v="3"/>
    <s v="Cycling Gloves"/>
    <x v="3"/>
    <n v="4"/>
    <n v="802.59"/>
    <n v="0.2"/>
    <n v="2568.29"/>
    <n v="1451.22"/>
    <n v="1117.07"/>
    <s v="Credit Card"/>
    <x v="4"/>
    <n v="4"/>
    <x v="2"/>
  </r>
  <r>
    <s v="ORD100008"/>
    <d v="2025-01-28T00:00:00"/>
    <s v="Decathlon Ahmedabad"/>
    <x v="2"/>
    <x v="1"/>
    <s v="CUST1057"/>
    <s v="Female"/>
    <x v="2"/>
    <x v="0"/>
    <x v="3"/>
    <s v="Cycling Gloves"/>
    <x v="4"/>
    <n v="3"/>
    <n v="810.01"/>
    <n v="0.1"/>
    <n v="2187.0300000000002"/>
    <n v="1077.05"/>
    <n v="1109.98"/>
    <s v="UPI"/>
    <x v="1"/>
    <n v="5"/>
    <x v="4"/>
  </r>
  <r>
    <s v="ORD100009"/>
    <d v="2025-08-13T00:00:00"/>
    <s v="Decathlon Bengaluru"/>
    <x v="4"/>
    <x v="2"/>
    <s v="CUST1534"/>
    <s v="Male"/>
    <x v="1"/>
    <x v="0"/>
    <x v="4"/>
    <s v="Football Boots"/>
    <x v="5"/>
    <n v="5"/>
    <n v="3528.18"/>
    <n v="0.1"/>
    <n v="15876.81"/>
    <n v="10601.48"/>
    <n v="5275.33"/>
    <s v="Cash"/>
    <x v="2"/>
    <n v="4"/>
    <x v="3"/>
  </r>
  <r>
    <s v="ORD100010"/>
    <d v="2025-04-11T00:00:00"/>
    <s v="Decathlon Jaipur"/>
    <x v="0"/>
    <x v="0"/>
    <s v="CUST1396"/>
    <s v="Female"/>
    <x v="3"/>
    <x v="2"/>
    <x v="3"/>
    <s v="Mountain Bike"/>
    <x v="3"/>
    <n v="3"/>
    <n v="26114.29"/>
    <n v="0.15"/>
    <n v="66591.44"/>
    <n v="53629.39"/>
    <n v="12962.05"/>
    <s v="Debit Card"/>
    <x v="0"/>
    <n v="4"/>
    <x v="5"/>
  </r>
  <r>
    <s v="ORD100011"/>
    <d v="2025-02-26T00:00:00"/>
    <s v="Decathlon Noida"/>
    <x v="5"/>
    <x v="0"/>
    <s v="CUST1611"/>
    <s v="Male"/>
    <x v="0"/>
    <x v="0"/>
    <x v="5"/>
    <s v="Water Bottle"/>
    <x v="6"/>
    <n v="4"/>
    <n v="729.13"/>
    <n v="0.15"/>
    <n v="2479.04"/>
    <n v="989.66"/>
    <n v="1489.38"/>
    <s v="Cash"/>
    <x v="5"/>
    <n v="4"/>
    <x v="6"/>
  </r>
  <r>
    <s v="ORD100012"/>
    <d v="2025-08-29T00:00:00"/>
    <s v="Decathlon Mumbai"/>
    <x v="6"/>
    <x v="1"/>
    <s v="CUST1526"/>
    <s v="Female"/>
    <x v="0"/>
    <x v="2"/>
    <x v="5"/>
    <s v="Trekking Shoes"/>
    <x v="0"/>
    <n v="5"/>
    <n v="4874.99"/>
    <n v="0.15"/>
    <n v="20718.71"/>
    <n v="15283.93"/>
    <n v="5434.78"/>
    <s v="Debit Card"/>
    <x v="6"/>
    <n v="3"/>
    <x v="3"/>
  </r>
  <r>
    <s v="ORD100013"/>
    <d v="2025-09-12T00:00:00"/>
    <s v="Decathlon Hyderabad"/>
    <x v="7"/>
    <x v="2"/>
    <s v="CUST1512"/>
    <s v="Female"/>
    <x v="0"/>
    <x v="1"/>
    <x v="0"/>
    <s v="Running T-Shirt"/>
    <x v="5"/>
    <n v="1"/>
    <n v="1026.2"/>
    <n v="0.05"/>
    <n v="974.89"/>
    <n v="452.91"/>
    <n v="521.98"/>
    <s v="Net Banking"/>
    <x v="4"/>
    <n v="5"/>
    <x v="7"/>
  </r>
  <r>
    <s v="ORD100014"/>
    <d v="2025-07-06T00:00:00"/>
    <s v="Decathlon Ahmedabad"/>
    <x v="2"/>
    <x v="1"/>
    <s v="CUST1156"/>
    <s v="Male"/>
    <x v="0"/>
    <x v="1"/>
    <x v="4"/>
    <s v="Football"/>
    <x v="6"/>
    <n v="3"/>
    <n v="1333.96"/>
    <n v="0.25"/>
    <n v="3001.41"/>
    <n v="2014.19"/>
    <n v="987.22"/>
    <s v="Net Banking"/>
    <x v="7"/>
    <n v="5"/>
    <x v="8"/>
  </r>
  <r>
    <s v="ORD100015"/>
    <d v="2025-10-21T00:00:00"/>
    <s v="Decathlon Chennai"/>
    <x v="3"/>
    <x v="2"/>
    <s v="CUST1814"/>
    <s v="Female"/>
    <x v="3"/>
    <x v="1"/>
    <x v="3"/>
    <s v="Cycling Gloves"/>
    <x v="4"/>
    <n v="1"/>
    <n v="784.26"/>
    <n v="0.25"/>
    <n v="588.19000000000005"/>
    <n v="352.89"/>
    <n v="235.3"/>
    <s v="Credit Card"/>
    <x v="3"/>
    <n v="5"/>
    <x v="9"/>
  </r>
  <r>
    <s v="ORD100016"/>
    <d v="2025-07-15T00:00:00"/>
    <s v="Decathlon Gurugram"/>
    <x v="8"/>
    <x v="0"/>
    <s v="CUST1335"/>
    <s v="Female"/>
    <x v="3"/>
    <x v="1"/>
    <x v="0"/>
    <s v="Running T-Shirt"/>
    <x v="3"/>
    <n v="5"/>
    <n v="990.53"/>
    <n v="0.1"/>
    <n v="4457.3900000000003"/>
    <n v="2315.59"/>
    <n v="2141.8000000000002"/>
    <s v="Credit Card"/>
    <x v="2"/>
    <n v="5"/>
    <x v="8"/>
  </r>
  <r>
    <s v="ORD100017"/>
    <d v="2025-07-22T00:00:00"/>
    <s v="Decathlon Pune"/>
    <x v="1"/>
    <x v="1"/>
    <s v="CUST1947"/>
    <s v="Male"/>
    <x v="1"/>
    <x v="2"/>
    <x v="2"/>
    <s v="Swimming Goggles"/>
    <x v="1"/>
    <n v="1"/>
    <n v="911.52"/>
    <n v="0.15"/>
    <n v="774.79"/>
    <n v="456.7"/>
    <n v="318.08999999999997"/>
    <s v="Net Banking"/>
    <x v="2"/>
    <n v="4"/>
    <x v="8"/>
  </r>
  <r>
    <s v="ORD100018"/>
    <d v="2025-05-11T00:00:00"/>
    <s v="Decathlon Delhi"/>
    <x v="9"/>
    <x v="0"/>
    <s v="CUST1089"/>
    <s v="Female"/>
    <x v="1"/>
    <x v="2"/>
    <x v="0"/>
    <s v="Running T-Shirt"/>
    <x v="4"/>
    <n v="4"/>
    <n v="1011.99"/>
    <n v="0.05"/>
    <n v="3845.56"/>
    <n v="1876.35"/>
    <n v="1969.21"/>
    <s v="Credit Card"/>
    <x v="1"/>
    <n v="4"/>
    <x v="10"/>
  </r>
  <r>
    <s v="ORD100019"/>
    <d v="2025-03-24T00:00:00"/>
    <s v="Decathlon Hyderabad"/>
    <x v="7"/>
    <x v="2"/>
    <s v="CUST1298"/>
    <s v="Male"/>
    <x v="2"/>
    <x v="2"/>
    <x v="2"/>
    <s v="Swim Cap"/>
    <x v="0"/>
    <n v="3"/>
    <n v="486.53"/>
    <n v="0.05"/>
    <n v="1386.61"/>
    <n v="671.35"/>
    <n v="715.26"/>
    <s v="Debit Card"/>
    <x v="6"/>
    <n v="3"/>
    <x v="1"/>
  </r>
  <r>
    <s v="ORD100020"/>
    <d v="2025-01-15T00:00:00"/>
    <s v="Decathlon Gurugram"/>
    <x v="8"/>
    <x v="0"/>
    <s v="CUST1659"/>
    <s v="Female"/>
    <x v="2"/>
    <x v="1"/>
    <x v="4"/>
    <s v="Football Boots"/>
    <x v="6"/>
    <n v="4"/>
    <n v="3475.88"/>
    <n v="0"/>
    <n v="13903.52"/>
    <n v="8373.74"/>
    <n v="5529.78"/>
    <s v="Credit Card"/>
    <x v="7"/>
    <n v="4"/>
    <x v="4"/>
  </r>
  <r>
    <s v="ORD100021"/>
    <d v="2025-08-09T00:00:00"/>
    <s v="Decathlon Delhi"/>
    <x v="9"/>
    <x v="0"/>
    <s v="CUST1401"/>
    <s v="Male"/>
    <x v="2"/>
    <x v="0"/>
    <x v="3"/>
    <s v="Cycling Gloves"/>
    <x v="4"/>
    <n v="2"/>
    <n v="759.66"/>
    <n v="0.3"/>
    <n v="1063.52"/>
    <n v="723.12"/>
    <n v="340.4"/>
    <s v="UPI"/>
    <x v="2"/>
    <n v="3"/>
    <x v="3"/>
  </r>
  <r>
    <s v="ORD100022"/>
    <d v="2025-09-30T00:00:00"/>
    <s v="Decathlon Ahmedabad"/>
    <x v="2"/>
    <x v="1"/>
    <s v="CUST1907"/>
    <s v="Female"/>
    <x v="3"/>
    <x v="2"/>
    <x v="0"/>
    <s v="Fitness Band"/>
    <x v="5"/>
    <n v="5"/>
    <n v="2482.9499999999998"/>
    <n v="0.3"/>
    <n v="8690.32"/>
    <n v="7487.31"/>
    <n v="1203.01"/>
    <s v="Net Banking"/>
    <x v="7"/>
    <n v="4"/>
    <x v="7"/>
  </r>
  <r>
    <s v="ORD100023"/>
    <d v="2025-04-21T00:00:00"/>
    <s v="Decathlon Hyderabad"/>
    <x v="7"/>
    <x v="2"/>
    <s v="CUST1989"/>
    <s v="Male"/>
    <x v="1"/>
    <x v="2"/>
    <x v="3"/>
    <s v="Mountain Bike"/>
    <x v="3"/>
    <n v="5"/>
    <n v="24704.23"/>
    <n v="0.2"/>
    <n v="98816.92"/>
    <n v="93351.33"/>
    <n v="5465.59"/>
    <s v="Credit Card"/>
    <x v="8"/>
    <n v="5"/>
    <x v="5"/>
  </r>
  <r>
    <s v="ORD100024"/>
    <d v="2025-11-22T00:00:00"/>
    <s v="Decathlon Bengaluru"/>
    <x v="4"/>
    <x v="2"/>
    <s v="CUST1738"/>
    <s v="Male"/>
    <x v="1"/>
    <x v="1"/>
    <x v="5"/>
    <s v="Water Bottle"/>
    <x v="5"/>
    <n v="1"/>
    <n v="697.74"/>
    <n v="0.25"/>
    <n v="523.30999999999995"/>
    <n v="245.49"/>
    <n v="277.82"/>
    <s v="Net Banking"/>
    <x v="7"/>
    <n v="4"/>
    <x v="2"/>
  </r>
  <r>
    <s v="ORD100025"/>
    <d v="2025-09-02T00:00:00"/>
    <s v="Decathlon Gurugram"/>
    <x v="8"/>
    <x v="0"/>
    <s v="CUST1814"/>
    <s v="Male"/>
    <x v="0"/>
    <x v="0"/>
    <x v="4"/>
    <s v="Shin Guards"/>
    <x v="1"/>
    <n v="5"/>
    <n v="1007.21"/>
    <n v="0.2"/>
    <n v="4028.84"/>
    <n v="2415.41"/>
    <n v="1613.43"/>
    <s v="Credit Card"/>
    <x v="7"/>
    <n v="3"/>
    <x v="7"/>
  </r>
  <r>
    <s v="ORD100026"/>
    <d v="2025-04-27T00:00:00"/>
    <s v="Decathlon Gurugram"/>
    <x v="8"/>
    <x v="0"/>
    <s v="CUST1605"/>
    <s v="Male"/>
    <x v="2"/>
    <x v="1"/>
    <x v="3"/>
    <s v="Helmet"/>
    <x v="2"/>
    <n v="1"/>
    <n v="2028.73"/>
    <n v="0.3"/>
    <n v="1420.11"/>
    <n v="1083.27"/>
    <n v="336.84"/>
    <s v="Credit Card"/>
    <x v="7"/>
    <n v="4"/>
    <x v="5"/>
  </r>
  <r>
    <s v="ORD100027"/>
    <d v="2025-06-13T00:00:00"/>
    <s v="Decathlon Mumbai"/>
    <x v="6"/>
    <x v="1"/>
    <s v="CUST1202"/>
    <s v="Female"/>
    <x v="2"/>
    <x v="0"/>
    <x v="0"/>
    <s v="Fitness Band"/>
    <x v="0"/>
    <n v="5"/>
    <n v="2408.61"/>
    <n v="0.05"/>
    <n v="11440.9"/>
    <n v="7409.95"/>
    <n v="4030.95"/>
    <s v="Debit Card"/>
    <x v="9"/>
    <n v="4"/>
    <x v="11"/>
  </r>
  <r>
    <s v="ORD100028"/>
    <d v="2025-07-27T00:00:00"/>
    <s v="Decathlon Chennai"/>
    <x v="3"/>
    <x v="2"/>
    <s v="CUST1624"/>
    <s v="Female"/>
    <x v="2"/>
    <x v="0"/>
    <x v="5"/>
    <s v="Trekking Shoes"/>
    <x v="5"/>
    <n v="3"/>
    <n v="5189.5600000000004"/>
    <n v="0"/>
    <n v="15568.68"/>
    <n v="9973.7800000000007"/>
    <n v="5594.9"/>
    <s v="Net Banking"/>
    <x v="0"/>
    <n v="3"/>
    <x v="8"/>
  </r>
  <r>
    <s v="ORD100029"/>
    <d v="2025-10-03T00:00:00"/>
    <s v="Decathlon Jaipur"/>
    <x v="0"/>
    <x v="0"/>
    <s v="CUST1800"/>
    <s v="Female"/>
    <x v="1"/>
    <x v="0"/>
    <x v="1"/>
    <s v="Resistance Band"/>
    <x v="1"/>
    <n v="2"/>
    <n v="918.1"/>
    <n v="0.1"/>
    <n v="1652.58"/>
    <n v="773.27"/>
    <n v="879.31"/>
    <s v="UPI"/>
    <x v="0"/>
    <n v="3"/>
    <x v="9"/>
  </r>
  <r>
    <s v="ORD100030"/>
    <d v="2025-10-14T00:00:00"/>
    <s v="Decathlon Gurugram"/>
    <x v="8"/>
    <x v="0"/>
    <s v="CUST1552"/>
    <s v="Female"/>
    <x v="2"/>
    <x v="1"/>
    <x v="1"/>
    <s v="Resistance Band"/>
    <x v="3"/>
    <n v="3"/>
    <n v="917.52"/>
    <n v="0"/>
    <n v="2752.56"/>
    <n v="1157.9000000000001"/>
    <n v="1594.66"/>
    <s v="Cash"/>
    <x v="8"/>
    <n v="4"/>
    <x v="9"/>
  </r>
  <r>
    <s v="ORD100031"/>
    <d v="2025-05-18T00:00:00"/>
    <s v="Decathlon Bengaluru"/>
    <x v="4"/>
    <x v="2"/>
    <s v="CUST1308"/>
    <s v="Female"/>
    <x v="1"/>
    <x v="1"/>
    <x v="1"/>
    <s v="Yoga Block"/>
    <x v="2"/>
    <n v="3"/>
    <n v="616.37"/>
    <n v="0.1"/>
    <n v="1664.2"/>
    <n v="806.31"/>
    <n v="857.89"/>
    <s v="UPI"/>
    <x v="8"/>
    <n v="4"/>
    <x v="10"/>
  </r>
  <r>
    <s v="ORD100032"/>
    <d v="2025-05-25T00:00:00"/>
    <s v="Decathlon Ahmedabad"/>
    <x v="2"/>
    <x v="1"/>
    <s v="CUST1224"/>
    <s v="Female"/>
    <x v="0"/>
    <x v="2"/>
    <x v="3"/>
    <s v="Mountain Bike"/>
    <x v="5"/>
    <n v="5"/>
    <n v="24546.9"/>
    <n v="0.3"/>
    <n v="85914.15"/>
    <n v="89518.74"/>
    <n v="-3604.59"/>
    <s v="Cash"/>
    <x v="0"/>
    <n v="3"/>
    <x v="10"/>
  </r>
  <r>
    <s v="ORD100033"/>
    <d v="2025-11-09T00:00:00"/>
    <s v="Decathlon Chennai"/>
    <x v="3"/>
    <x v="2"/>
    <s v="CUST1086"/>
    <s v="Female"/>
    <x v="0"/>
    <x v="0"/>
    <x v="1"/>
    <s v="Yoga Mat"/>
    <x v="1"/>
    <n v="5"/>
    <n v="1502.55"/>
    <n v="0.1"/>
    <n v="6761.48"/>
    <n v="3422.02"/>
    <n v="3339.46"/>
    <s v="Credit Card"/>
    <x v="7"/>
    <n v="3"/>
    <x v="2"/>
  </r>
  <r>
    <s v="ORD100034"/>
    <d v="2025-12-21T00:00:00"/>
    <s v="Decathlon Delhi"/>
    <x v="9"/>
    <x v="0"/>
    <s v="CUST1503"/>
    <s v="Male"/>
    <x v="2"/>
    <x v="1"/>
    <x v="1"/>
    <s v="Yoga Block"/>
    <x v="0"/>
    <n v="1"/>
    <n v="580.52"/>
    <n v="0.2"/>
    <n v="464.42"/>
    <n v="272.54000000000002"/>
    <n v="191.88"/>
    <s v="Credit Card"/>
    <x v="2"/>
    <n v="3"/>
    <x v="0"/>
  </r>
  <r>
    <s v="ORD100035"/>
    <d v="2025-04-11T00:00:00"/>
    <s v="Decathlon Noida"/>
    <x v="5"/>
    <x v="0"/>
    <s v="CUST1609"/>
    <s v="Male"/>
    <x v="3"/>
    <x v="1"/>
    <x v="2"/>
    <s v="Swim Cap"/>
    <x v="7"/>
    <n v="4"/>
    <n v="504.44"/>
    <n v="0"/>
    <n v="2017.76"/>
    <n v="892.17"/>
    <n v="1125.5899999999999"/>
    <s v="Debit Card"/>
    <x v="1"/>
    <n v="4"/>
    <x v="5"/>
  </r>
  <r>
    <s v="ORD100036"/>
    <d v="2025-08-16T00:00:00"/>
    <s v="Decathlon Pune"/>
    <x v="1"/>
    <x v="1"/>
    <s v="CUST1642"/>
    <s v="Female"/>
    <x v="3"/>
    <x v="0"/>
    <x v="4"/>
    <s v="Football Boots"/>
    <x v="0"/>
    <n v="4"/>
    <n v="3434.83"/>
    <n v="0.05"/>
    <n v="13052.35"/>
    <n v="8541.08"/>
    <n v="4511.2700000000004"/>
    <s v="Debit Card"/>
    <x v="2"/>
    <n v="4"/>
    <x v="3"/>
  </r>
  <r>
    <s v="ORD100037"/>
    <d v="2025-06-22T00:00:00"/>
    <s v="Decathlon Jaipur"/>
    <x v="0"/>
    <x v="0"/>
    <s v="CUST1296"/>
    <s v="Male"/>
    <x v="1"/>
    <x v="2"/>
    <x v="2"/>
    <s v="Swimsuit"/>
    <x v="2"/>
    <n v="5"/>
    <n v="1472.44"/>
    <n v="0.2"/>
    <n v="5889.76"/>
    <n v="4054.92"/>
    <n v="1834.84"/>
    <s v="UPI"/>
    <x v="5"/>
    <n v="3"/>
    <x v="11"/>
  </r>
  <r>
    <s v="ORD100038"/>
    <d v="2025-01-06T00:00:00"/>
    <s v="Decathlon Bengaluru"/>
    <x v="4"/>
    <x v="2"/>
    <s v="CUST1800"/>
    <s v="Female"/>
    <x v="3"/>
    <x v="1"/>
    <x v="4"/>
    <s v="Football"/>
    <x v="0"/>
    <n v="4"/>
    <n v="1350.77"/>
    <n v="0.05"/>
    <n v="5132.93"/>
    <n v="2842.45"/>
    <n v="2290.48"/>
    <s v="Net Banking"/>
    <x v="4"/>
    <n v="3"/>
    <x v="4"/>
  </r>
  <r>
    <s v="ORD100039"/>
    <d v="2025-04-16T00:00:00"/>
    <s v="Decathlon Mumbai"/>
    <x v="6"/>
    <x v="1"/>
    <s v="CUST1530"/>
    <s v="Male"/>
    <x v="1"/>
    <x v="1"/>
    <x v="2"/>
    <s v="Swimming Goggles"/>
    <x v="5"/>
    <n v="4"/>
    <n v="881.37"/>
    <n v="0.15"/>
    <n v="2996.66"/>
    <n v="1870.69"/>
    <n v="1125.97"/>
    <s v="Credit Card"/>
    <x v="0"/>
    <n v="3"/>
    <x v="5"/>
  </r>
  <r>
    <s v="ORD100040"/>
    <d v="2025-04-13T00:00:00"/>
    <s v="Decathlon Bengaluru"/>
    <x v="4"/>
    <x v="2"/>
    <s v="CUST1828"/>
    <s v="Male"/>
    <x v="3"/>
    <x v="2"/>
    <x v="2"/>
    <s v="Swim Cap"/>
    <x v="6"/>
    <n v="4"/>
    <n v="521.79"/>
    <n v="0.2"/>
    <n v="1669.73"/>
    <n v="923.07"/>
    <n v="746.66"/>
    <s v="Debit Card"/>
    <x v="6"/>
    <n v="5"/>
    <x v="5"/>
  </r>
  <r>
    <s v="ORD100041"/>
    <d v="2025-12-06T00:00:00"/>
    <s v="Decathlon Chennai"/>
    <x v="3"/>
    <x v="2"/>
    <s v="CUST1658"/>
    <s v="Female"/>
    <x v="1"/>
    <x v="0"/>
    <x v="2"/>
    <s v="Swimsuit"/>
    <x v="0"/>
    <n v="3"/>
    <n v="1484.69"/>
    <n v="0.1"/>
    <n v="4008.66"/>
    <n v="2647.8"/>
    <n v="1360.86"/>
    <s v="UPI"/>
    <x v="1"/>
    <n v="4"/>
    <x v="0"/>
  </r>
  <r>
    <s v="ORD100042"/>
    <d v="2025-07-06T00:00:00"/>
    <s v="Decathlon Bengaluru"/>
    <x v="4"/>
    <x v="2"/>
    <s v="CUST1374"/>
    <s v="Male"/>
    <x v="0"/>
    <x v="1"/>
    <x v="1"/>
    <s v="Resistance Band"/>
    <x v="1"/>
    <n v="2"/>
    <n v="896.64"/>
    <n v="0.1"/>
    <n v="1613.95"/>
    <n v="823.27"/>
    <n v="790.68"/>
    <s v="Debit Card"/>
    <x v="8"/>
    <n v="4"/>
    <x v="8"/>
  </r>
  <r>
    <s v="ORD100043"/>
    <d v="2025-10-02T00:00:00"/>
    <s v="Decathlon Delhi"/>
    <x v="9"/>
    <x v="0"/>
    <s v="CUST1646"/>
    <s v="Female"/>
    <x v="2"/>
    <x v="1"/>
    <x v="3"/>
    <s v="Mountain Bike"/>
    <x v="5"/>
    <n v="3"/>
    <n v="25905.23"/>
    <n v="0.05"/>
    <n v="73829.91"/>
    <n v="51533.1"/>
    <n v="22296.81"/>
    <s v="Net Banking"/>
    <x v="4"/>
    <n v="4"/>
    <x v="9"/>
  </r>
  <r>
    <s v="ORD100044"/>
    <d v="2025-02-27T00:00:00"/>
    <s v="Decathlon Mumbai"/>
    <x v="6"/>
    <x v="1"/>
    <s v="CUST1179"/>
    <s v="Female"/>
    <x v="0"/>
    <x v="2"/>
    <x v="4"/>
    <s v="Shin Guards"/>
    <x v="6"/>
    <n v="2"/>
    <n v="1026.3800000000001"/>
    <n v="0.05"/>
    <n v="1950.12"/>
    <n v="1026.43"/>
    <n v="923.69"/>
    <s v="Cash"/>
    <x v="3"/>
    <n v="3"/>
    <x v="6"/>
  </r>
  <r>
    <s v="ORD100045"/>
    <d v="2025-07-01T00:00:00"/>
    <s v="Decathlon Delhi"/>
    <x v="9"/>
    <x v="0"/>
    <s v="CUST1308"/>
    <s v="Male"/>
    <x v="0"/>
    <x v="0"/>
    <x v="0"/>
    <s v="Running T-Shirt"/>
    <x v="4"/>
    <n v="4"/>
    <n v="997.15"/>
    <n v="0.3"/>
    <n v="2792.02"/>
    <n v="1831.35"/>
    <n v="960.67"/>
    <s v="UPI"/>
    <x v="7"/>
    <n v="4"/>
    <x v="8"/>
  </r>
  <r>
    <s v="ORD100046"/>
    <d v="2025-09-07T00:00:00"/>
    <s v="Decathlon Pune"/>
    <x v="1"/>
    <x v="1"/>
    <s v="CUST1143"/>
    <s v="Female"/>
    <x v="0"/>
    <x v="2"/>
    <x v="1"/>
    <s v="Yoga Block"/>
    <x v="4"/>
    <n v="4"/>
    <n v="581.66999999999996"/>
    <n v="0.25"/>
    <n v="1745.01"/>
    <n v="992.37"/>
    <n v="752.64"/>
    <s v="UPI"/>
    <x v="7"/>
    <n v="3"/>
    <x v="7"/>
  </r>
  <r>
    <s v="ORD100047"/>
    <d v="2025-09-29T00:00:00"/>
    <s v="Decathlon Pune"/>
    <x v="1"/>
    <x v="1"/>
    <s v="CUST1062"/>
    <s v="Male"/>
    <x v="1"/>
    <x v="0"/>
    <x v="0"/>
    <s v="Running Shoes"/>
    <x v="2"/>
    <n v="4"/>
    <n v="4054.32"/>
    <n v="0"/>
    <n v="16217.28"/>
    <n v="8850.36"/>
    <n v="7366.92"/>
    <s v="UPI"/>
    <x v="3"/>
    <n v="4"/>
    <x v="7"/>
  </r>
  <r>
    <s v="ORD100048"/>
    <d v="2025-02-05T00:00:00"/>
    <s v="Decathlon Delhi"/>
    <x v="9"/>
    <x v="0"/>
    <s v="CUST1999"/>
    <s v="Male"/>
    <x v="0"/>
    <x v="1"/>
    <x v="0"/>
    <s v="Fitness Band"/>
    <x v="3"/>
    <n v="4"/>
    <n v="2622.57"/>
    <n v="0.05"/>
    <n v="9965.77"/>
    <n v="6065.45"/>
    <n v="3900.32"/>
    <s v="Net Banking"/>
    <x v="3"/>
    <n v="4"/>
    <x v="6"/>
  </r>
  <r>
    <s v="ORD100049"/>
    <d v="2025-05-17T00:00:00"/>
    <s v="Decathlon Noida"/>
    <x v="5"/>
    <x v="0"/>
    <s v="CUST1655"/>
    <s v="Female"/>
    <x v="0"/>
    <x v="1"/>
    <x v="0"/>
    <s v="Running T-Shirt"/>
    <x v="5"/>
    <n v="3"/>
    <n v="993.6"/>
    <n v="0.15"/>
    <n v="2533.6799999999998"/>
    <n v="1406"/>
    <n v="1127.68"/>
    <s v="Cash"/>
    <x v="9"/>
    <n v="4"/>
    <x v="10"/>
  </r>
  <r>
    <s v="ORD100050"/>
    <d v="2025-08-04T00:00:00"/>
    <s v="Decathlon Chennai"/>
    <x v="3"/>
    <x v="2"/>
    <s v="CUST1954"/>
    <s v="Female"/>
    <x v="1"/>
    <x v="0"/>
    <x v="1"/>
    <s v="Resistance Band"/>
    <x v="7"/>
    <n v="4"/>
    <n v="911.03"/>
    <n v="0.2"/>
    <n v="2915.3"/>
    <n v="1548.25"/>
    <n v="1367.05"/>
    <s v="UPI"/>
    <x v="2"/>
    <n v="5"/>
    <x v="3"/>
  </r>
  <r>
    <s v="ORD100051"/>
    <d v="2025-12-22T00:00:00"/>
    <s v="Decathlon Ahmedabad"/>
    <x v="2"/>
    <x v="1"/>
    <s v="CUST1385"/>
    <s v="Male"/>
    <x v="2"/>
    <x v="1"/>
    <x v="1"/>
    <s v="Yoga Block"/>
    <x v="6"/>
    <n v="3"/>
    <n v="572.98"/>
    <n v="0.1"/>
    <n v="1547.05"/>
    <n v="808.82"/>
    <n v="738.23"/>
    <s v="Debit Card"/>
    <x v="2"/>
    <n v="3"/>
    <x v="0"/>
  </r>
  <r>
    <s v="ORD100052"/>
    <d v="2025-10-13T00:00:00"/>
    <s v="Decathlon Ahmedabad"/>
    <x v="2"/>
    <x v="1"/>
    <s v="CUST1516"/>
    <s v="Male"/>
    <x v="1"/>
    <x v="2"/>
    <x v="1"/>
    <s v="Resistance Band"/>
    <x v="7"/>
    <n v="3"/>
    <n v="898.31"/>
    <n v="0"/>
    <n v="2694.93"/>
    <n v="1257.01"/>
    <n v="1437.92"/>
    <s v="Net Banking"/>
    <x v="0"/>
    <n v="3"/>
    <x v="9"/>
  </r>
  <r>
    <s v="ORD100053"/>
    <d v="2025-11-12T00:00:00"/>
    <s v="Decathlon Jaipur"/>
    <x v="0"/>
    <x v="0"/>
    <s v="CUST1569"/>
    <s v="Female"/>
    <x v="2"/>
    <x v="0"/>
    <x v="1"/>
    <s v="Yoga Mat"/>
    <x v="5"/>
    <n v="4"/>
    <n v="1436.36"/>
    <n v="0.3"/>
    <n v="4021.81"/>
    <n v="2870.03"/>
    <n v="1151.78"/>
    <s v="Net Banking"/>
    <x v="0"/>
    <n v="3"/>
    <x v="2"/>
  </r>
  <r>
    <s v="ORD100054"/>
    <d v="2025-11-04T00:00:00"/>
    <s v="Decathlon Delhi"/>
    <x v="9"/>
    <x v="0"/>
    <s v="CUST1768"/>
    <s v="Female"/>
    <x v="0"/>
    <x v="2"/>
    <x v="2"/>
    <s v="Swimming Goggles"/>
    <x v="4"/>
    <n v="3"/>
    <n v="929.21"/>
    <n v="0.2"/>
    <n v="2230.1"/>
    <n v="1338.8"/>
    <n v="891.3"/>
    <s v="Net Banking"/>
    <x v="5"/>
    <n v="5"/>
    <x v="2"/>
  </r>
  <r>
    <s v="ORD100055"/>
    <d v="2025-08-03T00:00:00"/>
    <s v="Decathlon Chennai"/>
    <x v="3"/>
    <x v="2"/>
    <s v="CUST1439"/>
    <s v="Male"/>
    <x v="2"/>
    <x v="2"/>
    <x v="5"/>
    <s v="Water Bottle"/>
    <x v="4"/>
    <n v="1"/>
    <n v="718.1"/>
    <n v="0.3"/>
    <n v="502.67"/>
    <n v="255.68"/>
    <n v="246.99"/>
    <s v="Net Banking"/>
    <x v="3"/>
    <n v="3"/>
    <x v="3"/>
  </r>
  <r>
    <s v="ORD100056"/>
    <d v="2025-02-04T00:00:00"/>
    <s v="Decathlon Chennai"/>
    <x v="3"/>
    <x v="2"/>
    <s v="CUST1841"/>
    <s v="Male"/>
    <x v="2"/>
    <x v="1"/>
    <x v="5"/>
    <s v="Backpack"/>
    <x v="1"/>
    <n v="1"/>
    <n v="2968.99"/>
    <n v="0.2"/>
    <n v="2375.19"/>
    <n v="1676.62"/>
    <n v="698.57"/>
    <s v="UPI"/>
    <x v="7"/>
    <n v="5"/>
    <x v="6"/>
  </r>
  <r>
    <s v="ORD100057"/>
    <d v="2025-05-08T00:00:00"/>
    <s v="Decathlon Hyderabad"/>
    <x v="7"/>
    <x v="2"/>
    <s v="CUST1317"/>
    <s v="Female"/>
    <x v="0"/>
    <x v="0"/>
    <x v="4"/>
    <s v="Football Boots"/>
    <x v="3"/>
    <n v="3"/>
    <n v="3609.91"/>
    <n v="0"/>
    <n v="10829.73"/>
    <n v="6422.39"/>
    <n v="4407.34"/>
    <s v="Cash"/>
    <x v="7"/>
    <n v="5"/>
    <x v="10"/>
  </r>
  <r>
    <s v="ORD100058"/>
    <d v="2025-10-28T00:00:00"/>
    <s v="Decathlon Jaipur"/>
    <x v="0"/>
    <x v="0"/>
    <s v="CUST1826"/>
    <s v="Female"/>
    <x v="0"/>
    <x v="0"/>
    <x v="4"/>
    <s v="Football"/>
    <x v="4"/>
    <n v="2"/>
    <n v="1235.3900000000001"/>
    <n v="0.15"/>
    <n v="2100.16"/>
    <n v="1334.92"/>
    <n v="765.24"/>
    <s v="Net Banking"/>
    <x v="4"/>
    <n v="4"/>
    <x v="9"/>
  </r>
  <r>
    <s v="ORD100059"/>
    <d v="2025-09-28T00:00:00"/>
    <s v="Decathlon Jaipur"/>
    <x v="0"/>
    <x v="0"/>
    <s v="CUST1028"/>
    <s v="Female"/>
    <x v="1"/>
    <x v="1"/>
    <x v="0"/>
    <s v="Fitness Band"/>
    <x v="5"/>
    <n v="5"/>
    <n v="2408.6999999999998"/>
    <n v="0.15"/>
    <n v="10236.98"/>
    <n v="7595.37"/>
    <n v="2641.61"/>
    <s v="Debit Card"/>
    <x v="8"/>
    <n v="3"/>
    <x v="7"/>
  </r>
  <r>
    <s v="ORD100060"/>
    <d v="2025-03-08T00:00:00"/>
    <s v="Decathlon Noida"/>
    <x v="5"/>
    <x v="0"/>
    <s v="CUST1667"/>
    <s v="Female"/>
    <x v="2"/>
    <x v="2"/>
    <x v="2"/>
    <s v="Swim Cap"/>
    <x v="4"/>
    <n v="1"/>
    <n v="484.99"/>
    <n v="0.15"/>
    <n v="412.24"/>
    <n v="228.33"/>
    <n v="183.91"/>
    <s v="Credit Card"/>
    <x v="0"/>
    <n v="5"/>
    <x v="1"/>
  </r>
  <r>
    <s v="ORD100061"/>
    <d v="2025-03-20T00:00:00"/>
    <s v="Decathlon Noida"/>
    <x v="5"/>
    <x v="0"/>
    <s v="CUST1211"/>
    <s v="Male"/>
    <x v="0"/>
    <x v="2"/>
    <x v="4"/>
    <s v="Shin Guards"/>
    <x v="6"/>
    <n v="5"/>
    <n v="1042.92"/>
    <n v="0.1"/>
    <n v="4693.1400000000003"/>
    <n v="2469.5700000000002"/>
    <n v="2223.5700000000002"/>
    <s v="Credit Card"/>
    <x v="3"/>
    <n v="5"/>
    <x v="1"/>
  </r>
  <r>
    <s v="ORD100062"/>
    <d v="2025-12-26T00:00:00"/>
    <s v="Decathlon Jaipur"/>
    <x v="0"/>
    <x v="0"/>
    <s v="CUST1694"/>
    <s v="Male"/>
    <x v="3"/>
    <x v="1"/>
    <x v="1"/>
    <s v="Yoga Block"/>
    <x v="7"/>
    <n v="1"/>
    <n v="607.25"/>
    <n v="0"/>
    <n v="607.25"/>
    <n v="261.81"/>
    <n v="345.44"/>
    <s v="Credit Card"/>
    <x v="2"/>
    <n v="4"/>
    <x v="0"/>
  </r>
  <r>
    <s v="ORD100063"/>
    <d v="2025-06-29T00:00:00"/>
    <s v="Decathlon Jaipur"/>
    <x v="0"/>
    <x v="0"/>
    <s v="CUST1859"/>
    <s v="Male"/>
    <x v="1"/>
    <x v="1"/>
    <x v="5"/>
    <s v="Water Bottle"/>
    <x v="7"/>
    <n v="4"/>
    <n v="664.38"/>
    <n v="0.05"/>
    <n v="2524.64"/>
    <n v="1022.98"/>
    <n v="1501.66"/>
    <s v="Net Banking"/>
    <x v="1"/>
    <n v="3"/>
    <x v="11"/>
  </r>
  <r>
    <s v="ORD100064"/>
    <d v="2025-05-22T00:00:00"/>
    <s v="Decathlon Bengaluru"/>
    <x v="4"/>
    <x v="2"/>
    <s v="CUST1277"/>
    <s v="Male"/>
    <x v="3"/>
    <x v="2"/>
    <x v="5"/>
    <s v="Backpack"/>
    <x v="4"/>
    <n v="3"/>
    <n v="2894.84"/>
    <n v="0"/>
    <n v="8684.52"/>
    <n v="5201.91"/>
    <n v="3482.61"/>
    <s v="Cash"/>
    <x v="9"/>
    <n v="5"/>
    <x v="10"/>
  </r>
  <r>
    <s v="ORD100065"/>
    <d v="2025-07-20T00:00:00"/>
    <s v="Decathlon Hyderabad"/>
    <x v="7"/>
    <x v="2"/>
    <s v="CUST1984"/>
    <s v="Male"/>
    <x v="3"/>
    <x v="1"/>
    <x v="2"/>
    <s v="Swim Cap"/>
    <x v="5"/>
    <n v="3"/>
    <n v="499.3"/>
    <n v="0"/>
    <n v="1497.9"/>
    <n v="632.55999999999995"/>
    <n v="865.34"/>
    <s v="Debit Card"/>
    <x v="9"/>
    <n v="3"/>
    <x v="8"/>
  </r>
  <r>
    <s v="ORD100066"/>
    <d v="2025-07-28T00:00:00"/>
    <s v="Decathlon Noida"/>
    <x v="5"/>
    <x v="0"/>
    <s v="CUST1138"/>
    <s v="Male"/>
    <x v="3"/>
    <x v="1"/>
    <x v="4"/>
    <s v="Football"/>
    <x v="5"/>
    <n v="4"/>
    <n v="1327.59"/>
    <n v="0.15"/>
    <n v="4513.8100000000004"/>
    <n v="2917.2"/>
    <n v="1596.61"/>
    <s v="Net Banking"/>
    <x v="2"/>
    <n v="3"/>
    <x v="8"/>
  </r>
  <r>
    <s v="ORD100067"/>
    <d v="2025-02-16T00:00:00"/>
    <s v="Decathlon Bengaluru"/>
    <x v="4"/>
    <x v="2"/>
    <s v="CUST1710"/>
    <s v="Male"/>
    <x v="1"/>
    <x v="1"/>
    <x v="5"/>
    <s v="Backpack"/>
    <x v="3"/>
    <n v="5"/>
    <n v="2986.9"/>
    <n v="0.2"/>
    <n v="11947.6"/>
    <n v="8636.51"/>
    <n v="3311.09"/>
    <s v="Credit Card"/>
    <x v="4"/>
    <n v="4"/>
    <x v="6"/>
  </r>
  <r>
    <s v="ORD100068"/>
    <d v="2025-05-24T00:00:00"/>
    <s v="Decathlon Mumbai"/>
    <x v="6"/>
    <x v="1"/>
    <s v="CUST1194"/>
    <s v="Male"/>
    <x v="3"/>
    <x v="2"/>
    <x v="3"/>
    <s v="Mountain Bike"/>
    <x v="7"/>
    <n v="4"/>
    <n v="23856.59"/>
    <n v="0.1"/>
    <n v="85883.72"/>
    <n v="71000.13"/>
    <n v="14883.59"/>
    <s v="Net Banking"/>
    <x v="2"/>
    <n v="3"/>
    <x v="10"/>
  </r>
  <r>
    <s v="ORD100069"/>
    <d v="2025-09-03T00:00:00"/>
    <s v="Decathlon Gurugram"/>
    <x v="8"/>
    <x v="0"/>
    <s v="CUST1561"/>
    <s v="Male"/>
    <x v="1"/>
    <x v="2"/>
    <x v="5"/>
    <s v="Backpack"/>
    <x v="6"/>
    <n v="1"/>
    <n v="2894.33"/>
    <n v="0.3"/>
    <n v="2026.03"/>
    <n v="1684.03"/>
    <n v="342"/>
    <s v="UPI"/>
    <x v="5"/>
    <n v="4"/>
    <x v="7"/>
  </r>
  <r>
    <s v="ORD100070"/>
    <d v="2025-03-22T00:00:00"/>
    <s v="Decathlon Pune"/>
    <x v="1"/>
    <x v="1"/>
    <s v="CUST1653"/>
    <s v="Male"/>
    <x v="1"/>
    <x v="1"/>
    <x v="0"/>
    <s v="Running Shoes"/>
    <x v="3"/>
    <n v="5"/>
    <n v="4171.3500000000004"/>
    <n v="0.15"/>
    <n v="17728.240000000002"/>
    <n v="10839.73"/>
    <n v="6888.51"/>
    <s v="Debit Card"/>
    <x v="8"/>
    <n v="5"/>
    <x v="1"/>
  </r>
  <r>
    <s v="ORD100071"/>
    <d v="2025-08-24T00:00:00"/>
    <s v="Decathlon Jaipur"/>
    <x v="0"/>
    <x v="0"/>
    <s v="CUST1834"/>
    <s v="Male"/>
    <x v="3"/>
    <x v="2"/>
    <x v="5"/>
    <s v="Water Bottle"/>
    <x v="7"/>
    <n v="4"/>
    <n v="668.2"/>
    <n v="0.05"/>
    <n v="2539.16"/>
    <n v="1015.85"/>
    <n v="1523.31"/>
    <s v="UPI"/>
    <x v="9"/>
    <n v="5"/>
    <x v="3"/>
  </r>
  <r>
    <s v="ORD100072"/>
    <d v="2025-05-21T00:00:00"/>
    <s v="Decathlon Mumbai"/>
    <x v="6"/>
    <x v="1"/>
    <s v="CUST1952"/>
    <s v="Female"/>
    <x v="2"/>
    <x v="1"/>
    <x v="5"/>
    <s v="Trekking Shoes"/>
    <x v="7"/>
    <n v="5"/>
    <n v="4892.21"/>
    <n v="0.1"/>
    <n v="22014.94"/>
    <n v="15744.83"/>
    <n v="6270.11"/>
    <s v="UPI"/>
    <x v="4"/>
    <n v="3"/>
    <x v="10"/>
  </r>
  <r>
    <s v="ORD100073"/>
    <d v="2025-05-20T00:00:00"/>
    <s v="Decathlon Pune"/>
    <x v="1"/>
    <x v="1"/>
    <s v="CUST1350"/>
    <s v="Male"/>
    <x v="2"/>
    <x v="1"/>
    <x v="3"/>
    <s v="Helmet"/>
    <x v="4"/>
    <n v="4"/>
    <n v="1944.27"/>
    <n v="0.3"/>
    <n v="5443.96"/>
    <n v="4407.8599999999997"/>
    <n v="1036.0999999999999"/>
    <s v="Cash"/>
    <x v="4"/>
    <n v="5"/>
    <x v="10"/>
  </r>
  <r>
    <s v="ORD100074"/>
    <d v="2025-07-26T00:00:00"/>
    <s v="Decathlon Chennai"/>
    <x v="3"/>
    <x v="2"/>
    <s v="CUST1643"/>
    <s v="Female"/>
    <x v="3"/>
    <x v="1"/>
    <x v="2"/>
    <s v="Swim Cap"/>
    <x v="1"/>
    <n v="4"/>
    <n v="521.74"/>
    <n v="0.05"/>
    <n v="1982.61"/>
    <n v="879.23"/>
    <n v="1103.3800000000001"/>
    <s v="Cash"/>
    <x v="8"/>
    <n v="5"/>
    <x v="8"/>
  </r>
  <r>
    <s v="ORD100075"/>
    <d v="2025-05-27T00:00:00"/>
    <s v="Decathlon Chennai"/>
    <x v="3"/>
    <x v="2"/>
    <s v="CUST1375"/>
    <s v="Male"/>
    <x v="0"/>
    <x v="2"/>
    <x v="2"/>
    <s v="Swimming Goggles"/>
    <x v="5"/>
    <n v="1"/>
    <n v="937.53"/>
    <n v="0.05"/>
    <n v="890.65"/>
    <n v="461.2"/>
    <n v="429.45"/>
    <s v="Net Banking"/>
    <x v="1"/>
    <n v="4"/>
    <x v="10"/>
  </r>
  <r>
    <s v="ORD100076"/>
    <d v="2025-06-03T00:00:00"/>
    <s v="Decathlon Ahmedabad"/>
    <x v="2"/>
    <x v="1"/>
    <s v="CUST1765"/>
    <s v="Male"/>
    <x v="2"/>
    <x v="1"/>
    <x v="4"/>
    <s v="Football"/>
    <x v="6"/>
    <n v="4"/>
    <n v="1291.6199999999999"/>
    <n v="0.2"/>
    <n v="4133.18"/>
    <n v="2843.77"/>
    <n v="1289.4100000000001"/>
    <s v="Debit Card"/>
    <x v="3"/>
    <n v="4"/>
    <x v="11"/>
  </r>
  <r>
    <s v="ORD100077"/>
    <d v="2025-12-01T00:00:00"/>
    <s v="Decathlon Pune"/>
    <x v="1"/>
    <x v="1"/>
    <s v="CUST1741"/>
    <s v="Female"/>
    <x v="0"/>
    <x v="1"/>
    <x v="1"/>
    <s v="Yoga Block"/>
    <x v="5"/>
    <n v="1"/>
    <n v="603.33000000000004"/>
    <n v="0.2"/>
    <n v="482.66"/>
    <n v="263.44"/>
    <n v="219.22"/>
    <s v="Cash"/>
    <x v="4"/>
    <n v="5"/>
    <x v="0"/>
  </r>
  <r>
    <s v="ORD100078"/>
    <d v="2025-08-26T00:00:00"/>
    <s v="Decathlon Gurugram"/>
    <x v="8"/>
    <x v="0"/>
    <s v="CUST1707"/>
    <s v="Female"/>
    <x v="1"/>
    <x v="0"/>
    <x v="3"/>
    <s v="Helmet"/>
    <x v="6"/>
    <n v="4"/>
    <n v="2088.5500000000002"/>
    <n v="0.2"/>
    <n v="6683.36"/>
    <n v="4614.88"/>
    <n v="2068.48"/>
    <s v="Credit Card"/>
    <x v="6"/>
    <n v="5"/>
    <x v="3"/>
  </r>
  <r>
    <s v="ORD100079"/>
    <d v="2025-09-30T00:00:00"/>
    <s v="Decathlon Hyderabad"/>
    <x v="7"/>
    <x v="2"/>
    <s v="CUST1524"/>
    <s v="Female"/>
    <x v="0"/>
    <x v="2"/>
    <x v="5"/>
    <s v="Water Bottle"/>
    <x v="0"/>
    <n v="4"/>
    <n v="701.53"/>
    <n v="0.25"/>
    <n v="2104.59"/>
    <n v="987.68"/>
    <n v="1116.9100000000001"/>
    <s v="UPI"/>
    <x v="9"/>
    <n v="3"/>
    <x v="7"/>
  </r>
  <r>
    <s v="ORD100080"/>
    <d v="2025-06-30T00:00:00"/>
    <s v="Decathlon Pune"/>
    <x v="1"/>
    <x v="1"/>
    <s v="CUST1739"/>
    <s v="Male"/>
    <x v="3"/>
    <x v="2"/>
    <x v="5"/>
    <s v="Water Bottle"/>
    <x v="5"/>
    <n v="4"/>
    <n v="675.06"/>
    <n v="0.05"/>
    <n v="2565.23"/>
    <n v="1000.92"/>
    <n v="1564.31"/>
    <s v="Net Banking"/>
    <x v="2"/>
    <n v="3"/>
    <x v="11"/>
  </r>
  <r>
    <s v="ORD100081"/>
    <d v="2025-12-23T00:00:00"/>
    <s v="Decathlon Noida"/>
    <x v="5"/>
    <x v="0"/>
    <s v="CUST1259"/>
    <s v="Male"/>
    <x v="1"/>
    <x v="0"/>
    <x v="3"/>
    <s v="Mountain Bike"/>
    <x v="4"/>
    <n v="1"/>
    <n v="26174.16"/>
    <n v="0"/>
    <n v="26174.16"/>
    <n v="17942.22"/>
    <n v="8231.94"/>
    <s v="Debit Card"/>
    <x v="6"/>
    <n v="5"/>
    <x v="0"/>
  </r>
  <r>
    <s v="ORD100082"/>
    <d v="2025-06-05T00:00:00"/>
    <s v="Decathlon Gurugram"/>
    <x v="8"/>
    <x v="0"/>
    <s v="CUST1301"/>
    <s v="Female"/>
    <x v="1"/>
    <x v="1"/>
    <x v="0"/>
    <s v="Running Shoes"/>
    <x v="0"/>
    <n v="2"/>
    <n v="3807.84"/>
    <n v="0"/>
    <n v="7615.68"/>
    <n v="4372.62"/>
    <n v="3243.06"/>
    <s v="Debit Card"/>
    <x v="7"/>
    <n v="4"/>
    <x v="11"/>
  </r>
  <r>
    <s v="ORD100083"/>
    <d v="2025-04-08T00:00:00"/>
    <s v="Decathlon Hyderabad"/>
    <x v="7"/>
    <x v="2"/>
    <s v="CUST1570"/>
    <s v="Male"/>
    <x v="0"/>
    <x v="1"/>
    <x v="2"/>
    <s v="Swim Cap"/>
    <x v="3"/>
    <n v="5"/>
    <n v="477.32"/>
    <n v="0.3"/>
    <n v="1670.62"/>
    <n v="1084.81"/>
    <n v="585.80999999999995"/>
    <s v="Credit Card"/>
    <x v="5"/>
    <n v="4"/>
    <x v="5"/>
  </r>
  <r>
    <s v="ORD100084"/>
    <d v="2025-10-19T00:00:00"/>
    <s v="Decathlon Ahmedabad"/>
    <x v="2"/>
    <x v="1"/>
    <s v="CUST1740"/>
    <s v="Male"/>
    <x v="0"/>
    <x v="0"/>
    <x v="2"/>
    <s v="Swimming Goggles"/>
    <x v="6"/>
    <n v="5"/>
    <n v="941.79"/>
    <n v="0"/>
    <n v="4708.95"/>
    <n v="2258.86"/>
    <n v="2450.09"/>
    <s v="Net Banking"/>
    <x v="7"/>
    <n v="4"/>
    <x v="9"/>
  </r>
  <r>
    <s v="ORD100085"/>
    <d v="2025-05-29T00:00:00"/>
    <s v="Decathlon Hyderabad"/>
    <x v="7"/>
    <x v="2"/>
    <s v="CUST1958"/>
    <s v="Male"/>
    <x v="3"/>
    <x v="0"/>
    <x v="1"/>
    <s v="Resistance Band"/>
    <x v="4"/>
    <n v="4"/>
    <n v="916.93"/>
    <n v="0"/>
    <n v="3667.72"/>
    <n v="1648.46"/>
    <n v="2019.26"/>
    <s v="Cash"/>
    <x v="4"/>
    <n v="3"/>
    <x v="10"/>
  </r>
  <r>
    <s v="ORD100086"/>
    <d v="2025-11-26T00:00:00"/>
    <s v="Decathlon Pune"/>
    <x v="1"/>
    <x v="1"/>
    <s v="CUST1628"/>
    <s v="Female"/>
    <x v="2"/>
    <x v="0"/>
    <x v="2"/>
    <s v="Swimsuit"/>
    <x v="1"/>
    <n v="2"/>
    <n v="1520.11"/>
    <n v="0.2"/>
    <n v="2432.1799999999998"/>
    <n v="1724.75"/>
    <n v="707.43"/>
    <s v="UPI"/>
    <x v="4"/>
    <n v="5"/>
    <x v="2"/>
  </r>
  <r>
    <s v="ORD100087"/>
    <d v="2025-04-11T00:00:00"/>
    <s v="Decathlon Mumbai"/>
    <x v="6"/>
    <x v="1"/>
    <s v="CUST1745"/>
    <s v="Female"/>
    <x v="2"/>
    <x v="2"/>
    <x v="3"/>
    <s v="Mountain Bike"/>
    <x v="6"/>
    <n v="5"/>
    <n v="24775.9"/>
    <n v="0"/>
    <n v="123879.5"/>
    <n v="94426.22"/>
    <n v="29453.279999999999"/>
    <s v="Debit Card"/>
    <x v="8"/>
    <n v="5"/>
    <x v="5"/>
  </r>
  <r>
    <s v="ORD100088"/>
    <d v="2025-08-22T00:00:00"/>
    <s v="Decathlon Jaipur"/>
    <x v="0"/>
    <x v="0"/>
    <s v="CUST1622"/>
    <s v="Male"/>
    <x v="2"/>
    <x v="1"/>
    <x v="3"/>
    <s v="Mountain Bike"/>
    <x v="5"/>
    <n v="5"/>
    <n v="25462.17"/>
    <n v="0.1"/>
    <n v="114579.76"/>
    <n v="92865.39"/>
    <n v="21714.37"/>
    <s v="Net Banking"/>
    <x v="0"/>
    <n v="3"/>
    <x v="3"/>
  </r>
  <r>
    <s v="ORD100089"/>
    <d v="2025-06-03T00:00:00"/>
    <s v="Decathlon Chennai"/>
    <x v="3"/>
    <x v="2"/>
    <s v="CUST1751"/>
    <s v="Female"/>
    <x v="2"/>
    <x v="2"/>
    <x v="4"/>
    <s v="Football Boots"/>
    <x v="1"/>
    <n v="3"/>
    <n v="3331.76"/>
    <n v="0.1"/>
    <n v="8995.75"/>
    <n v="6189.44"/>
    <n v="2806.31"/>
    <s v="Credit Card"/>
    <x v="0"/>
    <n v="5"/>
    <x v="11"/>
  </r>
  <r>
    <s v="ORD100090"/>
    <d v="2025-09-29T00:00:00"/>
    <s v="Decathlon Hyderabad"/>
    <x v="7"/>
    <x v="2"/>
    <s v="CUST1245"/>
    <s v="Male"/>
    <x v="0"/>
    <x v="2"/>
    <x v="4"/>
    <s v="Shin Guards"/>
    <x v="0"/>
    <n v="4"/>
    <n v="973.65"/>
    <n v="0.05"/>
    <n v="3699.87"/>
    <n v="1936.69"/>
    <n v="1763.18"/>
    <s v="UPI"/>
    <x v="1"/>
    <n v="5"/>
    <x v="7"/>
  </r>
  <r>
    <s v="ORD100091"/>
    <d v="2025-04-20T00:00:00"/>
    <s v="Decathlon Noida"/>
    <x v="5"/>
    <x v="0"/>
    <s v="CUST1351"/>
    <s v="Female"/>
    <x v="2"/>
    <x v="2"/>
    <x v="1"/>
    <s v="Yoga Block"/>
    <x v="2"/>
    <n v="2"/>
    <n v="603.30999999999995"/>
    <n v="0"/>
    <n v="1206.6199999999999"/>
    <n v="522.92999999999995"/>
    <n v="683.69"/>
    <s v="Credit Card"/>
    <x v="8"/>
    <n v="4"/>
    <x v="5"/>
  </r>
  <r>
    <s v="ORD100092"/>
    <d v="2025-10-12T00:00:00"/>
    <s v="Decathlon Gurugram"/>
    <x v="8"/>
    <x v="0"/>
    <s v="CUST1283"/>
    <s v="Female"/>
    <x v="0"/>
    <x v="1"/>
    <x v="5"/>
    <s v="Backpack"/>
    <x v="4"/>
    <n v="2"/>
    <n v="2949.78"/>
    <n v="0.15"/>
    <n v="5014.63"/>
    <n v="3381.48"/>
    <n v="1633.15"/>
    <s v="Credit Card"/>
    <x v="0"/>
    <n v="3"/>
    <x v="9"/>
  </r>
  <r>
    <s v="ORD100093"/>
    <d v="2025-06-07T00:00:00"/>
    <s v="Decathlon Bengaluru"/>
    <x v="4"/>
    <x v="2"/>
    <s v="CUST1706"/>
    <s v="Female"/>
    <x v="0"/>
    <x v="0"/>
    <x v="2"/>
    <s v="Swim Cap"/>
    <x v="4"/>
    <n v="2"/>
    <n v="493.61"/>
    <n v="0.15"/>
    <n v="839.14"/>
    <n v="421.37"/>
    <n v="417.77"/>
    <s v="Debit Card"/>
    <x v="7"/>
    <n v="4"/>
    <x v="11"/>
  </r>
  <r>
    <s v="ORD100094"/>
    <d v="2025-06-21T00:00:00"/>
    <s v="Decathlon Delhi"/>
    <x v="9"/>
    <x v="0"/>
    <s v="CUST1934"/>
    <s v="Male"/>
    <x v="3"/>
    <x v="0"/>
    <x v="5"/>
    <s v="Backpack"/>
    <x v="3"/>
    <n v="4"/>
    <n v="2934.34"/>
    <n v="0.1"/>
    <n v="10563.62"/>
    <n v="6730.53"/>
    <n v="3833.09"/>
    <s v="UPI"/>
    <x v="4"/>
    <n v="4"/>
    <x v="11"/>
  </r>
  <r>
    <s v="ORD100095"/>
    <d v="2025-02-26T00:00:00"/>
    <s v="Decathlon Bengaluru"/>
    <x v="4"/>
    <x v="2"/>
    <s v="CUST1128"/>
    <s v="Male"/>
    <x v="3"/>
    <x v="2"/>
    <x v="0"/>
    <s v="Fitness Band"/>
    <x v="2"/>
    <n v="1"/>
    <n v="2458.91"/>
    <n v="0.15"/>
    <n v="2090.0700000000002"/>
    <n v="1548.99"/>
    <n v="541.08000000000004"/>
    <s v="Net Banking"/>
    <x v="4"/>
    <n v="5"/>
    <x v="6"/>
  </r>
  <r>
    <s v="ORD100096"/>
    <d v="2025-02-19T00:00:00"/>
    <s v="Decathlon Noida"/>
    <x v="5"/>
    <x v="0"/>
    <s v="CUST1534"/>
    <s v="Female"/>
    <x v="1"/>
    <x v="2"/>
    <x v="3"/>
    <s v="Cycling Gloves"/>
    <x v="2"/>
    <n v="4"/>
    <n v="778.79"/>
    <n v="0.3"/>
    <n v="2180.61"/>
    <n v="1424.39"/>
    <n v="756.22"/>
    <s v="UPI"/>
    <x v="4"/>
    <n v="4"/>
    <x v="6"/>
  </r>
  <r>
    <s v="ORD100097"/>
    <d v="2025-10-11T00:00:00"/>
    <s v="Decathlon Delhi"/>
    <x v="9"/>
    <x v="0"/>
    <s v="CUST1446"/>
    <s v="Female"/>
    <x v="3"/>
    <x v="2"/>
    <x v="0"/>
    <s v="Running Shoes"/>
    <x v="7"/>
    <n v="4"/>
    <n v="3807.96"/>
    <n v="0.2"/>
    <n v="12185.47"/>
    <n v="9102.81"/>
    <n v="3082.66"/>
    <s v="Cash"/>
    <x v="6"/>
    <n v="4"/>
    <x v="9"/>
  </r>
  <r>
    <s v="ORD100098"/>
    <d v="2025-05-09T00:00:00"/>
    <s v="Decathlon Delhi"/>
    <x v="9"/>
    <x v="0"/>
    <s v="CUST1504"/>
    <s v="Male"/>
    <x v="0"/>
    <x v="2"/>
    <x v="4"/>
    <s v="Football"/>
    <x v="7"/>
    <n v="1"/>
    <n v="1269.56"/>
    <n v="0"/>
    <n v="1269.56"/>
    <n v="701.61"/>
    <n v="567.95000000000005"/>
    <s v="UPI"/>
    <x v="4"/>
    <n v="4"/>
    <x v="10"/>
  </r>
  <r>
    <s v="ORD100099"/>
    <d v="2025-07-01T00:00:00"/>
    <s v="Decathlon Noida"/>
    <x v="5"/>
    <x v="0"/>
    <s v="CUST1731"/>
    <s v="Female"/>
    <x v="3"/>
    <x v="0"/>
    <x v="1"/>
    <s v="Resistance Band"/>
    <x v="5"/>
    <n v="2"/>
    <n v="872.28"/>
    <n v="0.2"/>
    <n v="1395.65"/>
    <n v="770.51"/>
    <n v="625.14"/>
    <s v="Cash"/>
    <x v="2"/>
    <n v="3"/>
    <x v="8"/>
  </r>
  <r>
    <s v="ORD100100"/>
    <d v="2025-09-14T00:00:00"/>
    <s v="Decathlon Bengaluru"/>
    <x v="4"/>
    <x v="2"/>
    <s v="CUST1446"/>
    <s v="Male"/>
    <x v="1"/>
    <x v="1"/>
    <x v="5"/>
    <s v="Backpack"/>
    <x v="5"/>
    <n v="1"/>
    <n v="2950.4"/>
    <n v="0.1"/>
    <n v="2655.36"/>
    <n v="1664.27"/>
    <n v="991.09"/>
    <s v="Net Banking"/>
    <x v="5"/>
    <n v="4"/>
    <x v="7"/>
  </r>
  <r>
    <s v="ORD100101"/>
    <d v="2025-08-20T00:00:00"/>
    <s v="Decathlon Mumbai"/>
    <x v="6"/>
    <x v="1"/>
    <s v="CUST1173"/>
    <s v="Female"/>
    <x v="0"/>
    <x v="1"/>
    <x v="5"/>
    <s v="Water Bottle"/>
    <x v="0"/>
    <n v="1"/>
    <n v="684.48"/>
    <n v="0.25"/>
    <n v="513.36"/>
    <n v="260"/>
    <n v="253.36"/>
    <s v="Credit Card"/>
    <x v="4"/>
    <n v="3"/>
    <x v="3"/>
  </r>
  <r>
    <s v="ORD100102"/>
    <d v="2025-06-07T00:00:00"/>
    <s v="Decathlon Jaipur"/>
    <x v="0"/>
    <x v="0"/>
    <s v="CUST1845"/>
    <s v="Female"/>
    <x v="2"/>
    <x v="2"/>
    <x v="5"/>
    <s v="Water Bottle"/>
    <x v="6"/>
    <n v="1"/>
    <n v="719.83"/>
    <n v="0.05"/>
    <n v="683.84"/>
    <n v="252.22"/>
    <n v="431.62"/>
    <s v="Debit Card"/>
    <x v="1"/>
    <n v="5"/>
    <x v="11"/>
  </r>
  <r>
    <s v="ORD100103"/>
    <d v="2025-05-25T00:00:00"/>
    <s v="Decathlon Chennai"/>
    <x v="3"/>
    <x v="2"/>
    <s v="CUST1211"/>
    <s v="Female"/>
    <x v="1"/>
    <x v="0"/>
    <x v="2"/>
    <s v="Swim Cap"/>
    <x v="4"/>
    <n v="4"/>
    <n v="476.26"/>
    <n v="0.3"/>
    <n v="1333.53"/>
    <n v="874.81"/>
    <n v="458.72"/>
    <s v="Net Banking"/>
    <x v="3"/>
    <n v="4"/>
    <x v="10"/>
  </r>
  <r>
    <s v="ORD100104"/>
    <d v="2025-01-04T00:00:00"/>
    <s v="Decathlon Ahmedabad"/>
    <x v="2"/>
    <x v="1"/>
    <s v="CUST1243"/>
    <s v="Male"/>
    <x v="3"/>
    <x v="2"/>
    <x v="4"/>
    <s v="Football Boots"/>
    <x v="1"/>
    <n v="3"/>
    <n v="3530.2"/>
    <n v="0.2"/>
    <n v="8472.48"/>
    <n v="6233.64"/>
    <n v="2238.84"/>
    <s v="Debit Card"/>
    <x v="5"/>
    <n v="5"/>
    <x v="4"/>
  </r>
  <r>
    <s v="ORD100105"/>
    <d v="2025-02-02T00:00:00"/>
    <s v="Decathlon Bengaluru"/>
    <x v="4"/>
    <x v="2"/>
    <s v="CUST1623"/>
    <s v="Female"/>
    <x v="3"/>
    <x v="0"/>
    <x v="2"/>
    <s v="Swim Cap"/>
    <x v="6"/>
    <n v="2"/>
    <n v="518.47"/>
    <n v="0.05"/>
    <n v="985.09"/>
    <n v="454.08"/>
    <n v="531.01"/>
    <s v="Debit Card"/>
    <x v="0"/>
    <n v="4"/>
    <x v="6"/>
  </r>
  <r>
    <s v="ORD100106"/>
    <d v="2025-04-15T00:00:00"/>
    <s v="Decathlon Hyderabad"/>
    <x v="7"/>
    <x v="2"/>
    <s v="CUST1183"/>
    <s v="Female"/>
    <x v="0"/>
    <x v="2"/>
    <x v="5"/>
    <s v="Backpack"/>
    <x v="5"/>
    <n v="5"/>
    <n v="2872.33"/>
    <n v="0.1"/>
    <n v="12925.49"/>
    <n v="8776.25"/>
    <n v="4149.24"/>
    <s v="Credit Card"/>
    <x v="7"/>
    <n v="5"/>
    <x v="5"/>
  </r>
  <r>
    <s v="ORD100107"/>
    <d v="2025-11-15T00:00:00"/>
    <s v="Decathlon Gurugram"/>
    <x v="8"/>
    <x v="0"/>
    <s v="CUST1329"/>
    <s v="Male"/>
    <x v="0"/>
    <x v="1"/>
    <x v="0"/>
    <s v="Running T-Shirt"/>
    <x v="3"/>
    <n v="2"/>
    <n v="1040.1199999999999"/>
    <n v="0.25"/>
    <n v="1560.18"/>
    <n v="914.54"/>
    <n v="645.64"/>
    <s v="Debit Card"/>
    <x v="0"/>
    <n v="4"/>
    <x v="2"/>
  </r>
  <r>
    <s v="ORD100108"/>
    <d v="2025-04-04T00:00:00"/>
    <s v="Decathlon Chennai"/>
    <x v="3"/>
    <x v="2"/>
    <s v="CUST1539"/>
    <s v="Male"/>
    <x v="3"/>
    <x v="1"/>
    <x v="0"/>
    <s v="Running T-Shirt"/>
    <x v="4"/>
    <n v="3"/>
    <n v="951.54"/>
    <n v="0.05"/>
    <n v="2711.89"/>
    <n v="1297.3399999999999"/>
    <n v="1414.55"/>
    <s v="Net Banking"/>
    <x v="2"/>
    <n v="5"/>
    <x v="5"/>
  </r>
  <r>
    <s v="ORD100109"/>
    <d v="2025-07-24T00:00:00"/>
    <s v="Decathlon Chennai"/>
    <x v="3"/>
    <x v="2"/>
    <s v="CUST1106"/>
    <s v="Male"/>
    <x v="1"/>
    <x v="1"/>
    <x v="1"/>
    <s v="Yoga Block"/>
    <x v="7"/>
    <n v="5"/>
    <n v="590.96"/>
    <n v="0.05"/>
    <n v="2807.06"/>
    <n v="1360.58"/>
    <n v="1446.48"/>
    <s v="Credit Card"/>
    <x v="7"/>
    <n v="4"/>
    <x v="8"/>
  </r>
  <r>
    <s v="ORD100110"/>
    <d v="2025-10-16T00:00:00"/>
    <s v="Decathlon Noida"/>
    <x v="5"/>
    <x v="0"/>
    <s v="CUST1712"/>
    <s v="Female"/>
    <x v="1"/>
    <x v="1"/>
    <x v="5"/>
    <s v="Trekking Shoes"/>
    <x v="0"/>
    <n v="5"/>
    <n v="4750.82"/>
    <n v="0.05"/>
    <n v="22566.39"/>
    <n v="16186.64"/>
    <n v="6379.75"/>
    <s v="Net Banking"/>
    <x v="4"/>
    <n v="4"/>
    <x v="9"/>
  </r>
  <r>
    <s v="ORD100111"/>
    <d v="2025-04-28T00:00:00"/>
    <s v="Decathlon Mumbai"/>
    <x v="6"/>
    <x v="1"/>
    <s v="CUST1020"/>
    <s v="Female"/>
    <x v="1"/>
    <x v="0"/>
    <x v="0"/>
    <s v="Running Shoes"/>
    <x v="5"/>
    <n v="3"/>
    <n v="3969.9"/>
    <n v="0.2"/>
    <n v="9527.76"/>
    <n v="6434.55"/>
    <n v="3093.21"/>
    <s v="Cash"/>
    <x v="8"/>
    <n v="4"/>
    <x v="5"/>
  </r>
  <r>
    <s v="ORD100112"/>
    <d v="2025-11-10T00:00:00"/>
    <s v="Decathlon Gurugram"/>
    <x v="8"/>
    <x v="0"/>
    <s v="CUST1761"/>
    <s v="Female"/>
    <x v="3"/>
    <x v="0"/>
    <x v="3"/>
    <s v="Mountain Bike"/>
    <x v="2"/>
    <n v="3"/>
    <n v="24064.43"/>
    <n v="0"/>
    <n v="72193.289999999994"/>
    <n v="56253.85"/>
    <n v="15939.44"/>
    <s v="Debit Card"/>
    <x v="4"/>
    <n v="5"/>
    <x v="2"/>
  </r>
  <r>
    <s v="ORD100113"/>
    <d v="2025-04-05T00:00:00"/>
    <s v="Decathlon Hyderabad"/>
    <x v="7"/>
    <x v="2"/>
    <s v="CUST1694"/>
    <s v="Female"/>
    <x v="3"/>
    <x v="1"/>
    <x v="2"/>
    <s v="Swimsuit"/>
    <x v="5"/>
    <n v="3"/>
    <n v="1508.54"/>
    <n v="0.25"/>
    <n v="3394.22"/>
    <n v="2481.86"/>
    <n v="912.36"/>
    <s v="Credit Card"/>
    <x v="0"/>
    <n v="4"/>
    <x v="5"/>
  </r>
  <r>
    <s v="ORD100114"/>
    <d v="2025-09-27T00:00:00"/>
    <s v="Decathlon Noida"/>
    <x v="5"/>
    <x v="0"/>
    <s v="CUST1264"/>
    <s v="Female"/>
    <x v="3"/>
    <x v="1"/>
    <x v="1"/>
    <s v="Yoga Mat"/>
    <x v="3"/>
    <n v="3"/>
    <n v="1458.16"/>
    <n v="0.1"/>
    <n v="3937.03"/>
    <n v="2174.67"/>
    <n v="1762.36"/>
    <s v="Net Banking"/>
    <x v="2"/>
    <n v="5"/>
    <x v="7"/>
  </r>
  <r>
    <s v="ORD100115"/>
    <d v="2025-01-12T00:00:00"/>
    <s v="Decathlon Mumbai"/>
    <x v="6"/>
    <x v="1"/>
    <s v="CUST1523"/>
    <s v="Male"/>
    <x v="1"/>
    <x v="1"/>
    <x v="4"/>
    <s v="Football Boots"/>
    <x v="1"/>
    <n v="4"/>
    <n v="3356.02"/>
    <n v="0.3"/>
    <n v="9396.86"/>
    <n v="8668.7900000000009"/>
    <n v="728.07"/>
    <s v="Debit Card"/>
    <x v="8"/>
    <n v="4"/>
    <x v="4"/>
  </r>
  <r>
    <s v="ORD100116"/>
    <d v="2025-01-30T00:00:00"/>
    <s v="Decathlon Ahmedabad"/>
    <x v="2"/>
    <x v="1"/>
    <s v="CUST1122"/>
    <s v="Female"/>
    <x v="2"/>
    <x v="1"/>
    <x v="1"/>
    <s v="Yoga Block"/>
    <x v="2"/>
    <n v="4"/>
    <n v="615.07000000000005"/>
    <n v="0.15"/>
    <n v="2091.2399999999998"/>
    <n v="1034.77"/>
    <n v="1056.47"/>
    <s v="Cash"/>
    <x v="7"/>
    <n v="5"/>
    <x v="4"/>
  </r>
  <r>
    <s v="ORD100117"/>
    <d v="2025-06-02T00:00:00"/>
    <s v="Decathlon Chennai"/>
    <x v="3"/>
    <x v="2"/>
    <s v="CUST1227"/>
    <s v="Female"/>
    <x v="3"/>
    <x v="0"/>
    <x v="3"/>
    <s v="Mountain Bike"/>
    <x v="1"/>
    <n v="2"/>
    <n v="23840.11"/>
    <n v="0"/>
    <n v="47680.22"/>
    <n v="35245.57"/>
    <n v="12434.65"/>
    <s v="UPI"/>
    <x v="7"/>
    <n v="4"/>
    <x v="11"/>
  </r>
  <r>
    <s v="ORD100118"/>
    <d v="2025-09-06T00:00:00"/>
    <s v="Decathlon Delhi"/>
    <x v="9"/>
    <x v="0"/>
    <s v="CUST1072"/>
    <s v="Male"/>
    <x v="3"/>
    <x v="0"/>
    <x v="1"/>
    <s v="Yoga Mat"/>
    <x v="5"/>
    <n v="4"/>
    <n v="1485.2"/>
    <n v="0"/>
    <n v="5940.8"/>
    <n v="2843.72"/>
    <n v="3097.08"/>
    <s v="Credit Card"/>
    <x v="9"/>
    <n v="5"/>
    <x v="7"/>
  </r>
  <r>
    <s v="ORD100119"/>
    <d v="2025-05-31T00:00:00"/>
    <s v="Decathlon Delhi"/>
    <x v="9"/>
    <x v="0"/>
    <s v="CUST1739"/>
    <s v="Male"/>
    <x v="2"/>
    <x v="2"/>
    <x v="4"/>
    <s v="Shin Guards"/>
    <x v="3"/>
    <n v="1"/>
    <n v="984.91"/>
    <n v="0.3"/>
    <n v="689.44"/>
    <n v="503.01"/>
    <n v="186.43"/>
    <s v="UPI"/>
    <x v="0"/>
    <n v="4"/>
    <x v="10"/>
  </r>
  <r>
    <s v="ORD100120"/>
    <d v="2025-03-07T00:00:00"/>
    <s v="Decathlon Hyderabad"/>
    <x v="7"/>
    <x v="2"/>
    <s v="CUST1733"/>
    <s v="Male"/>
    <x v="0"/>
    <x v="1"/>
    <x v="4"/>
    <s v="Football Boots"/>
    <x v="5"/>
    <n v="5"/>
    <n v="3630.23"/>
    <n v="0.3"/>
    <n v="12705.81"/>
    <n v="10099.82"/>
    <n v="2605.9899999999998"/>
    <s v="Cash"/>
    <x v="3"/>
    <n v="3"/>
    <x v="1"/>
  </r>
  <r>
    <s v="ORD100121"/>
    <d v="2025-11-01T00:00:00"/>
    <s v="Decathlon Mumbai"/>
    <x v="6"/>
    <x v="1"/>
    <s v="CUST1462"/>
    <s v="Female"/>
    <x v="2"/>
    <x v="1"/>
    <x v="4"/>
    <s v="Football Boots"/>
    <x v="7"/>
    <n v="2"/>
    <n v="3633.51"/>
    <n v="0.2"/>
    <n v="5813.62"/>
    <n v="4059.87"/>
    <n v="1753.75"/>
    <s v="Debit Card"/>
    <x v="5"/>
    <n v="5"/>
    <x v="2"/>
  </r>
  <r>
    <s v="ORD100122"/>
    <d v="2025-03-22T00:00:00"/>
    <s v="Decathlon Gurugram"/>
    <x v="8"/>
    <x v="0"/>
    <s v="CUST1079"/>
    <s v="Male"/>
    <x v="3"/>
    <x v="0"/>
    <x v="5"/>
    <s v="Water Bottle"/>
    <x v="0"/>
    <n v="2"/>
    <n v="677.75"/>
    <n v="0.3"/>
    <n v="948.85"/>
    <n v="486.53"/>
    <n v="462.32"/>
    <s v="Cash"/>
    <x v="1"/>
    <n v="5"/>
    <x v="1"/>
  </r>
  <r>
    <s v="ORD100123"/>
    <d v="2025-03-11T00:00:00"/>
    <s v="Decathlon Pune"/>
    <x v="1"/>
    <x v="1"/>
    <s v="CUST1821"/>
    <s v="Female"/>
    <x v="2"/>
    <x v="1"/>
    <x v="2"/>
    <s v="Swimming Goggles"/>
    <x v="6"/>
    <n v="2"/>
    <n v="941.69"/>
    <n v="0.25"/>
    <n v="1412.54"/>
    <n v="868.22"/>
    <n v="544.32000000000005"/>
    <s v="Net Banking"/>
    <x v="1"/>
    <n v="5"/>
    <x v="1"/>
  </r>
  <r>
    <s v="ORD100124"/>
    <d v="2025-12-30T00:00:00"/>
    <s v="Decathlon Bengaluru"/>
    <x v="4"/>
    <x v="2"/>
    <s v="CUST1100"/>
    <s v="Male"/>
    <x v="3"/>
    <x v="0"/>
    <x v="1"/>
    <s v="Yoga Mat"/>
    <x v="5"/>
    <n v="4"/>
    <n v="1464.61"/>
    <n v="0.3"/>
    <n v="4100.91"/>
    <n v="2772.47"/>
    <n v="1328.44"/>
    <s v="Debit Card"/>
    <x v="4"/>
    <n v="3"/>
    <x v="0"/>
  </r>
  <r>
    <s v="ORD100125"/>
    <d v="2025-03-19T00:00:00"/>
    <s v="Decathlon Chennai"/>
    <x v="3"/>
    <x v="2"/>
    <s v="CUST1634"/>
    <s v="Female"/>
    <x v="1"/>
    <x v="1"/>
    <x v="1"/>
    <s v="Yoga Block"/>
    <x v="4"/>
    <n v="5"/>
    <n v="615.32000000000005"/>
    <n v="0.05"/>
    <n v="2922.77"/>
    <n v="1318.57"/>
    <n v="1604.2"/>
    <s v="Net Banking"/>
    <x v="2"/>
    <n v="3"/>
    <x v="1"/>
  </r>
  <r>
    <s v="ORD100126"/>
    <d v="2025-02-09T00:00:00"/>
    <s v="Decathlon Delhi"/>
    <x v="9"/>
    <x v="0"/>
    <s v="CUST1529"/>
    <s v="Male"/>
    <x v="0"/>
    <x v="1"/>
    <x v="1"/>
    <s v="Resistance Band"/>
    <x v="4"/>
    <n v="5"/>
    <n v="866.54"/>
    <n v="0.2"/>
    <n v="3466.16"/>
    <n v="2040.53"/>
    <n v="1425.63"/>
    <s v="Credit Card"/>
    <x v="7"/>
    <n v="5"/>
    <x v="6"/>
  </r>
  <r>
    <s v="ORD100127"/>
    <d v="2025-02-21T00:00:00"/>
    <s v="Decathlon Bengaluru"/>
    <x v="4"/>
    <x v="2"/>
    <s v="CUST1166"/>
    <s v="Female"/>
    <x v="3"/>
    <x v="1"/>
    <x v="2"/>
    <s v="Swim Cap"/>
    <x v="1"/>
    <n v="3"/>
    <n v="504.67"/>
    <n v="0.3"/>
    <n v="1059.81"/>
    <n v="627.76"/>
    <n v="432.05"/>
    <s v="Credit Card"/>
    <x v="2"/>
    <n v="5"/>
    <x v="6"/>
  </r>
  <r>
    <s v="ORD100128"/>
    <d v="2025-09-17T00:00:00"/>
    <s v="Decathlon Gurugram"/>
    <x v="8"/>
    <x v="0"/>
    <s v="CUST1129"/>
    <s v="Female"/>
    <x v="3"/>
    <x v="0"/>
    <x v="3"/>
    <s v="Mountain Bike"/>
    <x v="5"/>
    <n v="2"/>
    <n v="25442.79"/>
    <n v="0.3"/>
    <n v="35619.910000000003"/>
    <n v="36330.65"/>
    <n v="-710.74"/>
    <s v="UPI"/>
    <x v="3"/>
    <n v="4"/>
    <x v="7"/>
  </r>
  <r>
    <s v="ORD100129"/>
    <d v="2025-06-04T00:00:00"/>
    <s v="Decathlon Ahmedabad"/>
    <x v="2"/>
    <x v="1"/>
    <s v="CUST1508"/>
    <s v="Male"/>
    <x v="2"/>
    <x v="0"/>
    <x v="2"/>
    <s v="Swim Cap"/>
    <x v="6"/>
    <n v="3"/>
    <n v="482.8"/>
    <n v="0.2"/>
    <n v="1158.72"/>
    <n v="645.66999999999996"/>
    <n v="513.04999999999995"/>
    <s v="Debit Card"/>
    <x v="6"/>
    <n v="3"/>
    <x v="11"/>
  </r>
  <r>
    <s v="ORD100130"/>
    <d v="2025-01-06T00:00:00"/>
    <s v="Decathlon Bengaluru"/>
    <x v="4"/>
    <x v="2"/>
    <s v="CUST1860"/>
    <s v="Female"/>
    <x v="2"/>
    <x v="0"/>
    <x v="5"/>
    <s v="Water Bottle"/>
    <x v="5"/>
    <n v="4"/>
    <n v="711.47"/>
    <n v="0.1"/>
    <n v="2561.29"/>
    <n v="968.31"/>
    <n v="1592.98"/>
    <s v="Net Banking"/>
    <x v="8"/>
    <n v="3"/>
    <x v="4"/>
  </r>
  <r>
    <s v="ORD100131"/>
    <d v="2025-05-23T00:00:00"/>
    <s v="Decathlon Mumbai"/>
    <x v="6"/>
    <x v="1"/>
    <s v="CUST1657"/>
    <s v="Female"/>
    <x v="2"/>
    <x v="0"/>
    <x v="5"/>
    <s v="Backpack"/>
    <x v="6"/>
    <n v="5"/>
    <n v="3065.25"/>
    <n v="0"/>
    <n v="15326.25"/>
    <n v="8590.81"/>
    <n v="6735.44"/>
    <s v="UPI"/>
    <x v="1"/>
    <n v="5"/>
    <x v="10"/>
  </r>
  <r>
    <s v="ORD100132"/>
    <d v="2025-09-13T00:00:00"/>
    <s v="Decathlon Mumbai"/>
    <x v="6"/>
    <x v="1"/>
    <s v="CUST1183"/>
    <s v="Male"/>
    <x v="2"/>
    <x v="1"/>
    <x v="3"/>
    <s v="Mountain Bike"/>
    <x v="0"/>
    <n v="1"/>
    <n v="25677.94"/>
    <n v="0.3"/>
    <n v="17974.560000000001"/>
    <n v="18480.61"/>
    <n v="-506.05"/>
    <s v="Credit Card"/>
    <x v="2"/>
    <n v="5"/>
    <x v="7"/>
  </r>
  <r>
    <s v="ORD100133"/>
    <d v="2025-01-12T00:00:00"/>
    <s v="Decathlon Jaipur"/>
    <x v="0"/>
    <x v="0"/>
    <s v="CUST1329"/>
    <s v="Male"/>
    <x v="1"/>
    <x v="2"/>
    <x v="0"/>
    <s v="Running Shoes"/>
    <x v="5"/>
    <n v="1"/>
    <n v="3986.06"/>
    <n v="0.15"/>
    <n v="3388.15"/>
    <n v="2274.29"/>
    <n v="1113.8599999999999"/>
    <s v="Credit Card"/>
    <x v="3"/>
    <n v="5"/>
    <x v="4"/>
  </r>
  <r>
    <s v="ORD100134"/>
    <d v="2025-05-19T00:00:00"/>
    <s v="Decathlon Delhi"/>
    <x v="9"/>
    <x v="0"/>
    <s v="CUST1664"/>
    <s v="Male"/>
    <x v="0"/>
    <x v="2"/>
    <x v="1"/>
    <s v="Yoga Block"/>
    <x v="2"/>
    <n v="1"/>
    <n v="580.22"/>
    <n v="0.2"/>
    <n v="464.18"/>
    <n v="271.26"/>
    <n v="192.92"/>
    <s v="Credit Card"/>
    <x v="8"/>
    <n v="3"/>
    <x v="10"/>
  </r>
  <r>
    <s v="ORD100135"/>
    <d v="2025-11-02T00:00:00"/>
    <s v="Decathlon Chennai"/>
    <x v="3"/>
    <x v="2"/>
    <s v="CUST1532"/>
    <s v="Female"/>
    <x v="0"/>
    <x v="0"/>
    <x v="5"/>
    <s v="Water Bottle"/>
    <x v="7"/>
    <n v="4"/>
    <n v="723.39"/>
    <n v="0"/>
    <n v="2893.56"/>
    <n v="970.87"/>
    <n v="1922.69"/>
    <s v="Net Banking"/>
    <x v="8"/>
    <n v="3"/>
    <x v="2"/>
  </r>
  <r>
    <s v="ORD100136"/>
    <d v="2025-12-22T00:00:00"/>
    <s v="Decathlon Chennai"/>
    <x v="3"/>
    <x v="2"/>
    <s v="CUST1632"/>
    <s v="Male"/>
    <x v="3"/>
    <x v="2"/>
    <x v="3"/>
    <s v="Helmet"/>
    <x v="0"/>
    <n v="2"/>
    <n v="1987.79"/>
    <n v="0.2"/>
    <n v="3180.46"/>
    <n v="2094.35"/>
    <n v="1086.1099999999999"/>
    <s v="Debit Card"/>
    <x v="0"/>
    <n v="3"/>
    <x v="0"/>
  </r>
  <r>
    <s v="ORD100137"/>
    <d v="2025-11-06T00:00:00"/>
    <s v="Decathlon Jaipur"/>
    <x v="0"/>
    <x v="0"/>
    <s v="CUST1921"/>
    <s v="Female"/>
    <x v="0"/>
    <x v="0"/>
    <x v="1"/>
    <s v="Yoga Block"/>
    <x v="5"/>
    <n v="5"/>
    <n v="570.71"/>
    <n v="0.1"/>
    <n v="2568.1999999999998"/>
    <n v="1333.43"/>
    <n v="1234.77"/>
    <s v="Debit Card"/>
    <x v="0"/>
    <n v="3"/>
    <x v="2"/>
  </r>
  <r>
    <s v="ORD100138"/>
    <d v="2025-07-25T00:00:00"/>
    <s v="Decathlon Noida"/>
    <x v="5"/>
    <x v="0"/>
    <s v="CUST1817"/>
    <s v="Female"/>
    <x v="0"/>
    <x v="0"/>
    <x v="3"/>
    <s v="Cycling Gloves"/>
    <x v="7"/>
    <n v="2"/>
    <n v="774.24"/>
    <n v="0.15"/>
    <n v="1316.21"/>
    <n v="696.03"/>
    <n v="620.17999999999995"/>
    <s v="Debit Card"/>
    <x v="0"/>
    <n v="4"/>
    <x v="8"/>
  </r>
  <r>
    <s v="ORD100139"/>
    <d v="2025-06-13T00:00:00"/>
    <s v="Decathlon Mumbai"/>
    <x v="6"/>
    <x v="1"/>
    <s v="CUST1520"/>
    <s v="Male"/>
    <x v="0"/>
    <x v="0"/>
    <x v="2"/>
    <s v="Swimsuit"/>
    <x v="4"/>
    <n v="1"/>
    <n v="1449.93"/>
    <n v="0.2"/>
    <n v="1159.94"/>
    <n v="876.69"/>
    <n v="283.25"/>
    <s v="Net Banking"/>
    <x v="8"/>
    <n v="5"/>
    <x v="11"/>
  </r>
  <r>
    <s v="ORD100140"/>
    <d v="2025-04-14T00:00:00"/>
    <s v="Decathlon Delhi"/>
    <x v="9"/>
    <x v="0"/>
    <s v="CUST1643"/>
    <s v="Female"/>
    <x v="0"/>
    <x v="0"/>
    <x v="2"/>
    <s v="Swim Cap"/>
    <x v="2"/>
    <n v="3"/>
    <n v="523.19000000000005"/>
    <n v="0.25"/>
    <n v="1177.18"/>
    <n v="685.37"/>
    <n v="491.81"/>
    <s v="Debit Card"/>
    <x v="2"/>
    <n v="4"/>
    <x v="5"/>
  </r>
  <r>
    <s v="ORD100141"/>
    <d v="2025-05-20T00:00:00"/>
    <s v="Decathlon Jaipur"/>
    <x v="0"/>
    <x v="0"/>
    <s v="CUST1882"/>
    <s v="Male"/>
    <x v="0"/>
    <x v="1"/>
    <x v="4"/>
    <s v="Football"/>
    <x v="0"/>
    <n v="3"/>
    <n v="1322.9"/>
    <n v="0.25"/>
    <n v="2976.53"/>
    <n v="2015.76"/>
    <n v="960.77"/>
    <s v="Net Banking"/>
    <x v="1"/>
    <n v="5"/>
    <x v="10"/>
  </r>
  <r>
    <s v="ORD100142"/>
    <d v="2025-08-24T00:00:00"/>
    <s v="Decathlon Gurugram"/>
    <x v="8"/>
    <x v="0"/>
    <s v="CUST1360"/>
    <s v="Male"/>
    <x v="0"/>
    <x v="2"/>
    <x v="2"/>
    <s v="Swim Cap"/>
    <x v="6"/>
    <n v="2"/>
    <n v="497.96"/>
    <n v="0.1"/>
    <n v="896.33"/>
    <n v="431.52"/>
    <n v="464.81"/>
    <s v="UPI"/>
    <x v="9"/>
    <n v="4"/>
    <x v="3"/>
  </r>
  <r>
    <s v="ORD100143"/>
    <d v="2025-11-16T00:00:00"/>
    <s v="Decathlon Gurugram"/>
    <x v="8"/>
    <x v="0"/>
    <s v="CUST1136"/>
    <s v="Female"/>
    <x v="0"/>
    <x v="2"/>
    <x v="1"/>
    <s v="Resistance Band"/>
    <x v="7"/>
    <n v="3"/>
    <n v="883.78"/>
    <n v="0.3"/>
    <n v="1855.94"/>
    <n v="1247.75"/>
    <n v="608.19000000000005"/>
    <s v="Debit Card"/>
    <x v="6"/>
    <n v="4"/>
    <x v="2"/>
  </r>
  <r>
    <s v="ORD100144"/>
    <d v="2025-12-31T00:00:00"/>
    <s v="Decathlon Hyderabad"/>
    <x v="7"/>
    <x v="2"/>
    <s v="CUST1180"/>
    <s v="Male"/>
    <x v="0"/>
    <x v="1"/>
    <x v="4"/>
    <s v="Football"/>
    <x v="2"/>
    <n v="3"/>
    <n v="1353.15"/>
    <n v="0.25"/>
    <n v="3044.59"/>
    <n v="2154.44"/>
    <n v="890.15"/>
    <s v="Cash"/>
    <x v="8"/>
    <n v="4"/>
    <x v="0"/>
  </r>
  <r>
    <s v="ORD100145"/>
    <d v="2025-04-04T00:00:00"/>
    <s v="Decathlon Noida"/>
    <x v="5"/>
    <x v="0"/>
    <s v="CUST1370"/>
    <s v="Male"/>
    <x v="0"/>
    <x v="1"/>
    <x v="1"/>
    <s v="Resistance Band"/>
    <x v="5"/>
    <n v="2"/>
    <n v="891.03"/>
    <n v="0"/>
    <n v="1782.06"/>
    <n v="829.05"/>
    <n v="953.01"/>
    <s v="Credit Card"/>
    <x v="5"/>
    <n v="4"/>
    <x v="5"/>
  </r>
  <r>
    <s v="ORD100146"/>
    <d v="2025-04-08T00:00:00"/>
    <s v="Decathlon Delhi"/>
    <x v="9"/>
    <x v="0"/>
    <s v="CUST1181"/>
    <s v="Female"/>
    <x v="3"/>
    <x v="0"/>
    <x v="0"/>
    <s v="Fitness Band"/>
    <x v="4"/>
    <n v="3"/>
    <n v="2586.9499999999998"/>
    <n v="0.25"/>
    <n v="5820.64"/>
    <n v="4355.2700000000004"/>
    <n v="1465.37"/>
    <s v="Net Banking"/>
    <x v="6"/>
    <n v="4"/>
    <x v="5"/>
  </r>
  <r>
    <s v="ORD100147"/>
    <d v="2025-06-12T00:00:00"/>
    <s v="Decathlon Chennai"/>
    <x v="3"/>
    <x v="2"/>
    <s v="CUST1062"/>
    <s v="Male"/>
    <x v="0"/>
    <x v="0"/>
    <x v="1"/>
    <s v="Yoga Block"/>
    <x v="4"/>
    <n v="4"/>
    <n v="574.67999999999995"/>
    <n v="0"/>
    <n v="2298.7199999999998"/>
    <n v="1065.69"/>
    <n v="1233.03"/>
    <s v="UPI"/>
    <x v="7"/>
    <n v="4"/>
    <x v="11"/>
  </r>
  <r>
    <s v="ORD100148"/>
    <d v="2025-10-26T00:00:00"/>
    <s v="Decathlon Mumbai"/>
    <x v="6"/>
    <x v="1"/>
    <s v="CUST1282"/>
    <s v="Male"/>
    <x v="2"/>
    <x v="1"/>
    <x v="4"/>
    <s v="Football"/>
    <x v="4"/>
    <n v="3"/>
    <n v="1315"/>
    <n v="0"/>
    <n v="3945"/>
    <n v="2102.38"/>
    <n v="1842.62"/>
    <s v="Credit Card"/>
    <x v="0"/>
    <n v="5"/>
    <x v="9"/>
  </r>
  <r>
    <s v="ORD100149"/>
    <d v="2025-09-09T00:00:00"/>
    <s v="Decathlon Delhi"/>
    <x v="9"/>
    <x v="0"/>
    <s v="CUST1044"/>
    <s v="Male"/>
    <x v="0"/>
    <x v="0"/>
    <x v="0"/>
    <s v="Running T-Shirt"/>
    <x v="1"/>
    <n v="4"/>
    <n v="971.43"/>
    <n v="0"/>
    <n v="3885.72"/>
    <n v="1769.8"/>
    <n v="2115.92"/>
    <s v="Net Banking"/>
    <x v="5"/>
    <n v="4"/>
    <x v="7"/>
  </r>
  <r>
    <s v="ORD100150"/>
    <d v="2025-10-24T00:00:00"/>
    <s v="Decathlon Bengaluru"/>
    <x v="4"/>
    <x v="2"/>
    <s v="CUST1127"/>
    <s v="Female"/>
    <x v="0"/>
    <x v="0"/>
    <x v="1"/>
    <s v="Yoga Mat"/>
    <x v="5"/>
    <n v="2"/>
    <n v="1559.36"/>
    <n v="0.3"/>
    <n v="2183.1"/>
    <n v="1413.89"/>
    <n v="769.21"/>
    <s v="Net Banking"/>
    <x v="0"/>
    <n v="3"/>
    <x v="9"/>
  </r>
  <r>
    <s v="ORD100151"/>
    <d v="2025-04-30T00:00:00"/>
    <s v="Decathlon Chennai"/>
    <x v="3"/>
    <x v="2"/>
    <s v="CUST1254"/>
    <s v="Male"/>
    <x v="3"/>
    <x v="0"/>
    <x v="4"/>
    <s v="Football Boots"/>
    <x v="0"/>
    <n v="5"/>
    <n v="3414.41"/>
    <n v="0.1"/>
    <n v="15364.84"/>
    <n v="10236.25"/>
    <n v="5128.59"/>
    <s v="Debit Card"/>
    <x v="4"/>
    <n v="4"/>
    <x v="5"/>
  </r>
  <r>
    <s v="ORD100152"/>
    <d v="2025-04-23T00:00:00"/>
    <s v="Decathlon Chennai"/>
    <x v="3"/>
    <x v="2"/>
    <s v="CUST1512"/>
    <s v="Male"/>
    <x v="0"/>
    <x v="2"/>
    <x v="1"/>
    <s v="Yoga Block"/>
    <x v="1"/>
    <n v="4"/>
    <n v="577.98"/>
    <n v="0.2"/>
    <n v="1849.54"/>
    <n v="1001.74"/>
    <n v="847.8"/>
    <s v="Net Banking"/>
    <x v="9"/>
    <n v="4"/>
    <x v="5"/>
  </r>
  <r>
    <s v="ORD100153"/>
    <d v="2025-01-21T00:00:00"/>
    <s v="Decathlon Hyderabad"/>
    <x v="7"/>
    <x v="2"/>
    <s v="CUST1782"/>
    <s v="Female"/>
    <x v="2"/>
    <x v="0"/>
    <x v="0"/>
    <s v="Running Shoes"/>
    <x v="0"/>
    <n v="5"/>
    <n v="3964.28"/>
    <n v="0.15"/>
    <n v="16848.189999999999"/>
    <n v="10767.71"/>
    <n v="6080.48"/>
    <s v="Net Banking"/>
    <x v="1"/>
    <n v="5"/>
    <x v="4"/>
  </r>
  <r>
    <s v="ORD100154"/>
    <d v="2025-01-13T00:00:00"/>
    <s v="Decathlon Bengaluru"/>
    <x v="4"/>
    <x v="2"/>
    <s v="CUST1671"/>
    <s v="Female"/>
    <x v="0"/>
    <x v="2"/>
    <x v="5"/>
    <s v="Water Bottle"/>
    <x v="5"/>
    <n v="4"/>
    <n v="729.75"/>
    <n v="0.2"/>
    <n v="2335.1999999999998"/>
    <n v="989.41"/>
    <n v="1345.79"/>
    <s v="Credit Card"/>
    <x v="3"/>
    <n v="5"/>
    <x v="4"/>
  </r>
  <r>
    <s v="ORD100155"/>
    <d v="2025-03-19T00:00:00"/>
    <s v="Decathlon Ahmedabad"/>
    <x v="2"/>
    <x v="1"/>
    <s v="CUST1628"/>
    <s v="Female"/>
    <x v="2"/>
    <x v="1"/>
    <x v="2"/>
    <s v="Swimsuit"/>
    <x v="1"/>
    <n v="3"/>
    <n v="1529.11"/>
    <n v="0.05"/>
    <n v="4357.96"/>
    <n v="2613.75"/>
    <n v="1744.21"/>
    <s v="UPI"/>
    <x v="6"/>
    <n v="5"/>
    <x v="1"/>
  </r>
  <r>
    <s v="ORD100156"/>
    <d v="2025-10-08T00:00:00"/>
    <s v="Decathlon Jaipur"/>
    <x v="0"/>
    <x v="0"/>
    <s v="CUST1630"/>
    <s v="Female"/>
    <x v="2"/>
    <x v="2"/>
    <x v="1"/>
    <s v="Resistance Band"/>
    <x v="4"/>
    <n v="1"/>
    <n v="879.02"/>
    <n v="0.2"/>
    <n v="703.22"/>
    <n v="396.12"/>
    <n v="307.10000000000002"/>
    <s v="Credit Card"/>
    <x v="3"/>
    <n v="5"/>
    <x v="9"/>
  </r>
  <r>
    <s v="ORD100157"/>
    <d v="2025-10-14T00:00:00"/>
    <s v="Decathlon Noida"/>
    <x v="5"/>
    <x v="0"/>
    <s v="CUST1160"/>
    <s v="Female"/>
    <x v="2"/>
    <x v="0"/>
    <x v="0"/>
    <s v="Running Shoes"/>
    <x v="1"/>
    <n v="1"/>
    <n v="4060.92"/>
    <n v="0.05"/>
    <n v="3857.87"/>
    <n v="2230.48"/>
    <n v="1627.39"/>
    <s v="Debit Card"/>
    <x v="6"/>
    <n v="5"/>
    <x v="9"/>
  </r>
  <r>
    <s v="ORD100158"/>
    <d v="2025-08-10T00:00:00"/>
    <s v="Decathlon Gurugram"/>
    <x v="8"/>
    <x v="0"/>
    <s v="CUST1676"/>
    <s v="Female"/>
    <x v="3"/>
    <x v="2"/>
    <x v="3"/>
    <s v="Mountain Bike"/>
    <x v="2"/>
    <n v="3"/>
    <n v="24775.39"/>
    <n v="0.15"/>
    <n v="63177.24"/>
    <n v="55789"/>
    <n v="7388.24"/>
    <s v="Net Banking"/>
    <x v="4"/>
    <n v="5"/>
    <x v="3"/>
  </r>
  <r>
    <s v="ORD100159"/>
    <d v="2025-06-25T00:00:00"/>
    <s v="Decathlon Pune"/>
    <x v="1"/>
    <x v="1"/>
    <s v="CUST1318"/>
    <s v="Female"/>
    <x v="2"/>
    <x v="0"/>
    <x v="4"/>
    <s v="Shin Guards"/>
    <x v="3"/>
    <n v="1"/>
    <n v="1010.85"/>
    <n v="0.15"/>
    <n v="859.22"/>
    <n v="497.13"/>
    <n v="362.09"/>
    <s v="Net Banking"/>
    <x v="0"/>
    <n v="3"/>
    <x v="11"/>
  </r>
  <r>
    <s v="ORD100160"/>
    <d v="2025-03-03T00:00:00"/>
    <s v="Decathlon Mumbai"/>
    <x v="6"/>
    <x v="1"/>
    <s v="CUST1500"/>
    <s v="Male"/>
    <x v="0"/>
    <x v="0"/>
    <x v="4"/>
    <s v="Football Boots"/>
    <x v="7"/>
    <n v="4"/>
    <n v="3452.78"/>
    <n v="0.1"/>
    <n v="12430.01"/>
    <n v="8770.73"/>
    <n v="3659.28"/>
    <s v="Cash"/>
    <x v="7"/>
    <n v="4"/>
    <x v="1"/>
  </r>
  <r>
    <s v="ORD100161"/>
    <d v="2025-05-27T00:00:00"/>
    <s v="Decathlon Bengaluru"/>
    <x v="4"/>
    <x v="2"/>
    <s v="CUST1590"/>
    <s v="Male"/>
    <x v="3"/>
    <x v="2"/>
    <x v="4"/>
    <s v="Shin Guards"/>
    <x v="3"/>
    <n v="1"/>
    <n v="1038.44"/>
    <n v="0.2"/>
    <n v="830.75"/>
    <n v="497.93"/>
    <n v="332.82"/>
    <s v="Net Banking"/>
    <x v="7"/>
    <n v="5"/>
    <x v="10"/>
  </r>
  <r>
    <s v="ORD100162"/>
    <d v="2025-04-09T00:00:00"/>
    <s v="Decathlon Pune"/>
    <x v="1"/>
    <x v="1"/>
    <s v="CUST1450"/>
    <s v="Male"/>
    <x v="2"/>
    <x v="1"/>
    <x v="1"/>
    <s v="Resistance Band"/>
    <x v="1"/>
    <n v="5"/>
    <n v="887.14"/>
    <n v="0.15"/>
    <n v="3770.34"/>
    <n v="2092.75"/>
    <n v="1677.59"/>
    <s v="Net Banking"/>
    <x v="9"/>
    <n v="5"/>
    <x v="5"/>
  </r>
  <r>
    <s v="ORD100163"/>
    <d v="2025-11-26T00:00:00"/>
    <s v="Decathlon Delhi"/>
    <x v="9"/>
    <x v="0"/>
    <s v="CUST1484"/>
    <s v="Female"/>
    <x v="1"/>
    <x v="0"/>
    <x v="4"/>
    <s v="Football Boots"/>
    <x v="6"/>
    <n v="2"/>
    <n v="3362.89"/>
    <n v="0.2"/>
    <n v="5380.62"/>
    <n v="4282.54"/>
    <n v="1098.08"/>
    <s v="Net Banking"/>
    <x v="5"/>
    <n v="4"/>
    <x v="2"/>
  </r>
  <r>
    <s v="ORD100164"/>
    <d v="2025-07-31T00:00:00"/>
    <s v="Decathlon Bengaluru"/>
    <x v="4"/>
    <x v="2"/>
    <s v="CUST1496"/>
    <s v="Female"/>
    <x v="3"/>
    <x v="1"/>
    <x v="5"/>
    <s v="Water Bottle"/>
    <x v="6"/>
    <n v="5"/>
    <n v="690.17"/>
    <n v="0.3"/>
    <n v="2415.59"/>
    <n v="1187.8699999999999"/>
    <n v="1227.72"/>
    <s v="Cash"/>
    <x v="4"/>
    <n v="5"/>
    <x v="8"/>
  </r>
  <r>
    <s v="ORD100165"/>
    <d v="2025-12-03T00:00:00"/>
    <s v="Decathlon Chennai"/>
    <x v="3"/>
    <x v="2"/>
    <s v="CUST1417"/>
    <s v="Female"/>
    <x v="2"/>
    <x v="2"/>
    <x v="4"/>
    <s v="Football Boots"/>
    <x v="2"/>
    <n v="5"/>
    <n v="3672.67"/>
    <n v="0.1"/>
    <n v="16527.009999999998"/>
    <n v="10911.58"/>
    <n v="5615.43"/>
    <s v="UPI"/>
    <x v="8"/>
    <n v="3"/>
    <x v="0"/>
  </r>
  <r>
    <s v="ORD100166"/>
    <d v="2025-07-15T00:00:00"/>
    <s v="Decathlon Bengaluru"/>
    <x v="4"/>
    <x v="2"/>
    <s v="CUST1785"/>
    <s v="Male"/>
    <x v="2"/>
    <x v="2"/>
    <x v="3"/>
    <s v="Mountain Bike"/>
    <x v="6"/>
    <n v="1"/>
    <n v="24742.720000000001"/>
    <n v="0.15"/>
    <n v="21031.31"/>
    <n v="17611.79"/>
    <n v="3419.52"/>
    <s v="Net Banking"/>
    <x v="0"/>
    <n v="4"/>
    <x v="8"/>
  </r>
  <r>
    <s v="ORD100167"/>
    <d v="2025-08-01T00:00:00"/>
    <s v="Decathlon Ahmedabad"/>
    <x v="2"/>
    <x v="1"/>
    <s v="CUST1266"/>
    <s v="Female"/>
    <x v="3"/>
    <x v="0"/>
    <x v="3"/>
    <s v="Cycling Gloves"/>
    <x v="3"/>
    <n v="5"/>
    <n v="822.67"/>
    <n v="0.05"/>
    <n v="3907.68"/>
    <n v="1691.39"/>
    <n v="2216.29"/>
    <s v="Credit Card"/>
    <x v="7"/>
    <n v="3"/>
    <x v="3"/>
  </r>
  <r>
    <s v="ORD100168"/>
    <d v="2025-10-20T00:00:00"/>
    <s v="Decathlon Chennai"/>
    <x v="3"/>
    <x v="2"/>
    <s v="CUST1951"/>
    <s v="Female"/>
    <x v="2"/>
    <x v="0"/>
    <x v="1"/>
    <s v="Yoga Mat"/>
    <x v="2"/>
    <n v="4"/>
    <n v="1570.34"/>
    <n v="0.15"/>
    <n v="5339.16"/>
    <n v="2851.44"/>
    <n v="2487.7199999999998"/>
    <s v="Credit Card"/>
    <x v="4"/>
    <n v="5"/>
    <x v="9"/>
  </r>
  <r>
    <s v="ORD100169"/>
    <d v="2025-05-30T00:00:00"/>
    <s v="Decathlon Gurugram"/>
    <x v="8"/>
    <x v="0"/>
    <s v="CUST1897"/>
    <s v="Female"/>
    <x v="2"/>
    <x v="1"/>
    <x v="1"/>
    <s v="Yoga Block"/>
    <x v="5"/>
    <n v="5"/>
    <n v="613.82000000000005"/>
    <n v="0.05"/>
    <n v="2915.65"/>
    <n v="1357.16"/>
    <n v="1558.49"/>
    <s v="Net Banking"/>
    <x v="7"/>
    <n v="4"/>
    <x v="10"/>
  </r>
  <r>
    <s v="ORD100170"/>
    <d v="2025-01-07T00:00:00"/>
    <s v="Decathlon Delhi"/>
    <x v="9"/>
    <x v="0"/>
    <s v="CUST1637"/>
    <s v="Female"/>
    <x v="0"/>
    <x v="0"/>
    <x v="4"/>
    <s v="Football"/>
    <x v="2"/>
    <n v="2"/>
    <n v="1258.3"/>
    <n v="0.05"/>
    <n v="2390.77"/>
    <n v="1454.04"/>
    <n v="936.73"/>
    <s v="Net Banking"/>
    <x v="4"/>
    <n v="3"/>
    <x v="4"/>
  </r>
  <r>
    <s v="ORD100171"/>
    <d v="2025-07-07T00:00:00"/>
    <s v="Decathlon Chennai"/>
    <x v="3"/>
    <x v="2"/>
    <s v="CUST1079"/>
    <s v="Male"/>
    <x v="0"/>
    <x v="2"/>
    <x v="1"/>
    <s v="Resistance Band"/>
    <x v="0"/>
    <n v="1"/>
    <n v="923.29"/>
    <n v="0.3"/>
    <n v="646.29999999999995"/>
    <n v="390.41"/>
    <n v="255.89"/>
    <s v="Net Banking"/>
    <x v="4"/>
    <n v="3"/>
    <x v="8"/>
  </r>
  <r>
    <s v="ORD100172"/>
    <d v="2025-03-12T00:00:00"/>
    <s v="Decathlon Hyderabad"/>
    <x v="7"/>
    <x v="2"/>
    <s v="CUST1507"/>
    <s v="Female"/>
    <x v="1"/>
    <x v="2"/>
    <x v="1"/>
    <s v="Yoga Mat"/>
    <x v="3"/>
    <n v="5"/>
    <n v="1532.88"/>
    <n v="0.05"/>
    <n v="7281.18"/>
    <n v="3596.99"/>
    <n v="3684.19"/>
    <s v="UPI"/>
    <x v="4"/>
    <n v="4"/>
    <x v="1"/>
  </r>
  <r>
    <s v="ORD100173"/>
    <d v="2025-05-25T00:00:00"/>
    <s v="Decathlon Gurugram"/>
    <x v="8"/>
    <x v="0"/>
    <s v="CUST1229"/>
    <s v="Male"/>
    <x v="0"/>
    <x v="2"/>
    <x v="3"/>
    <s v="Cycling Gloves"/>
    <x v="2"/>
    <n v="3"/>
    <n v="787.24"/>
    <n v="0"/>
    <n v="2361.7199999999998"/>
    <n v="1066.48"/>
    <n v="1295.24"/>
    <s v="UPI"/>
    <x v="4"/>
    <n v="3"/>
    <x v="10"/>
  </r>
  <r>
    <s v="ORD100174"/>
    <d v="2025-09-18T00:00:00"/>
    <s v="Decathlon Chennai"/>
    <x v="3"/>
    <x v="2"/>
    <s v="CUST1991"/>
    <s v="Female"/>
    <x v="1"/>
    <x v="2"/>
    <x v="3"/>
    <s v="Mountain Bike"/>
    <x v="6"/>
    <n v="3"/>
    <n v="25087.15"/>
    <n v="0.3"/>
    <n v="52683.02"/>
    <n v="53716.99"/>
    <n v="-1033.97"/>
    <s v="Debit Card"/>
    <x v="1"/>
    <n v="5"/>
    <x v="7"/>
  </r>
  <r>
    <s v="ORD100175"/>
    <d v="2025-03-18T00:00:00"/>
    <s v="Decathlon Gurugram"/>
    <x v="8"/>
    <x v="0"/>
    <s v="CUST1385"/>
    <s v="Male"/>
    <x v="3"/>
    <x v="1"/>
    <x v="3"/>
    <s v="Mountain Bike"/>
    <x v="4"/>
    <n v="5"/>
    <n v="25267.15"/>
    <n v="0"/>
    <n v="126335.75"/>
    <n v="93256.07"/>
    <n v="33079.68"/>
    <s v="Credit Card"/>
    <x v="7"/>
    <n v="3"/>
    <x v="1"/>
  </r>
  <r>
    <s v="ORD100176"/>
    <d v="2025-05-01T00:00:00"/>
    <s v="Decathlon Chennai"/>
    <x v="3"/>
    <x v="2"/>
    <s v="CUST1946"/>
    <s v="Male"/>
    <x v="0"/>
    <x v="0"/>
    <x v="2"/>
    <s v="Swimsuit"/>
    <x v="5"/>
    <n v="2"/>
    <n v="1462.88"/>
    <n v="0.05"/>
    <n v="2779.47"/>
    <n v="1756.74"/>
    <n v="1022.73"/>
    <s v="Credit Card"/>
    <x v="3"/>
    <n v="4"/>
    <x v="10"/>
  </r>
  <r>
    <s v="ORD100177"/>
    <d v="2025-08-01T00:00:00"/>
    <s v="Decathlon Jaipur"/>
    <x v="0"/>
    <x v="0"/>
    <s v="CUST1006"/>
    <s v="Female"/>
    <x v="1"/>
    <x v="0"/>
    <x v="1"/>
    <s v="Yoga Block"/>
    <x v="6"/>
    <n v="4"/>
    <n v="594.51"/>
    <n v="0.1"/>
    <n v="2140.2399999999998"/>
    <n v="1046.06"/>
    <n v="1094.18"/>
    <s v="Credit Card"/>
    <x v="8"/>
    <n v="3"/>
    <x v="3"/>
  </r>
  <r>
    <s v="ORD100178"/>
    <d v="2025-03-08T00:00:00"/>
    <s v="Decathlon Gurugram"/>
    <x v="8"/>
    <x v="0"/>
    <s v="CUST1004"/>
    <s v="Female"/>
    <x v="3"/>
    <x v="2"/>
    <x v="0"/>
    <s v="Fitness Band"/>
    <x v="5"/>
    <n v="3"/>
    <n v="2593.67"/>
    <n v="0.3"/>
    <n v="5446.71"/>
    <n v="4338.62"/>
    <n v="1108.0899999999999"/>
    <s v="Cash"/>
    <x v="5"/>
    <n v="5"/>
    <x v="1"/>
  </r>
  <r>
    <s v="ORD100179"/>
    <d v="2025-06-16T00:00:00"/>
    <s v="Decathlon Delhi"/>
    <x v="9"/>
    <x v="0"/>
    <s v="CUST1553"/>
    <s v="Male"/>
    <x v="1"/>
    <x v="0"/>
    <x v="3"/>
    <s v="Cycling Gloves"/>
    <x v="7"/>
    <n v="5"/>
    <n v="793.97"/>
    <n v="0.25"/>
    <n v="2977.39"/>
    <n v="1725.26"/>
    <n v="1252.1300000000001"/>
    <s v="Credit Card"/>
    <x v="4"/>
    <n v="3"/>
    <x v="11"/>
  </r>
  <r>
    <s v="ORD100180"/>
    <d v="2025-10-06T00:00:00"/>
    <s v="Decathlon Mumbai"/>
    <x v="6"/>
    <x v="1"/>
    <s v="CUST1781"/>
    <s v="Female"/>
    <x v="0"/>
    <x v="0"/>
    <x v="4"/>
    <s v="Shin Guards"/>
    <x v="4"/>
    <n v="5"/>
    <n v="1047"/>
    <n v="0.2"/>
    <n v="4188"/>
    <n v="2518.79"/>
    <n v="1669.21"/>
    <s v="Cash"/>
    <x v="8"/>
    <n v="3"/>
    <x v="9"/>
  </r>
  <r>
    <s v="ORD100181"/>
    <d v="2025-05-10T00:00:00"/>
    <s v="Decathlon Ahmedabad"/>
    <x v="2"/>
    <x v="1"/>
    <s v="CUST1695"/>
    <s v="Male"/>
    <x v="3"/>
    <x v="2"/>
    <x v="0"/>
    <s v="Fitness Band"/>
    <x v="5"/>
    <n v="3"/>
    <n v="2409.04"/>
    <n v="0.15"/>
    <n v="6143.05"/>
    <n v="4711.22"/>
    <n v="1431.83"/>
    <s v="Cash"/>
    <x v="9"/>
    <n v="4"/>
    <x v="10"/>
  </r>
  <r>
    <s v="ORD100182"/>
    <d v="2025-12-24T00:00:00"/>
    <s v="Decathlon Delhi"/>
    <x v="9"/>
    <x v="0"/>
    <s v="CUST1853"/>
    <s v="Male"/>
    <x v="0"/>
    <x v="0"/>
    <x v="3"/>
    <s v="Cycling Gloves"/>
    <x v="6"/>
    <n v="3"/>
    <n v="831.02"/>
    <n v="0.1"/>
    <n v="2243.75"/>
    <n v="1018.67"/>
    <n v="1225.08"/>
    <s v="Cash"/>
    <x v="8"/>
    <n v="5"/>
    <x v="0"/>
  </r>
  <r>
    <s v="ORD100183"/>
    <d v="2025-07-25T00:00:00"/>
    <s v="Decathlon Ahmedabad"/>
    <x v="2"/>
    <x v="1"/>
    <s v="CUST1629"/>
    <s v="Female"/>
    <x v="2"/>
    <x v="2"/>
    <x v="3"/>
    <s v="Mountain Bike"/>
    <x v="7"/>
    <n v="3"/>
    <n v="24827.040000000001"/>
    <n v="0"/>
    <n v="74481.119999999995"/>
    <n v="52588.56"/>
    <n v="21892.560000000001"/>
    <s v="UPI"/>
    <x v="2"/>
    <n v="4"/>
    <x v="8"/>
  </r>
  <r>
    <s v="ORD100184"/>
    <d v="2025-02-22T00:00:00"/>
    <s v="Decathlon Noida"/>
    <x v="5"/>
    <x v="0"/>
    <s v="CUST1536"/>
    <s v="Male"/>
    <x v="3"/>
    <x v="0"/>
    <x v="3"/>
    <s v="Cycling Gloves"/>
    <x v="5"/>
    <n v="3"/>
    <n v="799.61"/>
    <n v="0.1"/>
    <n v="2158.9499999999998"/>
    <n v="1094.6199999999999"/>
    <n v="1064.33"/>
    <s v="Net Banking"/>
    <x v="2"/>
    <n v="5"/>
    <x v="6"/>
  </r>
  <r>
    <s v="ORD100185"/>
    <d v="2025-03-10T00:00:00"/>
    <s v="Decathlon Gurugram"/>
    <x v="8"/>
    <x v="0"/>
    <s v="CUST1638"/>
    <s v="Male"/>
    <x v="0"/>
    <x v="1"/>
    <x v="1"/>
    <s v="Resistance Band"/>
    <x v="3"/>
    <n v="5"/>
    <n v="876.4"/>
    <n v="0"/>
    <n v="4382"/>
    <n v="1942.64"/>
    <n v="2439.36"/>
    <s v="Debit Card"/>
    <x v="9"/>
    <n v="4"/>
    <x v="1"/>
  </r>
  <r>
    <s v="ORD100186"/>
    <d v="2025-04-22T00:00:00"/>
    <s v="Decathlon Chennai"/>
    <x v="3"/>
    <x v="2"/>
    <s v="CUST1213"/>
    <s v="Male"/>
    <x v="3"/>
    <x v="2"/>
    <x v="5"/>
    <s v="Backpack"/>
    <x v="1"/>
    <n v="5"/>
    <n v="3012.26"/>
    <n v="0.25"/>
    <n v="11295.98"/>
    <n v="8645.64"/>
    <n v="2650.34"/>
    <s v="UPI"/>
    <x v="0"/>
    <n v="5"/>
    <x v="5"/>
  </r>
  <r>
    <s v="ORD100187"/>
    <d v="2025-12-29T00:00:00"/>
    <s v="Decathlon Bengaluru"/>
    <x v="4"/>
    <x v="2"/>
    <s v="CUST1723"/>
    <s v="Male"/>
    <x v="0"/>
    <x v="0"/>
    <x v="2"/>
    <s v="Swim Cap"/>
    <x v="6"/>
    <n v="2"/>
    <n v="479.53"/>
    <n v="0.05"/>
    <n v="911.11"/>
    <n v="435.71"/>
    <n v="475.4"/>
    <s v="Cash"/>
    <x v="2"/>
    <n v="4"/>
    <x v="0"/>
  </r>
  <r>
    <s v="ORD100188"/>
    <d v="2025-09-15T00:00:00"/>
    <s v="Decathlon Gurugram"/>
    <x v="8"/>
    <x v="0"/>
    <s v="CUST1341"/>
    <s v="Male"/>
    <x v="2"/>
    <x v="0"/>
    <x v="3"/>
    <s v="Helmet"/>
    <x v="3"/>
    <n v="5"/>
    <n v="1922.93"/>
    <n v="0"/>
    <n v="9614.65"/>
    <n v="5323.6"/>
    <n v="4291.05"/>
    <s v="Net Banking"/>
    <x v="2"/>
    <n v="5"/>
    <x v="7"/>
  </r>
  <r>
    <s v="ORD100189"/>
    <d v="2025-06-27T00:00:00"/>
    <s v="Decathlon Bengaluru"/>
    <x v="4"/>
    <x v="2"/>
    <s v="CUST1253"/>
    <s v="Female"/>
    <x v="2"/>
    <x v="2"/>
    <x v="1"/>
    <s v="Yoga Block"/>
    <x v="0"/>
    <n v="1"/>
    <n v="612.66"/>
    <n v="0"/>
    <n v="612.66"/>
    <n v="257.52"/>
    <n v="355.14"/>
    <s v="Net Banking"/>
    <x v="0"/>
    <n v="3"/>
    <x v="11"/>
  </r>
  <r>
    <s v="ORD100190"/>
    <d v="2025-12-27T00:00:00"/>
    <s v="Decathlon Delhi"/>
    <x v="9"/>
    <x v="0"/>
    <s v="CUST1552"/>
    <s v="Female"/>
    <x v="2"/>
    <x v="0"/>
    <x v="3"/>
    <s v="Mountain Bike"/>
    <x v="2"/>
    <n v="1"/>
    <n v="25855.02"/>
    <n v="0"/>
    <n v="25855.02"/>
    <n v="18745.32"/>
    <n v="7109.7"/>
    <s v="Net Banking"/>
    <x v="9"/>
    <n v="3"/>
    <x v="0"/>
  </r>
  <r>
    <s v="ORD100191"/>
    <d v="2025-04-02T00:00:00"/>
    <s v="Decathlon Pune"/>
    <x v="1"/>
    <x v="1"/>
    <s v="CUST1554"/>
    <s v="Male"/>
    <x v="1"/>
    <x v="2"/>
    <x v="0"/>
    <s v="Fitness Band"/>
    <x v="0"/>
    <n v="5"/>
    <n v="2446.5300000000002"/>
    <n v="0.25"/>
    <n v="9174.49"/>
    <n v="7187.15"/>
    <n v="1987.34"/>
    <s v="UPI"/>
    <x v="6"/>
    <n v="4"/>
    <x v="5"/>
  </r>
  <r>
    <s v="ORD100192"/>
    <d v="2025-11-08T00:00:00"/>
    <s v="Decathlon Gurugram"/>
    <x v="8"/>
    <x v="0"/>
    <s v="CUST1087"/>
    <s v="Female"/>
    <x v="1"/>
    <x v="2"/>
    <x v="3"/>
    <s v="Cycling Gloves"/>
    <x v="4"/>
    <n v="4"/>
    <n v="834.19"/>
    <n v="0.2"/>
    <n v="2669.41"/>
    <n v="1448.7"/>
    <n v="1220.71"/>
    <s v="Cash"/>
    <x v="0"/>
    <n v="5"/>
    <x v="2"/>
  </r>
  <r>
    <s v="ORD100193"/>
    <d v="2025-07-06T00:00:00"/>
    <s v="Decathlon Delhi"/>
    <x v="9"/>
    <x v="0"/>
    <s v="CUST1730"/>
    <s v="Female"/>
    <x v="2"/>
    <x v="0"/>
    <x v="2"/>
    <s v="Swimming Goggles"/>
    <x v="4"/>
    <n v="3"/>
    <n v="869.98"/>
    <n v="0.15"/>
    <n v="2218.4499999999998"/>
    <n v="1371.83"/>
    <n v="846.62"/>
    <s v="Debit Card"/>
    <x v="4"/>
    <n v="3"/>
    <x v="8"/>
  </r>
  <r>
    <s v="ORD100194"/>
    <d v="2025-09-02T00:00:00"/>
    <s v="Decathlon Jaipur"/>
    <x v="0"/>
    <x v="0"/>
    <s v="CUST1637"/>
    <s v="Male"/>
    <x v="1"/>
    <x v="1"/>
    <x v="3"/>
    <s v="Mountain Bike"/>
    <x v="6"/>
    <n v="4"/>
    <n v="24871.72"/>
    <n v="0.05"/>
    <n v="94512.54"/>
    <n v="72421.78"/>
    <n v="22090.76"/>
    <s v="Net Banking"/>
    <x v="3"/>
    <n v="5"/>
    <x v="7"/>
  </r>
  <r>
    <s v="ORD100195"/>
    <d v="2025-07-26T00:00:00"/>
    <s v="Decathlon Jaipur"/>
    <x v="0"/>
    <x v="0"/>
    <s v="CUST1497"/>
    <s v="Female"/>
    <x v="1"/>
    <x v="1"/>
    <x v="3"/>
    <s v="Mountain Bike"/>
    <x v="7"/>
    <n v="1"/>
    <n v="24376.81"/>
    <n v="0"/>
    <n v="24376.81"/>
    <n v="18121.53"/>
    <n v="6255.28"/>
    <s v="Credit Card"/>
    <x v="3"/>
    <n v="3"/>
    <x v="8"/>
  </r>
  <r>
    <s v="ORD100196"/>
    <d v="2025-08-22T00:00:00"/>
    <s v="Decathlon Chennai"/>
    <x v="3"/>
    <x v="2"/>
    <s v="CUST1593"/>
    <s v="Female"/>
    <x v="3"/>
    <x v="0"/>
    <x v="4"/>
    <s v="Shin Guards"/>
    <x v="3"/>
    <n v="5"/>
    <n v="990.18"/>
    <n v="0.1"/>
    <n v="4455.8100000000004"/>
    <n v="2590.09"/>
    <n v="1865.72"/>
    <s v="Net Banking"/>
    <x v="0"/>
    <n v="5"/>
    <x v="3"/>
  </r>
  <r>
    <s v="ORD100197"/>
    <d v="2025-12-23T00:00:00"/>
    <s v="Decathlon Chennai"/>
    <x v="3"/>
    <x v="2"/>
    <s v="CUST1509"/>
    <s v="Male"/>
    <x v="3"/>
    <x v="0"/>
    <x v="4"/>
    <s v="Shin Guards"/>
    <x v="7"/>
    <n v="4"/>
    <n v="967.24"/>
    <n v="0.1"/>
    <n v="3482.06"/>
    <n v="2047.39"/>
    <n v="1434.67"/>
    <s v="Net Banking"/>
    <x v="4"/>
    <n v="3"/>
    <x v="0"/>
  </r>
  <r>
    <s v="ORD100198"/>
    <d v="2025-04-08T00:00:00"/>
    <s v="Decathlon Ahmedabad"/>
    <x v="2"/>
    <x v="1"/>
    <s v="CUST1133"/>
    <s v="Male"/>
    <x v="1"/>
    <x v="0"/>
    <x v="3"/>
    <s v="Helmet"/>
    <x v="6"/>
    <n v="4"/>
    <n v="1967.89"/>
    <n v="0.1"/>
    <n v="7084.4"/>
    <n v="4455.66"/>
    <n v="2628.74"/>
    <s v="Cash"/>
    <x v="3"/>
    <n v="5"/>
    <x v="5"/>
  </r>
  <r>
    <s v="ORD100199"/>
    <d v="2025-01-20T00:00:00"/>
    <s v="Decathlon Chennai"/>
    <x v="3"/>
    <x v="2"/>
    <s v="CUST1740"/>
    <s v="Male"/>
    <x v="3"/>
    <x v="1"/>
    <x v="5"/>
    <s v="Backpack"/>
    <x v="6"/>
    <n v="4"/>
    <n v="2899.59"/>
    <n v="0.1"/>
    <n v="10438.52"/>
    <n v="7038"/>
    <n v="3400.52"/>
    <s v="Credit Card"/>
    <x v="2"/>
    <n v="4"/>
    <x v="4"/>
  </r>
  <r>
    <s v="ORD100200"/>
    <d v="2025-07-27T00:00:00"/>
    <s v="Decathlon Gurugram"/>
    <x v="8"/>
    <x v="0"/>
    <s v="CUST1282"/>
    <s v="Female"/>
    <x v="1"/>
    <x v="0"/>
    <x v="4"/>
    <s v="Football Boots"/>
    <x v="6"/>
    <n v="2"/>
    <n v="3616.49"/>
    <n v="0.05"/>
    <n v="6871.33"/>
    <n v="3992.04"/>
    <n v="2879.29"/>
    <s v="Debit Card"/>
    <x v="6"/>
    <n v="3"/>
    <x v="8"/>
  </r>
  <r>
    <s v="ORD100201"/>
    <d v="2025-11-24T00:00:00"/>
    <s v="Decathlon Bengaluru"/>
    <x v="4"/>
    <x v="2"/>
    <s v="CUST1237"/>
    <s v="Female"/>
    <x v="1"/>
    <x v="2"/>
    <x v="1"/>
    <s v="Yoga Block"/>
    <x v="5"/>
    <n v="4"/>
    <n v="573.05999999999995"/>
    <n v="0.05"/>
    <n v="2177.63"/>
    <n v="1071.3"/>
    <n v="1106.33"/>
    <s v="Debit Card"/>
    <x v="7"/>
    <n v="4"/>
    <x v="2"/>
  </r>
  <r>
    <s v="ORD100202"/>
    <d v="2025-03-31T00:00:00"/>
    <s v="Decathlon Chennai"/>
    <x v="3"/>
    <x v="2"/>
    <s v="CUST1628"/>
    <s v="Female"/>
    <x v="2"/>
    <x v="2"/>
    <x v="4"/>
    <s v="Football Boots"/>
    <x v="5"/>
    <n v="1"/>
    <n v="3592.61"/>
    <n v="0.05"/>
    <n v="3412.98"/>
    <n v="2140.0100000000002"/>
    <n v="1272.97"/>
    <s v="UPI"/>
    <x v="5"/>
    <n v="5"/>
    <x v="1"/>
  </r>
  <r>
    <s v="ORD100203"/>
    <d v="2025-12-03T00:00:00"/>
    <s v="Decathlon Bengaluru"/>
    <x v="4"/>
    <x v="2"/>
    <s v="CUST1356"/>
    <s v="Male"/>
    <x v="1"/>
    <x v="1"/>
    <x v="3"/>
    <s v="Helmet"/>
    <x v="4"/>
    <n v="4"/>
    <n v="2080.39"/>
    <n v="0"/>
    <n v="8321.56"/>
    <n v="4212.7700000000004"/>
    <n v="4108.79"/>
    <s v="Credit Card"/>
    <x v="9"/>
    <n v="4"/>
    <x v="0"/>
  </r>
  <r>
    <s v="ORD100204"/>
    <d v="2025-02-05T00:00:00"/>
    <s v="Decathlon Mumbai"/>
    <x v="6"/>
    <x v="1"/>
    <s v="CUST1035"/>
    <s v="Female"/>
    <x v="1"/>
    <x v="0"/>
    <x v="1"/>
    <s v="Yoga Mat"/>
    <x v="0"/>
    <n v="2"/>
    <n v="1436.19"/>
    <n v="0.05"/>
    <n v="2728.76"/>
    <n v="1383.49"/>
    <n v="1345.27"/>
    <s v="Debit Card"/>
    <x v="1"/>
    <n v="3"/>
    <x v="6"/>
  </r>
  <r>
    <s v="ORD100205"/>
    <d v="2025-08-02T00:00:00"/>
    <s v="Decathlon Ahmedabad"/>
    <x v="2"/>
    <x v="1"/>
    <s v="CUST1055"/>
    <s v="Female"/>
    <x v="0"/>
    <x v="0"/>
    <x v="1"/>
    <s v="Yoga Mat"/>
    <x v="7"/>
    <n v="2"/>
    <n v="1458.05"/>
    <n v="0.3"/>
    <n v="2041.27"/>
    <n v="1420.32"/>
    <n v="620.95000000000005"/>
    <s v="Cash"/>
    <x v="7"/>
    <n v="3"/>
    <x v="3"/>
  </r>
  <r>
    <s v="ORD100206"/>
    <d v="2025-11-06T00:00:00"/>
    <s v="Decathlon Noida"/>
    <x v="5"/>
    <x v="0"/>
    <s v="CUST1950"/>
    <s v="Female"/>
    <x v="0"/>
    <x v="0"/>
    <x v="3"/>
    <s v="Helmet"/>
    <x v="5"/>
    <n v="4"/>
    <n v="2000.74"/>
    <n v="0.05"/>
    <n v="7602.81"/>
    <n v="4235.18"/>
    <n v="3367.63"/>
    <s v="Credit Card"/>
    <x v="4"/>
    <n v="5"/>
    <x v="2"/>
  </r>
  <r>
    <s v="ORD100207"/>
    <d v="2025-03-04T00:00:00"/>
    <s v="Decathlon Delhi"/>
    <x v="9"/>
    <x v="0"/>
    <s v="CUST1426"/>
    <s v="Male"/>
    <x v="3"/>
    <x v="1"/>
    <x v="1"/>
    <s v="Yoga Block"/>
    <x v="0"/>
    <n v="5"/>
    <n v="571.52"/>
    <n v="0.25"/>
    <n v="2143.1999999999998"/>
    <n v="1353.05"/>
    <n v="790.15"/>
    <s v="UPI"/>
    <x v="7"/>
    <n v="3"/>
    <x v="1"/>
  </r>
  <r>
    <s v="ORD100208"/>
    <d v="2025-02-17T00:00:00"/>
    <s v="Decathlon Bengaluru"/>
    <x v="4"/>
    <x v="2"/>
    <s v="CUST1852"/>
    <s v="Male"/>
    <x v="0"/>
    <x v="2"/>
    <x v="1"/>
    <s v="Yoga Block"/>
    <x v="6"/>
    <n v="5"/>
    <n v="626.14"/>
    <n v="0.1"/>
    <n v="2817.63"/>
    <n v="1279.67"/>
    <n v="1537.96"/>
    <s v="UPI"/>
    <x v="4"/>
    <n v="4"/>
    <x v="6"/>
  </r>
  <r>
    <s v="ORD100209"/>
    <d v="2025-09-12T00:00:00"/>
    <s v="Decathlon Noida"/>
    <x v="5"/>
    <x v="0"/>
    <s v="CUST1853"/>
    <s v="Male"/>
    <x v="0"/>
    <x v="1"/>
    <x v="4"/>
    <s v="Football"/>
    <x v="4"/>
    <n v="2"/>
    <n v="1329.35"/>
    <n v="0.3"/>
    <n v="1861.09"/>
    <n v="1332.14"/>
    <n v="528.95000000000005"/>
    <s v="UPI"/>
    <x v="6"/>
    <n v="4"/>
    <x v="7"/>
  </r>
  <r>
    <s v="ORD100210"/>
    <d v="2025-02-03T00:00:00"/>
    <s v="Decathlon Gurugram"/>
    <x v="8"/>
    <x v="0"/>
    <s v="CUST1942"/>
    <s v="Female"/>
    <x v="3"/>
    <x v="2"/>
    <x v="2"/>
    <s v="Swim Cap"/>
    <x v="5"/>
    <n v="5"/>
    <n v="480.75"/>
    <n v="0.05"/>
    <n v="2283.56"/>
    <n v="1099.3"/>
    <n v="1184.26"/>
    <s v="Debit Card"/>
    <x v="9"/>
    <n v="5"/>
    <x v="6"/>
  </r>
  <r>
    <s v="ORD100211"/>
    <d v="2025-02-24T00:00:00"/>
    <s v="Decathlon Ahmedabad"/>
    <x v="2"/>
    <x v="1"/>
    <s v="CUST1719"/>
    <s v="Female"/>
    <x v="1"/>
    <x v="2"/>
    <x v="1"/>
    <s v="Yoga Mat"/>
    <x v="1"/>
    <n v="3"/>
    <n v="1557.24"/>
    <n v="0.25"/>
    <n v="3503.79"/>
    <n v="2175.52"/>
    <n v="1328.27"/>
    <s v="Net Banking"/>
    <x v="3"/>
    <n v="4"/>
    <x v="6"/>
  </r>
  <r>
    <s v="ORD100212"/>
    <d v="2025-07-17T00:00:00"/>
    <s v="Decathlon Bengaluru"/>
    <x v="4"/>
    <x v="2"/>
    <s v="CUST1448"/>
    <s v="Male"/>
    <x v="1"/>
    <x v="0"/>
    <x v="3"/>
    <s v="Mountain Bike"/>
    <x v="0"/>
    <n v="2"/>
    <n v="24227.15"/>
    <n v="0"/>
    <n v="48454.3"/>
    <n v="34518.39"/>
    <n v="13935.91"/>
    <s v="Debit Card"/>
    <x v="6"/>
    <n v="3"/>
    <x v="8"/>
  </r>
  <r>
    <s v="ORD100213"/>
    <d v="2025-10-28T00:00:00"/>
    <s v="Decathlon Gurugram"/>
    <x v="8"/>
    <x v="0"/>
    <s v="CUST1887"/>
    <s v="Male"/>
    <x v="2"/>
    <x v="2"/>
    <x v="2"/>
    <s v="Swimming Goggles"/>
    <x v="3"/>
    <n v="1"/>
    <n v="876.25"/>
    <n v="0.05"/>
    <n v="832.44"/>
    <n v="435.38"/>
    <n v="397.06"/>
    <s v="Debit Card"/>
    <x v="0"/>
    <n v="3"/>
    <x v="9"/>
  </r>
  <r>
    <s v="ORD100214"/>
    <d v="2025-06-21T00:00:00"/>
    <s v="Decathlon Noida"/>
    <x v="5"/>
    <x v="0"/>
    <s v="CUST1488"/>
    <s v="Male"/>
    <x v="0"/>
    <x v="2"/>
    <x v="2"/>
    <s v="Swim Cap"/>
    <x v="3"/>
    <n v="1"/>
    <n v="501.63"/>
    <n v="0"/>
    <n v="501.63"/>
    <n v="220.6"/>
    <n v="281.02999999999997"/>
    <s v="Net Banking"/>
    <x v="2"/>
    <n v="5"/>
    <x v="11"/>
  </r>
  <r>
    <s v="ORD100215"/>
    <d v="2025-08-05T00:00:00"/>
    <s v="Decathlon Gurugram"/>
    <x v="8"/>
    <x v="0"/>
    <s v="CUST1250"/>
    <s v="Male"/>
    <x v="2"/>
    <x v="2"/>
    <x v="2"/>
    <s v="Swimming Goggles"/>
    <x v="0"/>
    <n v="3"/>
    <n v="909.36"/>
    <n v="0"/>
    <n v="2728.08"/>
    <n v="1341.01"/>
    <n v="1387.07"/>
    <s v="Cash"/>
    <x v="8"/>
    <n v="5"/>
    <x v="3"/>
  </r>
  <r>
    <s v="ORD100216"/>
    <d v="2025-02-04T00:00:00"/>
    <s v="Decathlon Noida"/>
    <x v="5"/>
    <x v="0"/>
    <s v="CUST1434"/>
    <s v="Male"/>
    <x v="0"/>
    <x v="2"/>
    <x v="1"/>
    <s v="Yoga Mat"/>
    <x v="5"/>
    <n v="3"/>
    <n v="1465.05"/>
    <n v="0.1"/>
    <n v="3955.63"/>
    <n v="2017.09"/>
    <n v="1938.54"/>
    <s v="Cash"/>
    <x v="5"/>
    <n v="3"/>
    <x v="6"/>
  </r>
  <r>
    <s v="ORD100217"/>
    <d v="2025-05-30T00:00:00"/>
    <s v="Decathlon Gurugram"/>
    <x v="8"/>
    <x v="0"/>
    <s v="CUST1329"/>
    <s v="Female"/>
    <x v="2"/>
    <x v="0"/>
    <x v="1"/>
    <s v="Resistance Band"/>
    <x v="5"/>
    <n v="2"/>
    <n v="880.59"/>
    <n v="0"/>
    <n v="1761.18"/>
    <n v="761.09"/>
    <n v="1000.09"/>
    <s v="Net Banking"/>
    <x v="6"/>
    <n v="3"/>
    <x v="10"/>
  </r>
  <r>
    <s v="ORD100218"/>
    <d v="2025-11-15T00:00:00"/>
    <s v="Decathlon Bengaluru"/>
    <x v="4"/>
    <x v="2"/>
    <s v="CUST1827"/>
    <s v="Male"/>
    <x v="1"/>
    <x v="0"/>
    <x v="1"/>
    <s v="Resistance Band"/>
    <x v="0"/>
    <n v="2"/>
    <n v="904.24"/>
    <n v="0.05"/>
    <n v="1718.06"/>
    <n v="774.16"/>
    <n v="943.9"/>
    <s v="Net Banking"/>
    <x v="9"/>
    <n v="3"/>
    <x v="2"/>
  </r>
  <r>
    <s v="ORD100219"/>
    <d v="2025-01-15T00:00:00"/>
    <s v="Decathlon Pune"/>
    <x v="1"/>
    <x v="1"/>
    <s v="CUST1455"/>
    <s v="Female"/>
    <x v="1"/>
    <x v="1"/>
    <x v="3"/>
    <s v="Mountain Bike"/>
    <x v="0"/>
    <n v="2"/>
    <n v="25720.46"/>
    <n v="0.25"/>
    <n v="38580.69"/>
    <n v="37610.31"/>
    <n v="970.38"/>
    <s v="Cash"/>
    <x v="2"/>
    <n v="5"/>
    <x v="4"/>
  </r>
  <r>
    <s v="ORD100220"/>
    <d v="2025-11-16T00:00:00"/>
    <s v="Decathlon Chennai"/>
    <x v="3"/>
    <x v="2"/>
    <s v="CUST1526"/>
    <s v="Female"/>
    <x v="1"/>
    <x v="1"/>
    <x v="1"/>
    <s v="Resistance Band"/>
    <x v="1"/>
    <n v="4"/>
    <n v="875.78"/>
    <n v="0.3"/>
    <n v="2452.1799999999998"/>
    <n v="1617.99"/>
    <n v="834.19"/>
    <s v="Debit Card"/>
    <x v="2"/>
    <n v="3"/>
    <x v="2"/>
  </r>
  <r>
    <s v="ORD100221"/>
    <d v="2025-01-23T00:00:00"/>
    <s v="Decathlon Noida"/>
    <x v="5"/>
    <x v="0"/>
    <s v="CUST1961"/>
    <s v="Female"/>
    <x v="0"/>
    <x v="0"/>
    <x v="3"/>
    <s v="Cycling Gloves"/>
    <x v="7"/>
    <n v="5"/>
    <n v="823.53"/>
    <n v="0.3"/>
    <n v="2882.35"/>
    <n v="1817.63"/>
    <n v="1064.72"/>
    <s v="Net Banking"/>
    <x v="5"/>
    <n v="4"/>
    <x v="4"/>
  </r>
  <r>
    <s v="ORD100222"/>
    <d v="2025-12-31T00:00:00"/>
    <s v="Decathlon Chennai"/>
    <x v="3"/>
    <x v="2"/>
    <s v="CUST1346"/>
    <s v="Male"/>
    <x v="0"/>
    <x v="0"/>
    <x v="4"/>
    <s v="Shin Guards"/>
    <x v="0"/>
    <n v="1"/>
    <n v="987.84"/>
    <n v="0.05"/>
    <n v="938.45"/>
    <n v="511.74"/>
    <n v="426.71"/>
    <s v="Net Banking"/>
    <x v="8"/>
    <n v="4"/>
    <x v="0"/>
  </r>
  <r>
    <s v="ORD100223"/>
    <d v="2025-08-07T00:00:00"/>
    <s v="Decathlon Pune"/>
    <x v="1"/>
    <x v="1"/>
    <s v="CUST1066"/>
    <s v="Female"/>
    <x v="1"/>
    <x v="1"/>
    <x v="1"/>
    <s v="Resistance Band"/>
    <x v="5"/>
    <n v="3"/>
    <n v="857.34"/>
    <n v="0"/>
    <n v="2572.02"/>
    <n v="1226.77"/>
    <n v="1345.25"/>
    <s v="Cash"/>
    <x v="8"/>
    <n v="4"/>
    <x v="3"/>
  </r>
  <r>
    <s v="ORD100224"/>
    <d v="2025-07-24T00:00:00"/>
    <s v="Decathlon Mumbai"/>
    <x v="6"/>
    <x v="1"/>
    <s v="CUST1997"/>
    <s v="Male"/>
    <x v="2"/>
    <x v="0"/>
    <x v="2"/>
    <s v="Swim Cap"/>
    <x v="1"/>
    <n v="1"/>
    <n v="476.55"/>
    <n v="0.25"/>
    <n v="357.41"/>
    <n v="221.13"/>
    <n v="136.28"/>
    <s v="Credit Card"/>
    <x v="4"/>
    <n v="4"/>
    <x v="8"/>
  </r>
  <r>
    <s v="ORD100225"/>
    <d v="2025-06-27T00:00:00"/>
    <s v="Decathlon Hyderabad"/>
    <x v="7"/>
    <x v="2"/>
    <s v="CUST1753"/>
    <s v="Female"/>
    <x v="2"/>
    <x v="2"/>
    <x v="4"/>
    <s v="Shin Guards"/>
    <x v="0"/>
    <n v="4"/>
    <n v="1014.96"/>
    <n v="0.3"/>
    <n v="2841.89"/>
    <n v="1966.61"/>
    <n v="875.28"/>
    <s v="Net Banking"/>
    <x v="8"/>
    <n v="3"/>
    <x v="11"/>
  </r>
  <r>
    <s v="ORD100226"/>
    <d v="2025-09-13T00:00:00"/>
    <s v="Decathlon Chennai"/>
    <x v="3"/>
    <x v="2"/>
    <s v="CUST1810"/>
    <s v="Male"/>
    <x v="2"/>
    <x v="1"/>
    <x v="4"/>
    <s v="Football"/>
    <x v="3"/>
    <n v="2"/>
    <n v="1335.97"/>
    <n v="0"/>
    <n v="2671.94"/>
    <n v="1367.78"/>
    <n v="1304.1600000000001"/>
    <s v="Debit Card"/>
    <x v="9"/>
    <n v="3"/>
    <x v="7"/>
  </r>
  <r>
    <s v="ORD100227"/>
    <d v="2025-09-12T00:00:00"/>
    <s v="Decathlon Delhi"/>
    <x v="9"/>
    <x v="0"/>
    <s v="CUST1547"/>
    <s v="Female"/>
    <x v="2"/>
    <x v="1"/>
    <x v="5"/>
    <s v="Backpack"/>
    <x v="6"/>
    <n v="3"/>
    <n v="3009.04"/>
    <n v="0.25"/>
    <n v="6770.34"/>
    <n v="5125.76"/>
    <n v="1644.58"/>
    <s v="Cash"/>
    <x v="5"/>
    <n v="4"/>
    <x v="7"/>
  </r>
  <r>
    <s v="ORD100228"/>
    <d v="2025-12-03T00:00:00"/>
    <s v="Decathlon Jaipur"/>
    <x v="0"/>
    <x v="0"/>
    <s v="CUST1154"/>
    <s v="Male"/>
    <x v="0"/>
    <x v="2"/>
    <x v="4"/>
    <s v="Shin Guards"/>
    <x v="7"/>
    <n v="1"/>
    <n v="989.15"/>
    <n v="0.1"/>
    <n v="890.24"/>
    <n v="519.07000000000005"/>
    <n v="371.17"/>
    <s v="Cash"/>
    <x v="2"/>
    <n v="4"/>
    <x v="0"/>
  </r>
  <r>
    <s v="ORD100229"/>
    <d v="2025-09-22T00:00:00"/>
    <s v="Decathlon Pune"/>
    <x v="1"/>
    <x v="1"/>
    <s v="CUST1832"/>
    <s v="Male"/>
    <x v="3"/>
    <x v="2"/>
    <x v="3"/>
    <s v="Mountain Bike"/>
    <x v="3"/>
    <n v="4"/>
    <n v="25554.34"/>
    <n v="0.05"/>
    <n v="97106.49"/>
    <n v="73336.820000000007"/>
    <n v="23769.67"/>
    <s v="Cash"/>
    <x v="4"/>
    <n v="5"/>
    <x v="7"/>
  </r>
  <r>
    <s v="ORD100230"/>
    <d v="2025-10-07T00:00:00"/>
    <s v="Decathlon Jaipur"/>
    <x v="0"/>
    <x v="0"/>
    <s v="CUST1877"/>
    <s v="Male"/>
    <x v="0"/>
    <x v="1"/>
    <x v="3"/>
    <s v="Helmet"/>
    <x v="2"/>
    <n v="5"/>
    <n v="1970.1"/>
    <n v="0"/>
    <n v="9850.5"/>
    <n v="5295.79"/>
    <n v="4554.71"/>
    <s v="Debit Card"/>
    <x v="4"/>
    <n v="4"/>
    <x v="9"/>
  </r>
  <r>
    <s v="ORD100231"/>
    <d v="2025-01-29T00:00:00"/>
    <s v="Decathlon Jaipur"/>
    <x v="0"/>
    <x v="0"/>
    <s v="CUST1498"/>
    <s v="Female"/>
    <x v="3"/>
    <x v="0"/>
    <x v="2"/>
    <s v="Swimming Goggles"/>
    <x v="4"/>
    <n v="1"/>
    <n v="883.14"/>
    <n v="0.25"/>
    <n v="662.36"/>
    <n v="444.75"/>
    <n v="217.61"/>
    <s v="Net Banking"/>
    <x v="8"/>
    <n v="4"/>
    <x v="4"/>
  </r>
  <r>
    <s v="ORD100232"/>
    <d v="2025-11-09T00:00:00"/>
    <s v="Decathlon Bengaluru"/>
    <x v="4"/>
    <x v="2"/>
    <s v="CUST1863"/>
    <s v="Female"/>
    <x v="0"/>
    <x v="1"/>
    <x v="2"/>
    <s v="Swimming Goggles"/>
    <x v="4"/>
    <n v="3"/>
    <n v="920.29"/>
    <n v="0.15"/>
    <n v="2346.7399999999998"/>
    <n v="1342.1"/>
    <n v="1004.64"/>
    <s v="Credit Card"/>
    <x v="1"/>
    <n v="5"/>
    <x v="2"/>
  </r>
  <r>
    <s v="ORD100233"/>
    <d v="2025-07-19T00:00:00"/>
    <s v="Decathlon Bengaluru"/>
    <x v="4"/>
    <x v="2"/>
    <s v="CUST1151"/>
    <s v="Male"/>
    <x v="2"/>
    <x v="0"/>
    <x v="2"/>
    <s v="Swimsuit"/>
    <x v="0"/>
    <n v="3"/>
    <n v="1458.36"/>
    <n v="0.15"/>
    <n v="3718.82"/>
    <n v="2617.0300000000002"/>
    <n v="1101.79"/>
    <s v="Cash"/>
    <x v="9"/>
    <n v="4"/>
    <x v="8"/>
  </r>
  <r>
    <s v="ORD100234"/>
    <d v="2025-11-08T00:00:00"/>
    <s v="Decathlon Gurugram"/>
    <x v="8"/>
    <x v="0"/>
    <s v="CUST1700"/>
    <s v="Female"/>
    <x v="1"/>
    <x v="2"/>
    <x v="3"/>
    <s v="Helmet"/>
    <x v="6"/>
    <n v="2"/>
    <n v="1919.44"/>
    <n v="0"/>
    <n v="3838.88"/>
    <n v="2104.6"/>
    <n v="1734.28"/>
    <s v="Credit Card"/>
    <x v="5"/>
    <n v="5"/>
    <x v="2"/>
  </r>
  <r>
    <s v="ORD100235"/>
    <d v="2025-03-13T00:00:00"/>
    <s v="Decathlon Jaipur"/>
    <x v="0"/>
    <x v="0"/>
    <s v="CUST1431"/>
    <s v="Male"/>
    <x v="3"/>
    <x v="2"/>
    <x v="3"/>
    <s v="Cycling Gloves"/>
    <x v="0"/>
    <n v="2"/>
    <n v="773.71"/>
    <n v="0.15"/>
    <n v="1315.31"/>
    <n v="698.29"/>
    <n v="617.02"/>
    <s v="UPI"/>
    <x v="7"/>
    <n v="4"/>
    <x v="1"/>
  </r>
  <r>
    <s v="ORD100236"/>
    <d v="2025-12-08T00:00:00"/>
    <s v="Decathlon Bengaluru"/>
    <x v="4"/>
    <x v="2"/>
    <s v="CUST1951"/>
    <s v="Male"/>
    <x v="0"/>
    <x v="0"/>
    <x v="1"/>
    <s v="Yoga Mat"/>
    <x v="0"/>
    <n v="5"/>
    <n v="1560.69"/>
    <n v="0.2"/>
    <n v="6242.76"/>
    <n v="3660.21"/>
    <n v="2582.5500000000002"/>
    <s v="Cash"/>
    <x v="6"/>
    <n v="5"/>
    <x v="0"/>
  </r>
  <r>
    <s v="ORD100237"/>
    <d v="2025-07-28T00:00:00"/>
    <s v="Decathlon Hyderabad"/>
    <x v="7"/>
    <x v="2"/>
    <s v="CUST1058"/>
    <s v="Female"/>
    <x v="0"/>
    <x v="2"/>
    <x v="3"/>
    <s v="Mountain Bike"/>
    <x v="5"/>
    <n v="4"/>
    <n v="24302.720000000001"/>
    <n v="0.15"/>
    <n v="82629.25"/>
    <n v="73404.31"/>
    <n v="9224.94"/>
    <s v="Net Banking"/>
    <x v="0"/>
    <n v="5"/>
    <x v="8"/>
  </r>
  <r>
    <s v="ORD100238"/>
    <d v="2025-07-09T00:00:00"/>
    <s v="Decathlon Chennai"/>
    <x v="3"/>
    <x v="2"/>
    <s v="CUST1259"/>
    <s v="Female"/>
    <x v="1"/>
    <x v="1"/>
    <x v="2"/>
    <s v="Swimming Goggles"/>
    <x v="5"/>
    <n v="4"/>
    <n v="925.93"/>
    <n v="0"/>
    <n v="3703.72"/>
    <n v="1805.42"/>
    <n v="1898.3"/>
    <s v="Credit Card"/>
    <x v="8"/>
    <n v="3"/>
    <x v="8"/>
  </r>
  <r>
    <s v="ORD100239"/>
    <d v="2025-11-18T00:00:00"/>
    <s v="Decathlon Pune"/>
    <x v="1"/>
    <x v="1"/>
    <s v="CUST1063"/>
    <s v="Male"/>
    <x v="2"/>
    <x v="2"/>
    <x v="2"/>
    <s v="Swim Cap"/>
    <x v="5"/>
    <n v="5"/>
    <n v="491.06"/>
    <n v="0"/>
    <n v="2455.3000000000002"/>
    <n v="1067.44"/>
    <n v="1387.86"/>
    <s v="UPI"/>
    <x v="5"/>
    <n v="4"/>
    <x v="2"/>
  </r>
  <r>
    <s v="ORD100240"/>
    <d v="2025-04-16T00:00:00"/>
    <s v="Decathlon Gurugram"/>
    <x v="8"/>
    <x v="0"/>
    <s v="CUST1761"/>
    <s v="Male"/>
    <x v="0"/>
    <x v="0"/>
    <x v="5"/>
    <s v="Backpack"/>
    <x v="4"/>
    <n v="4"/>
    <n v="3062.52"/>
    <n v="0.15"/>
    <n v="10412.57"/>
    <n v="6856.95"/>
    <n v="3555.62"/>
    <s v="Cash"/>
    <x v="2"/>
    <n v="5"/>
    <x v="5"/>
  </r>
  <r>
    <s v="ORD100241"/>
    <d v="2025-07-28T00:00:00"/>
    <s v="Decathlon Mumbai"/>
    <x v="6"/>
    <x v="1"/>
    <s v="CUST1255"/>
    <s v="Male"/>
    <x v="2"/>
    <x v="0"/>
    <x v="3"/>
    <s v="Helmet"/>
    <x v="3"/>
    <n v="1"/>
    <n v="2012.97"/>
    <n v="0.25"/>
    <n v="1509.73"/>
    <n v="1108.05"/>
    <n v="401.68"/>
    <s v="UPI"/>
    <x v="1"/>
    <n v="5"/>
    <x v="8"/>
  </r>
  <r>
    <s v="ORD100242"/>
    <d v="2025-02-27T00:00:00"/>
    <s v="Decathlon Ahmedabad"/>
    <x v="2"/>
    <x v="1"/>
    <s v="CUST1488"/>
    <s v="Female"/>
    <x v="2"/>
    <x v="1"/>
    <x v="3"/>
    <s v="Helmet"/>
    <x v="1"/>
    <n v="4"/>
    <n v="1982.02"/>
    <n v="0.15"/>
    <n v="6738.87"/>
    <n v="4426.58"/>
    <n v="2312.29"/>
    <s v="Debit Card"/>
    <x v="3"/>
    <n v="5"/>
    <x v="6"/>
  </r>
  <r>
    <s v="ORD100243"/>
    <d v="2025-11-23T00:00:00"/>
    <s v="Decathlon Pune"/>
    <x v="1"/>
    <x v="1"/>
    <s v="CUST1166"/>
    <s v="Female"/>
    <x v="3"/>
    <x v="0"/>
    <x v="5"/>
    <s v="Backpack"/>
    <x v="3"/>
    <n v="3"/>
    <n v="3098.3"/>
    <n v="0.2"/>
    <n v="7435.92"/>
    <n v="4850.2"/>
    <n v="2585.7199999999998"/>
    <s v="Credit Card"/>
    <x v="9"/>
    <n v="4"/>
    <x v="2"/>
  </r>
  <r>
    <s v="ORD100244"/>
    <d v="2025-05-31T00:00:00"/>
    <s v="Decathlon Ahmedabad"/>
    <x v="2"/>
    <x v="1"/>
    <s v="CUST1864"/>
    <s v="Female"/>
    <x v="0"/>
    <x v="0"/>
    <x v="3"/>
    <s v="Mountain Bike"/>
    <x v="7"/>
    <n v="1"/>
    <n v="24937.95"/>
    <n v="0.1"/>
    <n v="22444.16"/>
    <n v="17735.98"/>
    <n v="4708.18"/>
    <s v="Net Banking"/>
    <x v="7"/>
    <n v="5"/>
    <x v="10"/>
  </r>
  <r>
    <s v="ORD100245"/>
    <d v="2025-03-10T00:00:00"/>
    <s v="Decathlon Delhi"/>
    <x v="9"/>
    <x v="0"/>
    <s v="CUST1033"/>
    <s v="Male"/>
    <x v="2"/>
    <x v="1"/>
    <x v="2"/>
    <s v="Swimsuit"/>
    <x v="4"/>
    <n v="3"/>
    <n v="1508.58"/>
    <n v="0.2"/>
    <n v="3620.59"/>
    <n v="2671.43"/>
    <n v="949.16"/>
    <s v="Cash"/>
    <x v="6"/>
    <n v="4"/>
    <x v="1"/>
  </r>
  <r>
    <s v="ORD100246"/>
    <d v="2025-12-03T00:00:00"/>
    <s v="Decathlon Ahmedabad"/>
    <x v="2"/>
    <x v="1"/>
    <s v="CUST1960"/>
    <s v="Male"/>
    <x v="1"/>
    <x v="1"/>
    <x v="2"/>
    <s v="Swimming Goggles"/>
    <x v="2"/>
    <n v="3"/>
    <n v="889.15"/>
    <n v="0.15"/>
    <n v="2267.33"/>
    <n v="1373.16"/>
    <n v="894.17"/>
    <s v="Debit Card"/>
    <x v="7"/>
    <n v="3"/>
    <x v="0"/>
  </r>
  <r>
    <s v="ORD100247"/>
    <d v="2025-04-11T00:00:00"/>
    <s v="Decathlon Chennai"/>
    <x v="3"/>
    <x v="2"/>
    <s v="CUST1628"/>
    <s v="Male"/>
    <x v="2"/>
    <x v="0"/>
    <x v="2"/>
    <s v="Swim Cap"/>
    <x v="0"/>
    <n v="4"/>
    <n v="479.47"/>
    <n v="0.3"/>
    <n v="1342.52"/>
    <n v="850.41"/>
    <n v="492.11"/>
    <s v="UPI"/>
    <x v="3"/>
    <n v="3"/>
    <x v="5"/>
  </r>
  <r>
    <s v="ORD100248"/>
    <d v="2025-10-27T00:00:00"/>
    <s v="Decathlon Jaipur"/>
    <x v="0"/>
    <x v="0"/>
    <s v="CUST1273"/>
    <s v="Female"/>
    <x v="2"/>
    <x v="0"/>
    <x v="1"/>
    <s v="Yoga Mat"/>
    <x v="2"/>
    <n v="4"/>
    <n v="1567.77"/>
    <n v="0.1"/>
    <n v="5643.97"/>
    <n v="2867.07"/>
    <n v="2776.9"/>
    <s v="Debit Card"/>
    <x v="5"/>
    <n v="3"/>
    <x v="9"/>
  </r>
  <r>
    <s v="ORD100249"/>
    <d v="2025-03-16T00:00:00"/>
    <s v="Decathlon Ahmedabad"/>
    <x v="2"/>
    <x v="1"/>
    <s v="CUST1229"/>
    <s v="Male"/>
    <x v="3"/>
    <x v="0"/>
    <x v="1"/>
    <s v="Resistance Band"/>
    <x v="0"/>
    <n v="3"/>
    <n v="927.01"/>
    <n v="0.25"/>
    <n v="2085.77"/>
    <n v="1140.3699999999999"/>
    <n v="945.4"/>
    <s v="Net Banking"/>
    <x v="9"/>
    <n v="5"/>
    <x v="1"/>
  </r>
  <r>
    <s v="ORD100250"/>
    <d v="2025-08-05T00:00:00"/>
    <s v="Decathlon Gurugram"/>
    <x v="8"/>
    <x v="0"/>
    <s v="CUST1664"/>
    <s v="Female"/>
    <x v="0"/>
    <x v="0"/>
    <x v="4"/>
    <s v="Football"/>
    <x v="3"/>
    <n v="5"/>
    <n v="1282.25"/>
    <n v="0"/>
    <n v="6411.25"/>
    <n v="3653.28"/>
    <n v="2757.97"/>
    <s v="Net Banking"/>
    <x v="3"/>
    <n v="3"/>
    <x v="3"/>
  </r>
  <r>
    <s v="ORD100251"/>
    <d v="2025-02-16T00:00:00"/>
    <s v="Decathlon Jaipur"/>
    <x v="0"/>
    <x v="0"/>
    <s v="CUST1596"/>
    <s v="Male"/>
    <x v="1"/>
    <x v="1"/>
    <x v="1"/>
    <s v="Yoga Block"/>
    <x v="1"/>
    <n v="5"/>
    <n v="614.25"/>
    <n v="0.15"/>
    <n v="2610.56"/>
    <n v="1286.3599999999999"/>
    <n v="1324.2"/>
    <s v="Credit Card"/>
    <x v="1"/>
    <n v="4"/>
    <x v="6"/>
  </r>
  <r>
    <s v="ORD100252"/>
    <d v="2025-11-02T00:00:00"/>
    <s v="Decathlon Bengaluru"/>
    <x v="4"/>
    <x v="2"/>
    <s v="CUST1209"/>
    <s v="Male"/>
    <x v="0"/>
    <x v="2"/>
    <x v="3"/>
    <s v="Helmet"/>
    <x v="2"/>
    <n v="5"/>
    <n v="2038.69"/>
    <n v="0"/>
    <n v="10193.450000000001"/>
    <n v="5767.34"/>
    <n v="4426.1099999999997"/>
    <s v="UPI"/>
    <x v="5"/>
    <n v="4"/>
    <x v="2"/>
  </r>
  <r>
    <s v="ORD100253"/>
    <d v="2025-03-16T00:00:00"/>
    <s v="Decathlon Chennai"/>
    <x v="3"/>
    <x v="2"/>
    <s v="CUST1804"/>
    <s v="Male"/>
    <x v="0"/>
    <x v="2"/>
    <x v="0"/>
    <s v="Running Shoes"/>
    <x v="1"/>
    <n v="5"/>
    <n v="4008.8"/>
    <n v="0.25"/>
    <n v="15033"/>
    <n v="11544.98"/>
    <n v="3488.02"/>
    <s v="Credit Card"/>
    <x v="7"/>
    <n v="3"/>
    <x v="1"/>
  </r>
  <r>
    <s v="ORD100254"/>
    <d v="2025-01-19T00:00:00"/>
    <s v="Decathlon Delhi"/>
    <x v="9"/>
    <x v="0"/>
    <s v="CUST1202"/>
    <s v="Male"/>
    <x v="2"/>
    <x v="1"/>
    <x v="5"/>
    <s v="Trekking Shoes"/>
    <x v="5"/>
    <n v="2"/>
    <n v="5168.12"/>
    <n v="0.05"/>
    <n v="9819.43"/>
    <n v="6553.28"/>
    <n v="3266.15"/>
    <s v="Debit Card"/>
    <x v="7"/>
    <n v="5"/>
    <x v="4"/>
  </r>
  <r>
    <s v="ORD100255"/>
    <d v="2025-03-10T00:00:00"/>
    <s v="Decathlon Delhi"/>
    <x v="9"/>
    <x v="0"/>
    <s v="CUST1634"/>
    <s v="Female"/>
    <x v="1"/>
    <x v="2"/>
    <x v="0"/>
    <s v="Running T-Shirt"/>
    <x v="0"/>
    <n v="1"/>
    <n v="970.15"/>
    <n v="0.2"/>
    <n v="776.12"/>
    <n v="455.46"/>
    <n v="320.66000000000003"/>
    <s v="Cash"/>
    <x v="0"/>
    <n v="4"/>
    <x v="1"/>
  </r>
  <r>
    <s v="ORD100256"/>
    <d v="2025-06-28T00:00:00"/>
    <s v="Decathlon Pune"/>
    <x v="1"/>
    <x v="1"/>
    <s v="CUST1728"/>
    <s v="Male"/>
    <x v="0"/>
    <x v="2"/>
    <x v="2"/>
    <s v="Swimsuit"/>
    <x v="3"/>
    <n v="5"/>
    <n v="1483.9"/>
    <n v="0.1"/>
    <n v="6677.55"/>
    <n v="4283.92"/>
    <n v="2393.63"/>
    <s v="Credit Card"/>
    <x v="1"/>
    <n v="5"/>
    <x v="11"/>
  </r>
  <r>
    <s v="ORD100257"/>
    <d v="2025-11-07T00:00:00"/>
    <s v="Decathlon Delhi"/>
    <x v="9"/>
    <x v="0"/>
    <s v="CUST1624"/>
    <s v="Female"/>
    <x v="3"/>
    <x v="1"/>
    <x v="5"/>
    <s v="Trekking Shoes"/>
    <x v="0"/>
    <n v="2"/>
    <n v="4917.3599999999997"/>
    <n v="0.05"/>
    <n v="9342.98"/>
    <n v="6658.3"/>
    <n v="2684.68"/>
    <s v="Net Banking"/>
    <x v="6"/>
    <n v="3"/>
    <x v="2"/>
  </r>
  <r>
    <s v="ORD100258"/>
    <d v="2025-01-05T00:00:00"/>
    <s v="Decathlon Ahmedabad"/>
    <x v="2"/>
    <x v="1"/>
    <s v="CUST1329"/>
    <s v="Female"/>
    <x v="0"/>
    <x v="1"/>
    <x v="5"/>
    <s v="Backpack"/>
    <x v="7"/>
    <n v="2"/>
    <n v="3125.89"/>
    <n v="0"/>
    <n v="6251.78"/>
    <n v="3355.99"/>
    <n v="2895.79"/>
    <s v="Net Banking"/>
    <x v="7"/>
    <n v="5"/>
    <x v="4"/>
  </r>
  <r>
    <s v="ORD100259"/>
    <d v="2025-04-20T00:00:00"/>
    <s v="Decathlon Gurugram"/>
    <x v="8"/>
    <x v="0"/>
    <s v="CUST1522"/>
    <s v="Female"/>
    <x v="2"/>
    <x v="1"/>
    <x v="2"/>
    <s v="Swimsuit"/>
    <x v="6"/>
    <n v="5"/>
    <n v="1483.86"/>
    <n v="0.15"/>
    <n v="6306.4"/>
    <n v="4245.0600000000004"/>
    <n v="2061.34"/>
    <s v="Cash"/>
    <x v="9"/>
    <n v="5"/>
    <x v="5"/>
  </r>
  <r>
    <s v="ORD100260"/>
    <d v="2025-04-08T00:00:00"/>
    <s v="Decathlon Ahmedabad"/>
    <x v="2"/>
    <x v="1"/>
    <s v="CUST1115"/>
    <s v="Female"/>
    <x v="2"/>
    <x v="2"/>
    <x v="5"/>
    <s v="Backpack"/>
    <x v="1"/>
    <n v="3"/>
    <n v="2980.54"/>
    <n v="0"/>
    <n v="8941.6200000000008"/>
    <n v="5231.93"/>
    <n v="3709.69"/>
    <s v="Debit Card"/>
    <x v="8"/>
    <n v="5"/>
    <x v="5"/>
  </r>
  <r>
    <s v="ORD100261"/>
    <d v="2025-05-08T00:00:00"/>
    <s v="Decathlon Pune"/>
    <x v="1"/>
    <x v="1"/>
    <s v="CUST1202"/>
    <s v="Female"/>
    <x v="3"/>
    <x v="0"/>
    <x v="2"/>
    <s v="Swim Cap"/>
    <x v="0"/>
    <n v="1"/>
    <n v="507.48"/>
    <n v="0.1"/>
    <n v="456.73"/>
    <n v="223.69"/>
    <n v="233.04"/>
    <s v="UPI"/>
    <x v="5"/>
    <n v="4"/>
    <x v="10"/>
  </r>
  <r>
    <s v="ORD100262"/>
    <d v="2025-01-24T00:00:00"/>
    <s v="Decathlon Delhi"/>
    <x v="9"/>
    <x v="0"/>
    <s v="CUST1455"/>
    <s v="Male"/>
    <x v="1"/>
    <x v="0"/>
    <x v="4"/>
    <s v="Football Boots"/>
    <x v="5"/>
    <n v="3"/>
    <n v="3614.02"/>
    <n v="0.25"/>
    <n v="8131.55"/>
    <n v="6341.54"/>
    <n v="1790.01"/>
    <s v="Credit Card"/>
    <x v="2"/>
    <n v="5"/>
    <x v="4"/>
  </r>
  <r>
    <s v="ORD100263"/>
    <d v="2025-12-04T00:00:00"/>
    <s v="Decathlon Chennai"/>
    <x v="3"/>
    <x v="2"/>
    <s v="CUST1247"/>
    <s v="Male"/>
    <x v="3"/>
    <x v="2"/>
    <x v="4"/>
    <s v="Football"/>
    <x v="3"/>
    <n v="4"/>
    <n v="1299.5"/>
    <n v="0.3"/>
    <n v="3638.6"/>
    <n v="2890.81"/>
    <n v="747.79"/>
    <s v="Debit Card"/>
    <x v="7"/>
    <n v="3"/>
    <x v="0"/>
  </r>
  <r>
    <s v="ORD100264"/>
    <d v="2025-05-20T00:00:00"/>
    <s v="Decathlon Ahmedabad"/>
    <x v="2"/>
    <x v="1"/>
    <s v="CUST1601"/>
    <s v="Female"/>
    <x v="3"/>
    <x v="1"/>
    <x v="2"/>
    <s v="Swimsuit"/>
    <x v="0"/>
    <n v="4"/>
    <n v="1470.69"/>
    <n v="0"/>
    <n v="5882.76"/>
    <n v="3541.29"/>
    <n v="2341.4699999999998"/>
    <s v="Debit Card"/>
    <x v="8"/>
    <n v="5"/>
    <x v="10"/>
  </r>
  <r>
    <s v="ORD100265"/>
    <d v="2025-01-17T00:00:00"/>
    <s v="Decathlon Jaipur"/>
    <x v="0"/>
    <x v="0"/>
    <s v="CUST1175"/>
    <s v="Female"/>
    <x v="3"/>
    <x v="0"/>
    <x v="2"/>
    <s v="Swimming Goggles"/>
    <x v="7"/>
    <n v="5"/>
    <n v="858.63"/>
    <n v="0.3"/>
    <n v="3005.2"/>
    <n v="2223.3200000000002"/>
    <n v="781.88"/>
    <s v="Cash"/>
    <x v="5"/>
    <n v="5"/>
    <x v="4"/>
  </r>
  <r>
    <s v="ORD100266"/>
    <d v="2025-02-04T00:00:00"/>
    <s v="Decathlon Mumbai"/>
    <x v="6"/>
    <x v="1"/>
    <s v="CUST1443"/>
    <s v="Male"/>
    <x v="2"/>
    <x v="2"/>
    <x v="3"/>
    <s v="Mountain Bike"/>
    <x v="2"/>
    <n v="5"/>
    <n v="25726.57"/>
    <n v="0.15"/>
    <n v="109337.92"/>
    <n v="87264.89"/>
    <n v="22073.03"/>
    <s v="Debit Card"/>
    <x v="6"/>
    <n v="5"/>
    <x v="6"/>
  </r>
  <r>
    <s v="ORD100267"/>
    <d v="2025-09-08T00:00:00"/>
    <s v="Decathlon Gurugram"/>
    <x v="8"/>
    <x v="0"/>
    <s v="CUST1100"/>
    <s v="Female"/>
    <x v="3"/>
    <x v="1"/>
    <x v="0"/>
    <s v="Running Shoes"/>
    <x v="1"/>
    <n v="2"/>
    <n v="3924.88"/>
    <n v="0.2"/>
    <n v="6279.81"/>
    <n v="4424.76"/>
    <n v="1855.05"/>
    <s v="UPI"/>
    <x v="1"/>
    <n v="3"/>
    <x v="7"/>
  </r>
  <r>
    <s v="ORD100268"/>
    <d v="2025-08-23T00:00:00"/>
    <s v="Decathlon Hyderabad"/>
    <x v="7"/>
    <x v="2"/>
    <s v="CUST1762"/>
    <s v="Female"/>
    <x v="1"/>
    <x v="1"/>
    <x v="1"/>
    <s v="Yoga Block"/>
    <x v="2"/>
    <n v="1"/>
    <n v="615.51"/>
    <n v="0"/>
    <n v="615.51"/>
    <n v="260.74"/>
    <n v="354.77"/>
    <s v="UPI"/>
    <x v="0"/>
    <n v="5"/>
    <x v="3"/>
  </r>
  <r>
    <s v="ORD100269"/>
    <d v="2025-11-05T00:00:00"/>
    <s v="Decathlon Pune"/>
    <x v="1"/>
    <x v="1"/>
    <s v="CUST1882"/>
    <s v="Male"/>
    <x v="3"/>
    <x v="1"/>
    <x v="4"/>
    <s v="Football Boots"/>
    <x v="7"/>
    <n v="2"/>
    <n v="3398.51"/>
    <n v="0.05"/>
    <n v="6457.17"/>
    <n v="4339.1000000000004"/>
    <n v="2118.0700000000002"/>
    <s v="Cash"/>
    <x v="1"/>
    <n v="3"/>
    <x v="2"/>
  </r>
  <r>
    <s v="ORD100270"/>
    <d v="2025-10-17T00:00:00"/>
    <s v="Decathlon Noida"/>
    <x v="5"/>
    <x v="0"/>
    <s v="CUST1105"/>
    <s v="Male"/>
    <x v="3"/>
    <x v="2"/>
    <x v="5"/>
    <s v="Water Bottle"/>
    <x v="5"/>
    <n v="2"/>
    <n v="679.78"/>
    <n v="0.2"/>
    <n v="1087.6500000000001"/>
    <n v="489.94"/>
    <n v="597.71"/>
    <s v="Cash"/>
    <x v="7"/>
    <n v="5"/>
    <x v="9"/>
  </r>
  <r>
    <s v="ORD100271"/>
    <d v="2025-12-01T00:00:00"/>
    <s v="Decathlon Noida"/>
    <x v="5"/>
    <x v="0"/>
    <s v="CUST1797"/>
    <s v="Male"/>
    <x v="1"/>
    <x v="1"/>
    <x v="2"/>
    <s v="Swimming Goggles"/>
    <x v="7"/>
    <n v="4"/>
    <n v="936.44"/>
    <n v="0.3"/>
    <n v="2622.03"/>
    <n v="1755.9"/>
    <n v="866.13"/>
    <s v="Debit Card"/>
    <x v="5"/>
    <n v="3"/>
    <x v="0"/>
  </r>
  <r>
    <s v="ORD100272"/>
    <d v="2025-09-30T00:00:00"/>
    <s v="Decathlon Bengaluru"/>
    <x v="4"/>
    <x v="2"/>
    <s v="CUST1089"/>
    <s v="Male"/>
    <x v="3"/>
    <x v="2"/>
    <x v="3"/>
    <s v="Helmet"/>
    <x v="7"/>
    <n v="1"/>
    <n v="2061.9899999999998"/>
    <n v="0.1"/>
    <n v="1855.79"/>
    <n v="1070.3900000000001"/>
    <n v="785.4"/>
    <s v="Credit Card"/>
    <x v="5"/>
    <n v="5"/>
    <x v="7"/>
  </r>
  <r>
    <s v="ORD100273"/>
    <d v="2025-10-29T00:00:00"/>
    <s v="Decathlon Delhi"/>
    <x v="9"/>
    <x v="0"/>
    <s v="CUST1276"/>
    <s v="Male"/>
    <x v="1"/>
    <x v="2"/>
    <x v="5"/>
    <s v="Trekking Shoes"/>
    <x v="1"/>
    <n v="5"/>
    <n v="5201.7700000000004"/>
    <n v="0"/>
    <n v="26008.85"/>
    <n v="16233.54"/>
    <n v="9775.31"/>
    <s v="Cash"/>
    <x v="4"/>
    <n v="5"/>
    <x v="9"/>
  </r>
  <r>
    <s v="ORD100274"/>
    <d v="2025-12-26T00:00:00"/>
    <s v="Decathlon Jaipur"/>
    <x v="0"/>
    <x v="0"/>
    <s v="CUST1674"/>
    <s v="Female"/>
    <x v="3"/>
    <x v="1"/>
    <x v="4"/>
    <s v="Football"/>
    <x v="7"/>
    <n v="4"/>
    <n v="1346.97"/>
    <n v="0.25"/>
    <n v="4040.91"/>
    <n v="2728.49"/>
    <n v="1312.42"/>
    <s v="Cash"/>
    <x v="1"/>
    <n v="5"/>
    <x v="0"/>
  </r>
  <r>
    <s v="ORD100275"/>
    <d v="2025-07-28T00:00:00"/>
    <s v="Decathlon Pune"/>
    <x v="1"/>
    <x v="1"/>
    <s v="CUST1426"/>
    <s v="Male"/>
    <x v="2"/>
    <x v="0"/>
    <x v="3"/>
    <s v="Cycling Gloves"/>
    <x v="3"/>
    <n v="5"/>
    <n v="828.41"/>
    <n v="0.05"/>
    <n v="3934.95"/>
    <n v="1664.23"/>
    <n v="2270.7199999999998"/>
    <s v="Cash"/>
    <x v="5"/>
    <n v="3"/>
    <x v="8"/>
  </r>
  <r>
    <s v="ORD100276"/>
    <d v="2025-11-07T00:00:00"/>
    <s v="Decathlon Hyderabad"/>
    <x v="7"/>
    <x v="2"/>
    <s v="CUST1586"/>
    <s v="Female"/>
    <x v="3"/>
    <x v="0"/>
    <x v="3"/>
    <s v="Cycling Gloves"/>
    <x v="1"/>
    <n v="5"/>
    <n v="831.38"/>
    <n v="0.2"/>
    <n v="3325.52"/>
    <n v="1737.89"/>
    <n v="1587.63"/>
    <s v="Credit Card"/>
    <x v="2"/>
    <n v="3"/>
    <x v="2"/>
  </r>
  <r>
    <s v="ORD100277"/>
    <d v="2025-10-16T00:00:00"/>
    <s v="Decathlon Gurugram"/>
    <x v="8"/>
    <x v="0"/>
    <s v="CUST1901"/>
    <s v="Female"/>
    <x v="1"/>
    <x v="0"/>
    <x v="0"/>
    <s v="Fitness Band"/>
    <x v="4"/>
    <n v="3"/>
    <n v="2561.8000000000002"/>
    <n v="0.15"/>
    <n v="6532.59"/>
    <n v="4594.76"/>
    <n v="1937.83"/>
    <s v="Credit Card"/>
    <x v="7"/>
    <n v="3"/>
    <x v="9"/>
  </r>
  <r>
    <s v="ORD100278"/>
    <d v="2025-07-23T00:00:00"/>
    <s v="Decathlon Mumbai"/>
    <x v="6"/>
    <x v="1"/>
    <s v="CUST1544"/>
    <s v="Male"/>
    <x v="0"/>
    <x v="2"/>
    <x v="1"/>
    <s v="Yoga Mat"/>
    <x v="3"/>
    <n v="4"/>
    <n v="1551.44"/>
    <n v="0.3"/>
    <n v="4344.03"/>
    <n v="2915.37"/>
    <n v="1428.66"/>
    <s v="Net Banking"/>
    <x v="6"/>
    <n v="4"/>
    <x v="8"/>
  </r>
  <r>
    <s v="ORD100279"/>
    <d v="2025-01-30T00:00:00"/>
    <s v="Decathlon Pune"/>
    <x v="1"/>
    <x v="1"/>
    <s v="CUST1817"/>
    <s v="Female"/>
    <x v="2"/>
    <x v="2"/>
    <x v="0"/>
    <s v="Fitness Band"/>
    <x v="5"/>
    <n v="1"/>
    <n v="2456.31"/>
    <n v="0.05"/>
    <n v="2333.4899999999998"/>
    <n v="1487.11"/>
    <n v="846.38"/>
    <s v="Credit Card"/>
    <x v="6"/>
    <n v="5"/>
    <x v="4"/>
  </r>
  <r>
    <s v="ORD100280"/>
    <d v="2025-08-25T00:00:00"/>
    <s v="Decathlon Jaipur"/>
    <x v="0"/>
    <x v="0"/>
    <s v="CUST1254"/>
    <s v="Male"/>
    <x v="3"/>
    <x v="1"/>
    <x v="2"/>
    <s v="Swimsuit"/>
    <x v="1"/>
    <n v="2"/>
    <n v="1430.97"/>
    <n v="0.15"/>
    <n v="2432.65"/>
    <n v="1736.22"/>
    <n v="696.43"/>
    <s v="UPI"/>
    <x v="9"/>
    <n v="3"/>
    <x v="3"/>
  </r>
  <r>
    <s v="ORD100281"/>
    <d v="2025-03-09T00:00:00"/>
    <s v="Decathlon Gurugram"/>
    <x v="8"/>
    <x v="0"/>
    <s v="CUST1368"/>
    <s v="Female"/>
    <x v="0"/>
    <x v="0"/>
    <x v="0"/>
    <s v="Running Shoes"/>
    <x v="5"/>
    <n v="2"/>
    <n v="3849.44"/>
    <n v="0"/>
    <n v="7698.88"/>
    <n v="4591.8500000000004"/>
    <n v="3107.03"/>
    <s v="Credit Card"/>
    <x v="1"/>
    <n v="4"/>
    <x v="1"/>
  </r>
  <r>
    <s v="ORD100282"/>
    <d v="2025-06-19T00:00:00"/>
    <s v="Decathlon Ahmedabad"/>
    <x v="2"/>
    <x v="1"/>
    <s v="CUST1229"/>
    <s v="Male"/>
    <x v="1"/>
    <x v="1"/>
    <x v="2"/>
    <s v="Swimming Goggles"/>
    <x v="7"/>
    <n v="2"/>
    <n v="925.73"/>
    <n v="0.05"/>
    <n v="1758.89"/>
    <n v="889.2"/>
    <n v="869.69"/>
    <s v="Credit Card"/>
    <x v="1"/>
    <n v="3"/>
    <x v="11"/>
  </r>
  <r>
    <s v="ORD100283"/>
    <d v="2025-11-14T00:00:00"/>
    <s v="Decathlon Gurugram"/>
    <x v="8"/>
    <x v="0"/>
    <s v="CUST1663"/>
    <s v="Male"/>
    <x v="0"/>
    <x v="2"/>
    <x v="0"/>
    <s v="Running Shoes"/>
    <x v="5"/>
    <n v="2"/>
    <n v="4135.46"/>
    <n v="0.25"/>
    <n v="6203.19"/>
    <n v="4381.8599999999997"/>
    <n v="1821.33"/>
    <s v="Cash"/>
    <x v="3"/>
    <n v="4"/>
    <x v="2"/>
  </r>
  <r>
    <s v="ORD100284"/>
    <d v="2025-05-28T00:00:00"/>
    <s v="Decathlon Pune"/>
    <x v="1"/>
    <x v="1"/>
    <s v="CUST1541"/>
    <s v="Male"/>
    <x v="3"/>
    <x v="2"/>
    <x v="2"/>
    <s v="Swimming Goggles"/>
    <x v="3"/>
    <n v="4"/>
    <n v="930.36"/>
    <n v="0"/>
    <n v="3721.44"/>
    <n v="1788.03"/>
    <n v="1933.41"/>
    <s v="UPI"/>
    <x v="7"/>
    <n v="5"/>
    <x v="10"/>
  </r>
  <r>
    <s v="ORD100285"/>
    <d v="2025-07-04T00:00:00"/>
    <s v="Decathlon Jaipur"/>
    <x v="0"/>
    <x v="0"/>
    <s v="CUST1605"/>
    <s v="Male"/>
    <x v="0"/>
    <x v="1"/>
    <x v="4"/>
    <s v="Football Boots"/>
    <x v="5"/>
    <n v="4"/>
    <n v="3665.65"/>
    <n v="0.25"/>
    <n v="10996.95"/>
    <n v="8606.09"/>
    <n v="2390.86"/>
    <s v="Debit Card"/>
    <x v="1"/>
    <n v="5"/>
    <x v="8"/>
  </r>
  <r>
    <s v="ORD100286"/>
    <d v="2025-12-18T00:00:00"/>
    <s v="Decathlon Noida"/>
    <x v="5"/>
    <x v="0"/>
    <s v="CUST1972"/>
    <s v="Female"/>
    <x v="0"/>
    <x v="1"/>
    <x v="0"/>
    <s v="Running T-Shirt"/>
    <x v="1"/>
    <n v="2"/>
    <n v="990.55"/>
    <n v="0.25"/>
    <n v="1485.82"/>
    <n v="863.95"/>
    <n v="621.87"/>
    <s v="Net Banking"/>
    <x v="6"/>
    <n v="4"/>
    <x v="0"/>
  </r>
  <r>
    <s v="ORD100287"/>
    <d v="2025-07-07T00:00:00"/>
    <s v="Decathlon Jaipur"/>
    <x v="0"/>
    <x v="0"/>
    <s v="CUST1854"/>
    <s v="Female"/>
    <x v="0"/>
    <x v="2"/>
    <x v="5"/>
    <s v="Water Bottle"/>
    <x v="0"/>
    <n v="3"/>
    <n v="687.3"/>
    <n v="0.2"/>
    <n v="1649.52"/>
    <n v="729.05"/>
    <n v="920.47"/>
    <s v="Credit Card"/>
    <x v="7"/>
    <n v="3"/>
    <x v="8"/>
  </r>
  <r>
    <s v="ORD100288"/>
    <d v="2025-09-15T00:00:00"/>
    <s v="Decathlon Noida"/>
    <x v="5"/>
    <x v="0"/>
    <s v="CUST1040"/>
    <s v="Male"/>
    <x v="2"/>
    <x v="1"/>
    <x v="4"/>
    <s v="Football Boots"/>
    <x v="2"/>
    <n v="3"/>
    <n v="3383.78"/>
    <n v="0.1"/>
    <n v="9136.2099999999991"/>
    <n v="6052.56"/>
    <n v="3083.65"/>
    <s v="UPI"/>
    <x v="8"/>
    <n v="4"/>
    <x v="7"/>
  </r>
  <r>
    <s v="ORD100289"/>
    <d v="2025-06-20T00:00:00"/>
    <s v="Decathlon Noida"/>
    <x v="5"/>
    <x v="0"/>
    <s v="CUST1993"/>
    <s v="Male"/>
    <x v="1"/>
    <x v="0"/>
    <x v="3"/>
    <s v="Mountain Bike"/>
    <x v="6"/>
    <n v="4"/>
    <n v="24859.13"/>
    <n v="0.1"/>
    <n v="89492.87"/>
    <n v="68521.789999999994"/>
    <n v="20971.080000000002"/>
    <s v="Credit Card"/>
    <x v="6"/>
    <n v="5"/>
    <x v="11"/>
  </r>
  <r>
    <s v="ORD100290"/>
    <d v="2025-11-28T00:00:00"/>
    <s v="Decathlon Pune"/>
    <x v="1"/>
    <x v="1"/>
    <s v="CUST1259"/>
    <s v="Male"/>
    <x v="3"/>
    <x v="2"/>
    <x v="2"/>
    <s v="Swim Cap"/>
    <x v="2"/>
    <n v="2"/>
    <n v="511.78"/>
    <n v="0.05"/>
    <n v="972.38"/>
    <n v="425.94"/>
    <n v="546.44000000000005"/>
    <s v="Cash"/>
    <x v="7"/>
    <n v="3"/>
    <x v="2"/>
  </r>
  <r>
    <s v="ORD100291"/>
    <d v="2025-04-16T00:00:00"/>
    <s v="Decathlon Hyderabad"/>
    <x v="7"/>
    <x v="2"/>
    <s v="CUST1796"/>
    <s v="Female"/>
    <x v="1"/>
    <x v="2"/>
    <x v="0"/>
    <s v="Fitness Band"/>
    <x v="7"/>
    <n v="2"/>
    <n v="2425.38"/>
    <n v="0.2"/>
    <n v="3880.61"/>
    <n v="3042.35"/>
    <n v="838.26"/>
    <s v="Net Banking"/>
    <x v="2"/>
    <n v="3"/>
    <x v="5"/>
  </r>
  <r>
    <s v="ORD100292"/>
    <d v="2025-11-22T00:00:00"/>
    <s v="Decathlon Bengaluru"/>
    <x v="4"/>
    <x v="2"/>
    <s v="CUST1284"/>
    <s v="Male"/>
    <x v="3"/>
    <x v="0"/>
    <x v="3"/>
    <s v="Mountain Bike"/>
    <x v="7"/>
    <n v="3"/>
    <n v="25164.52"/>
    <n v="0.1"/>
    <n v="67944.2"/>
    <n v="55480.41"/>
    <n v="12463.79"/>
    <s v="UPI"/>
    <x v="2"/>
    <n v="5"/>
    <x v="2"/>
  </r>
  <r>
    <s v="ORD100293"/>
    <d v="2025-01-03T00:00:00"/>
    <s v="Decathlon Noida"/>
    <x v="5"/>
    <x v="0"/>
    <s v="CUST1140"/>
    <s v="Male"/>
    <x v="2"/>
    <x v="1"/>
    <x v="5"/>
    <s v="Trekking Shoes"/>
    <x v="5"/>
    <n v="1"/>
    <n v="5225.4799999999996"/>
    <n v="0.15"/>
    <n v="4441.66"/>
    <n v="3281.12"/>
    <n v="1160.54"/>
    <s v="Net Banking"/>
    <x v="0"/>
    <n v="4"/>
    <x v="4"/>
  </r>
  <r>
    <s v="ORD100294"/>
    <d v="2025-05-10T00:00:00"/>
    <s v="Decathlon Chennai"/>
    <x v="3"/>
    <x v="2"/>
    <s v="CUST1079"/>
    <s v="Female"/>
    <x v="0"/>
    <x v="0"/>
    <x v="0"/>
    <s v="Fitness Band"/>
    <x v="2"/>
    <n v="5"/>
    <n v="2405.1799999999998"/>
    <n v="0.05"/>
    <n v="11424.6"/>
    <n v="7249.16"/>
    <n v="4175.4399999999996"/>
    <s v="Net Banking"/>
    <x v="9"/>
    <n v="5"/>
    <x v="10"/>
  </r>
  <r>
    <s v="ORD100295"/>
    <d v="2025-06-16T00:00:00"/>
    <s v="Decathlon Noida"/>
    <x v="5"/>
    <x v="0"/>
    <s v="CUST1655"/>
    <s v="Male"/>
    <x v="2"/>
    <x v="2"/>
    <x v="1"/>
    <s v="Yoga Mat"/>
    <x v="1"/>
    <n v="5"/>
    <n v="1491.29"/>
    <n v="0.1"/>
    <n v="6710.81"/>
    <n v="3449.32"/>
    <n v="3261.49"/>
    <s v="Net Banking"/>
    <x v="6"/>
    <n v="3"/>
    <x v="11"/>
  </r>
  <r>
    <s v="ORD100296"/>
    <d v="2025-05-29T00:00:00"/>
    <s v="Decathlon Ahmedabad"/>
    <x v="2"/>
    <x v="1"/>
    <s v="CUST1134"/>
    <s v="Male"/>
    <x v="0"/>
    <x v="1"/>
    <x v="5"/>
    <s v="Trekking Shoes"/>
    <x v="3"/>
    <n v="1"/>
    <n v="5131.58"/>
    <n v="0.05"/>
    <n v="4875"/>
    <n v="3229.78"/>
    <n v="1645.22"/>
    <s v="Net Banking"/>
    <x v="5"/>
    <n v="5"/>
    <x v="10"/>
  </r>
  <r>
    <s v="ORD100297"/>
    <d v="2025-08-08T00:00:00"/>
    <s v="Decathlon Mumbai"/>
    <x v="6"/>
    <x v="1"/>
    <s v="CUST1835"/>
    <s v="Female"/>
    <x v="2"/>
    <x v="0"/>
    <x v="1"/>
    <s v="Yoga Mat"/>
    <x v="1"/>
    <n v="3"/>
    <n v="1519.34"/>
    <n v="0.3"/>
    <n v="3190.61"/>
    <n v="2075.7399999999998"/>
    <n v="1114.8699999999999"/>
    <s v="Net Banking"/>
    <x v="2"/>
    <n v="5"/>
    <x v="3"/>
  </r>
  <r>
    <s v="ORD100298"/>
    <d v="2025-05-21T00:00:00"/>
    <s v="Decathlon Ahmedabad"/>
    <x v="2"/>
    <x v="1"/>
    <s v="CUST1253"/>
    <s v="Male"/>
    <x v="0"/>
    <x v="2"/>
    <x v="4"/>
    <s v="Shin Guards"/>
    <x v="0"/>
    <n v="2"/>
    <n v="996.78"/>
    <n v="0"/>
    <n v="1993.56"/>
    <n v="1026.74"/>
    <n v="966.82"/>
    <s v="UPI"/>
    <x v="8"/>
    <n v="5"/>
    <x v="10"/>
  </r>
  <r>
    <s v="ORD100299"/>
    <d v="2025-12-18T00:00:00"/>
    <s v="Decathlon Jaipur"/>
    <x v="0"/>
    <x v="0"/>
    <s v="CUST1456"/>
    <s v="Female"/>
    <x v="3"/>
    <x v="0"/>
    <x v="2"/>
    <s v="Swimming Goggles"/>
    <x v="1"/>
    <n v="2"/>
    <n v="893.11"/>
    <n v="0.1"/>
    <n v="1607.6"/>
    <n v="865.09"/>
    <n v="742.51"/>
    <s v="Cash"/>
    <x v="6"/>
    <n v="5"/>
    <x v="0"/>
  </r>
  <r>
    <s v="ORD100300"/>
    <d v="2025-03-28T00:00:00"/>
    <s v="Decathlon Ahmedabad"/>
    <x v="2"/>
    <x v="1"/>
    <s v="CUST1920"/>
    <s v="Female"/>
    <x v="2"/>
    <x v="2"/>
    <x v="4"/>
    <s v="Football"/>
    <x v="4"/>
    <n v="2"/>
    <n v="1291.92"/>
    <n v="0.1"/>
    <n v="2325.46"/>
    <n v="1435.73"/>
    <n v="889.73"/>
    <s v="Debit Card"/>
    <x v="2"/>
    <n v="5"/>
    <x v="1"/>
  </r>
  <r>
    <s v="ORD100301"/>
    <d v="2025-12-14T00:00:00"/>
    <s v="Decathlon Chennai"/>
    <x v="3"/>
    <x v="2"/>
    <s v="CUST1483"/>
    <s v="Male"/>
    <x v="3"/>
    <x v="0"/>
    <x v="2"/>
    <s v="Swimming Goggles"/>
    <x v="6"/>
    <n v="2"/>
    <n v="920.72"/>
    <n v="0"/>
    <n v="1841.44"/>
    <n v="938.23"/>
    <n v="903.21"/>
    <s v="Credit Card"/>
    <x v="3"/>
    <n v="4"/>
    <x v="0"/>
  </r>
  <r>
    <s v="ORD100302"/>
    <d v="2025-05-31T00:00:00"/>
    <s v="Decathlon Gurugram"/>
    <x v="8"/>
    <x v="0"/>
    <s v="CUST1258"/>
    <s v="Female"/>
    <x v="3"/>
    <x v="1"/>
    <x v="0"/>
    <s v="Fitness Band"/>
    <x v="0"/>
    <n v="2"/>
    <n v="2610.5"/>
    <n v="0.05"/>
    <n v="4959.95"/>
    <n v="3078.02"/>
    <n v="1881.93"/>
    <s v="UPI"/>
    <x v="7"/>
    <n v="4"/>
    <x v="10"/>
  </r>
  <r>
    <s v="ORD100303"/>
    <d v="2025-09-19T00:00:00"/>
    <s v="Decathlon Delhi"/>
    <x v="9"/>
    <x v="0"/>
    <s v="CUST1965"/>
    <s v="Male"/>
    <x v="2"/>
    <x v="0"/>
    <x v="3"/>
    <s v="Cycling Gloves"/>
    <x v="5"/>
    <n v="4"/>
    <n v="803.53"/>
    <n v="0.3"/>
    <n v="2249.88"/>
    <n v="1330.05"/>
    <n v="919.83"/>
    <s v="Credit Card"/>
    <x v="1"/>
    <n v="5"/>
    <x v="7"/>
  </r>
  <r>
    <s v="ORD100304"/>
    <d v="2025-06-09T00:00:00"/>
    <s v="Decathlon Pune"/>
    <x v="1"/>
    <x v="1"/>
    <s v="CUST1068"/>
    <s v="Male"/>
    <x v="1"/>
    <x v="1"/>
    <x v="3"/>
    <s v="Mountain Bike"/>
    <x v="6"/>
    <n v="4"/>
    <n v="26045.88"/>
    <n v="0.2"/>
    <n v="83346.820000000007"/>
    <n v="74694.149999999994"/>
    <n v="8652.67"/>
    <s v="Cash"/>
    <x v="7"/>
    <n v="3"/>
    <x v="11"/>
  </r>
  <r>
    <s v="ORD100305"/>
    <d v="2025-09-27T00:00:00"/>
    <s v="Decathlon Noida"/>
    <x v="5"/>
    <x v="0"/>
    <s v="CUST1939"/>
    <s v="Male"/>
    <x v="1"/>
    <x v="0"/>
    <x v="1"/>
    <s v="Yoga Block"/>
    <x v="5"/>
    <n v="4"/>
    <n v="572.71"/>
    <n v="0.2"/>
    <n v="1832.67"/>
    <n v="1042.8499999999999"/>
    <n v="789.82"/>
    <s v="Credit Card"/>
    <x v="1"/>
    <n v="5"/>
    <x v="7"/>
  </r>
  <r>
    <s v="ORD100306"/>
    <d v="2025-07-30T00:00:00"/>
    <s v="Decathlon Chennai"/>
    <x v="3"/>
    <x v="2"/>
    <s v="CUST1769"/>
    <s v="Male"/>
    <x v="2"/>
    <x v="2"/>
    <x v="1"/>
    <s v="Yoga Block"/>
    <x v="1"/>
    <n v="1"/>
    <n v="625.32000000000005"/>
    <n v="0.3"/>
    <n v="437.72"/>
    <n v="257.83"/>
    <n v="179.89"/>
    <s v="Credit Card"/>
    <x v="6"/>
    <n v="3"/>
    <x v="8"/>
  </r>
  <r>
    <s v="ORD100307"/>
    <d v="2025-12-04T00:00:00"/>
    <s v="Decathlon Delhi"/>
    <x v="9"/>
    <x v="0"/>
    <s v="CUST1659"/>
    <s v="Female"/>
    <x v="1"/>
    <x v="2"/>
    <x v="5"/>
    <s v="Water Bottle"/>
    <x v="1"/>
    <n v="5"/>
    <n v="693.92"/>
    <n v="0.2"/>
    <n v="2775.68"/>
    <n v="1246.56"/>
    <n v="1529.12"/>
    <s v="Credit Card"/>
    <x v="4"/>
    <n v="4"/>
    <x v="0"/>
  </r>
  <r>
    <s v="ORD100308"/>
    <d v="2025-06-01T00:00:00"/>
    <s v="Decathlon Bengaluru"/>
    <x v="4"/>
    <x v="2"/>
    <s v="CUST1409"/>
    <s v="Female"/>
    <x v="0"/>
    <x v="0"/>
    <x v="1"/>
    <s v="Yoga Block"/>
    <x v="4"/>
    <n v="4"/>
    <n v="570"/>
    <n v="0"/>
    <n v="2280"/>
    <n v="1076.6099999999999"/>
    <n v="1203.3900000000001"/>
    <s v="Net Banking"/>
    <x v="8"/>
    <n v="5"/>
    <x v="11"/>
  </r>
  <r>
    <s v="ORD100309"/>
    <d v="2025-10-01T00:00:00"/>
    <s v="Decathlon Ahmedabad"/>
    <x v="2"/>
    <x v="1"/>
    <s v="CUST1080"/>
    <s v="Male"/>
    <x v="1"/>
    <x v="1"/>
    <x v="3"/>
    <s v="Helmet"/>
    <x v="3"/>
    <n v="1"/>
    <n v="1930.99"/>
    <n v="0"/>
    <n v="1930.99"/>
    <n v="1135.05"/>
    <n v="795.94"/>
    <s v="Net Banking"/>
    <x v="1"/>
    <n v="3"/>
    <x v="9"/>
  </r>
  <r>
    <s v="ORD100310"/>
    <d v="2025-12-24T00:00:00"/>
    <s v="Decathlon Ahmedabad"/>
    <x v="2"/>
    <x v="1"/>
    <s v="CUST1586"/>
    <s v="Male"/>
    <x v="2"/>
    <x v="0"/>
    <x v="0"/>
    <s v="Running Shoes"/>
    <x v="3"/>
    <n v="1"/>
    <n v="3907.4"/>
    <n v="0.1"/>
    <n v="3516.66"/>
    <n v="2122.33"/>
    <n v="1394.33"/>
    <s v="Cash"/>
    <x v="5"/>
    <n v="3"/>
    <x v="0"/>
  </r>
  <r>
    <s v="ORD100311"/>
    <d v="2025-05-05T00:00:00"/>
    <s v="Decathlon Bengaluru"/>
    <x v="4"/>
    <x v="2"/>
    <s v="CUST1045"/>
    <s v="Female"/>
    <x v="0"/>
    <x v="0"/>
    <x v="3"/>
    <s v="Mountain Bike"/>
    <x v="2"/>
    <n v="1"/>
    <n v="25513.97"/>
    <n v="0.05"/>
    <n v="24238.27"/>
    <n v="18260.46"/>
    <n v="5977.81"/>
    <s v="Net Banking"/>
    <x v="7"/>
    <n v="3"/>
    <x v="10"/>
  </r>
  <r>
    <s v="ORD100312"/>
    <d v="2025-06-20T00:00:00"/>
    <s v="Decathlon Chennai"/>
    <x v="3"/>
    <x v="2"/>
    <s v="CUST1698"/>
    <s v="Male"/>
    <x v="2"/>
    <x v="0"/>
    <x v="1"/>
    <s v="Yoga Block"/>
    <x v="3"/>
    <n v="3"/>
    <n v="592.44000000000005"/>
    <n v="0.2"/>
    <n v="1421.86"/>
    <n v="764.97"/>
    <n v="656.89"/>
    <s v="Credit Card"/>
    <x v="0"/>
    <n v="4"/>
    <x v="11"/>
  </r>
  <r>
    <s v="ORD100313"/>
    <d v="2025-04-19T00:00:00"/>
    <s v="Decathlon Gurugram"/>
    <x v="8"/>
    <x v="0"/>
    <s v="CUST1772"/>
    <s v="Female"/>
    <x v="0"/>
    <x v="2"/>
    <x v="2"/>
    <s v="Swim Cap"/>
    <x v="5"/>
    <n v="5"/>
    <n v="487.88"/>
    <n v="0.1"/>
    <n v="2195.46"/>
    <n v="1077.6099999999999"/>
    <n v="1117.8499999999999"/>
    <s v="Credit Card"/>
    <x v="1"/>
    <n v="5"/>
    <x v="5"/>
  </r>
  <r>
    <s v="ORD100314"/>
    <d v="2025-02-10T00:00:00"/>
    <s v="Decathlon Pune"/>
    <x v="1"/>
    <x v="1"/>
    <s v="CUST1381"/>
    <s v="Male"/>
    <x v="3"/>
    <x v="0"/>
    <x v="3"/>
    <s v="Mountain Bike"/>
    <x v="1"/>
    <n v="5"/>
    <n v="26100.04"/>
    <n v="0"/>
    <n v="130500.2"/>
    <n v="92519.72"/>
    <n v="37980.480000000003"/>
    <s v="Cash"/>
    <x v="9"/>
    <n v="5"/>
    <x v="6"/>
  </r>
  <r>
    <s v="ORD100315"/>
    <d v="2025-12-06T00:00:00"/>
    <s v="Decathlon Mumbai"/>
    <x v="6"/>
    <x v="1"/>
    <s v="CUST1102"/>
    <s v="Female"/>
    <x v="1"/>
    <x v="2"/>
    <x v="5"/>
    <s v="Backpack"/>
    <x v="5"/>
    <n v="5"/>
    <n v="3056.65"/>
    <n v="0.3"/>
    <n v="10698.27"/>
    <n v="8189.36"/>
    <n v="2508.91"/>
    <s v="Cash"/>
    <x v="7"/>
    <n v="5"/>
    <x v="0"/>
  </r>
  <r>
    <s v="ORD100316"/>
    <d v="2025-09-24T00:00:00"/>
    <s v="Decathlon Ahmedabad"/>
    <x v="2"/>
    <x v="1"/>
    <s v="CUST1167"/>
    <s v="Female"/>
    <x v="1"/>
    <x v="1"/>
    <x v="3"/>
    <s v="Cycling Gloves"/>
    <x v="4"/>
    <n v="4"/>
    <n v="824.06"/>
    <n v="0.2"/>
    <n v="2636.99"/>
    <n v="1335.2"/>
    <n v="1301.79"/>
    <s v="Net Banking"/>
    <x v="6"/>
    <n v="4"/>
    <x v="7"/>
  </r>
  <r>
    <s v="ORD100317"/>
    <d v="2025-05-18T00:00:00"/>
    <s v="Decathlon Noida"/>
    <x v="5"/>
    <x v="0"/>
    <s v="CUST1347"/>
    <s v="Male"/>
    <x v="0"/>
    <x v="1"/>
    <x v="0"/>
    <s v="Running T-Shirt"/>
    <x v="7"/>
    <n v="2"/>
    <n v="1032.3599999999999"/>
    <n v="0.3"/>
    <n v="1445.3"/>
    <n v="899.79"/>
    <n v="545.51"/>
    <s v="Credit Card"/>
    <x v="8"/>
    <n v="4"/>
    <x v="10"/>
  </r>
  <r>
    <s v="ORD100318"/>
    <d v="2025-03-31T00:00:00"/>
    <s v="Decathlon Jaipur"/>
    <x v="0"/>
    <x v="0"/>
    <s v="CUST1040"/>
    <s v="Female"/>
    <x v="3"/>
    <x v="0"/>
    <x v="3"/>
    <s v="Cycling Gloves"/>
    <x v="7"/>
    <n v="4"/>
    <n v="832.49"/>
    <n v="0.05"/>
    <n v="3163.46"/>
    <n v="1374.22"/>
    <n v="1789.24"/>
    <s v="Credit Card"/>
    <x v="9"/>
    <n v="4"/>
    <x v="1"/>
  </r>
  <r>
    <s v="ORD100319"/>
    <d v="2025-09-25T00:00:00"/>
    <s v="Decathlon Bengaluru"/>
    <x v="4"/>
    <x v="2"/>
    <s v="CUST1418"/>
    <s v="Female"/>
    <x v="0"/>
    <x v="2"/>
    <x v="3"/>
    <s v="Helmet"/>
    <x v="1"/>
    <n v="4"/>
    <n v="1959.04"/>
    <n v="0.2"/>
    <n v="6268.93"/>
    <n v="4280.3100000000004"/>
    <n v="1988.62"/>
    <s v="UPI"/>
    <x v="3"/>
    <n v="5"/>
    <x v="7"/>
  </r>
  <r>
    <s v="ORD100320"/>
    <d v="2025-09-24T00:00:00"/>
    <s v="Decathlon Delhi"/>
    <x v="9"/>
    <x v="0"/>
    <s v="CUST1986"/>
    <s v="Male"/>
    <x v="3"/>
    <x v="0"/>
    <x v="1"/>
    <s v="Yoga Mat"/>
    <x v="3"/>
    <n v="2"/>
    <n v="1544.21"/>
    <n v="0.2"/>
    <n v="2470.7399999999998"/>
    <n v="1437.65"/>
    <n v="1033.0899999999999"/>
    <s v="Debit Card"/>
    <x v="8"/>
    <n v="4"/>
    <x v="7"/>
  </r>
  <r>
    <s v="ORD100321"/>
    <d v="2025-06-28T00:00:00"/>
    <s v="Decathlon Delhi"/>
    <x v="9"/>
    <x v="0"/>
    <s v="CUST1811"/>
    <s v="Female"/>
    <x v="3"/>
    <x v="2"/>
    <x v="4"/>
    <s v="Shin Guards"/>
    <x v="1"/>
    <n v="1"/>
    <n v="998.35"/>
    <n v="0"/>
    <n v="998.35"/>
    <n v="497.47"/>
    <n v="500.88"/>
    <s v="Credit Card"/>
    <x v="3"/>
    <n v="3"/>
    <x v="11"/>
  </r>
  <r>
    <s v="ORD100322"/>
    <d v="2025-02-25T00:00:00"/>
    <s v="Decathlon Ahmedabad"/>
    <x v="2"/>
    <x v="1"/>
    <s v="CUST1331"/>
    <s v="Female"/>
    <x v="3"/>
    <x v="0"/>
    <x v="2"/>
    <s v="Swimsuit"/>
    <x v="7"/>
    <n v="4"/>
    <n v="1525.16"/>
    <n v="0.1"/>
    <n v="5490.58"/>
    <n v="3379.03"/>
    <n v="2111.5500000000002"/>
    <s v="Cash"/>
    <x v="7"/>
    <n v="5"/>
    <x v="6"/>
  </r>
  <r>
    <s v="ORD100323"/>
    <d v="2025-07-04T00:00:00"/>
    <s v="Decathlon Pune"/>
    <x v="1"/>
    <x v="1"/>
    <s v="CUST1894"/>
    <s v="Male"/>
    <x v="3"/>
    <x v="1"/>
    <x v="4"/>
    <s v="Football"/>
    <x v="4"/>
    <n v="4"/>
    <n v="1315.18"/>
    <n v="0.3"/>
    <n v="3682.5"/>
    <n v="2663.58"/>
    <n v="1018.92"/>
    <s v="Credit Card"/>
    <x v="2"/>
    <n v="4"/>
    <x v="8"/>
  </r>
  <r>
    <s v="ORD100324"/>
    <d v="2025-05-11T00:00:00"/>
    <s v="Decathlon Delhi"/>
    <x v="9"/>
    <x v="0"/>
    <s v="CUST1158"/>
    <s v="Female"/>
    <x v="1"/>
    <x v="1"/>
    <x v="2"/>
    <s v="Swim Cap"/>
    <x v="4"/>
    <n v="3"/>
    <n v="501.66"/>
    <n v="0.05"/>
    <n v="1429.73"/>
    <n v="671.61"/>
    <n v="758.12"/>
    <s v="UPI"/>
    <x v="3"/>
    <n v="3"/>
    <x v="10"/>
  </r>
  <r>
    <s v="ORD100325"/>
    <d v="2025-02-23T00:00:00"/>
    <s v="Decathlon Gurugram"/>
    <x v="8"/>
    <x v="0"/>
    <s v="CUST1385"/>
    <s v="Female"/>
    <x v="3"/>
    <x v="2"/>
    <x v="0"/>
    <s v="Running Shoes"/>
    <x v="0"/>
    <n v="2"/>
    <n v="4107.95"/>
    <n v="0.05"/>
    <n v="7805.1"/>
    <n v="4506.7"/>
    <n v="3298.4"/>
    <s v="UPI"/>
    <x v="9"/>
    <n v="4"/>
    <x v="6"/>
  </r>
  <r>
    <s v="ORD100326"/>
    <d v="2025-09-23T00:00:00"/>
    <s v="Decathlon Bengaluru"/>
    <x v="4"/>
    <x v="2"/>
    <s v="CUST1286"/>
    <s v="Male"/>
    <x v="0"/>
    <x v="1"/>
    <x v="0"/>
    <s v="Fitness Band"/>
    <x v="1"/>
    <n v="5"/>
    <n v="2382.6"/>
    <n v="0.05"/>
    <n v="11317.35"/>
    <n v="7514.17"/>
    <n v="3803.18"/>
    <s v="Cash"/>
    <x v="1"/>
    <n v="3"/>
    <x v="7"/>
  </r>
  <r>
    <s v="ORD100327"/>
    <d v="2025-10-25T00:00:00"/>
    <s v="Decathlon Delhi"/>
    <x v="9"/>
    <x v="0"/>
    <s v="CUST1493"/>
    <s v="Male"/>
    <x v="0"/>
    <x v="2"/>
    <x v="3"/>
    <s v="Helmet"/>
    <x v="5"/>
    <n v="5"/>
    <n v="2019.91"/>
    <n v="0"/>
    <n v="10099.549999999999"/>
    <n v="5367.98"/>
    <n v="4731.57"/>
    <s v="Credit Card"/>
    <x v="3"/>
    <n v="4"/>
    <x v="9"/>
  </r>
  <r>
    <s v="ORD100328"/>
    <d v="2025-04-11T00:00:00"/>
    <s v="Decathlon Hyderabad"/>
    <x v="7"/>
    <x v="2"/>
    <s v="CUST1704"/>
    <s v="Female"/>
    <x v="2"/>
    <x v="0"/>
    <x v="1"/>
    <s v="Resistance Band"/>
    <x v="4"/>
    <n v="4"/>
    <n v="934.07"/>
    <n v="0.05"/>
    <n v="3549.47"/>
    <n v="1608.93"/>
    <n v="1940.54"/>
    <s v="Credit Card"/>
    <x v="7"/>
    <n v="3"/>
    <x v="5"/>
  </r>
  <r>
    <s v="ORD100329"/>
    <d v="2025-12-09T00:00:00"/>
    <s v="Decathlon Noida"/>
    <x v="5"/>
    <x v="0"/>
    <s v="CUST1771"/>
    <s v="Male"/>
    <x v="0"/>
    <x v="0"/>
    <x v="0"/>
    <s v="Running Shoes"/>
    <x v="4"/>
    <n v="5"/>
    <n v="3956.4"/>
    <n v="0.2"/>
    <n v="15825.6"/>
    <n v="11316.56"/>
    <n v="4509.04"/>
    <s v="Cash"/>
    <x v="5"/>
    <n v="4"/>
    <x v="0"/>
  </r>
  <r>
    <s v="ORD100330"/>
    <d v="2025-07-03T00:00:00"/>
    <s v="Decathlon Noida"/>
    <x v="5"/>
    <x v="0"/>
    <s v="CUST1439"/>
    <s v="Male"/>
    <x v="1"/>
    <x v="2"/>
    <x v="5"/>
    <s v="Backpack"/>
    <x v="1"/>
    <n v="4"/>
    <n v="2852.52"/>
    <n v="0.2"/>
    <n v="9128.06"/>
    <n v="6615.52"/>
    <n v="2512.54"/>
    <s v="Debit Card"/>
    <x v="9"/>
    <n v="5"/>
    <x v="8"/>
  </r>
  <r>
    <s v="ORD100331"/>
    <d v="2025-05-27T00:00:00"/>
    <s v="Decathlon Gurugram"/>
    <x v="8"/>
    <x v="0"/>
    <s v="CUST1088"/>
    <s v="Female"/>
    <x v="2"/>
    <x v="0"/>
    <x v="5"/>
    <s v="Backpack"/>
    <x v="3"/>
    <n v="5"/>
    <n v="3038.54"/>
    <n v="0"/>
    <n v="15192.7"/>
    <n v="8149.57"/>
    <n v="7043.13"/>
    <s v="Debit Card"/>
    <x v="1"/>
    <n v="4"/>
    <x v="10"/>
  </r>
  <r>
    <s v="ORD100332"/>
    <d v="2025-12-22T00:00:00"/>
    <s v="Decathlon Mumbai"/>
    <x v="6"/>
    <x v="1"/>
    <s v="CUST1012"/>
    <s v="Female"/>
    <x v="2"/>
    <x v="2"/>
    <x v="0"/>
    <s v="Fitness Band"/>
    <x v="4"/>
    <n v="1"/>
    <n v="2435.13"/>
    <n v="0.25"/>
    <n v="1826.35"/>
    <n v="1503.12"/>
    <n v="323.23"/>
    <s v="Debit Card"/>
    <x v="8"/>
    <n v="4"/>
    <x v="0"/>
  </r>
  <r>
    <s v="ORD100333"/>
    <d v="2025-06-19T00:00:00"/>
    <s v="Decathlon Chennai"/>
    <x v="3"/>
    <x v="2"/>
    <s v="CUST1349"/>
    <s v="Male"/>
    <x v="3"/>
    <x v="0"/>
    <x v="4"/>
    <s v="Football"/>
    <x v="2"/>
    <n v="2"/>
    <n v="1358.09"/>
    <n v="0.05"/>
    <n v="2580.37"/>
    <n v="1373.17"/>
    <n v="1207.2"/>
    <s v="UPI"/>
    <x v="2"/>
    <n v="4"/>
    <x v="11"/>
  </r>
  <r>
    <s v="ORD100334"/>
    <d v="2025-06-09T00:00:00"/>
    <s v="Decathlon Noida"/>
    <x v="5"/>
    <x v="0"/>
    <s v="CUST1325"/>
    <s v="Male"/>
    <x v="2"/>
    <x v="0"/>
    <x v="5"/>
    <s v="Backpack"/>
    <x v="4"/>
    <n v="2"/>
    <n v="2927.59"/>
    <n v="0"/>
    <n v="5855.18"/>
    <n v="3549.04"/>
    <n v="2306.14"/>
    <s v="Cash"/>
    <x v="6"/>
    <n v="5"/>
    <x v="11"/>
  </r>
  <r>
    <s v="ORD100335"/>
    <d v="2025-09-27T00:00:00"/>
    <s v="Decathlon Delhi"/>
    <x v="9"/>
    <x v="0"/>
    <s v="CUST1760"/>
    <s v="Female"/>
    <x v="0"/>
    <x v="2"/>
    <x v="1"/>
    <s v="Resistance Band"/>
    <x v="7"/>
    <n v="4"/>
    <n v="922.49"/>
    <n v="0"/>
    <n v="3689.96"/>
    <n v="1663.3"/>
    <n v="2026.66"/>
    <s v="UPI"/>
    <x v="7"/>
    <n v="5"/>
    <x v="7"/>
  </r>
  <r>
    <s v="ORD100336"/>
    <d v="2025-09-09T00:00:00"/>
    <s v="Decathlon Noida"/>
    <x v="5"/>
    <x v="0"/>
    <s v="CUST1811"/>
    <s v="Male"/>
    <x v="3"/>
    <x v="0"/>
    <x v="5"/>
    <s v="Backpack"/>
    <x v="4"/>
    <n v="3"/>
    <n v="2918.1"/>
    <n v="0.3"/>
    <n v="6128.01"/>
    <n v="5086.59"/>
    <n v="1041.42"/>
    <s v="Credit Card"/>
    <x v="0"/>
    <n v="3"/>
    <x v="7"/>
  </r>
  <r>
    <s v="ORD100337"/>
    <d v="2025-12-19T00:00:00"/>
    <s v="Decathlon Chennai"/>
    <x v="3"/>
    <x v="2"/>
    <s v="CUST1147"/>
    <s v="Male"/>
    <x v="1"/>
    <x v="2"/>
    <x v="4"/>
    <s v="Football"/>
    <x v="6"/>
    <n v="4"/>
    <n v="1323.17"/>
    <n v="0.1"/>
    <n v="4763.41"/>
    <n v="2741.6"/>
    <n v="2021.81"/>
    <s v="Cash"/>
    <x v="9"/>
    <n v="4"/>
    <x v="0"/>
  </r>
  <r>
    <s v="ORD100338"/>
    <d v="2025-09-19T00:00:00"/>
    <s v="Decathlon Delhi"/>
    <x v="9"/>
    <x v="0"/>
    <s v="CUST1568"/>
    <s v="Male"/>
    <x v="1"/>
    <x v="1"/>
    <x v="0"/>
    <s v="Running Shoes"/>
    <x v="5"/>
    <n v="4"/>
    <n v="3852.01"/>
    <n v="0.25"/>
    <n v="11556.03"/>
    <n v="8747.43"/>
    <n v="2808.6"/>
    <s v="Net Banking"/>
    <x v="6"/>
    <n v="4"/>
    <x v="7"/>
  </r>
  <r>
    <s v="ORD100339"/>
    <d v="2025-03-04T00:00:00"/>
    <s v="Decathlon Noida"/>
    <x v="5"/>
    <x v="0"/>
    <s v="CUST1057"/>
    <s v="Female"/>
    <x v="3"/>
    <x v="2"/>
    <x v="0"/>
    <s v="Running T-Shirt"/>
    <x v="2"/>
    <n v="3"/>
    <n v="971.65"/>
    <n v="0.2"/>
    <n v="2331.96"/>
    <n v="1303.8599999999999"/>
    <n v="1028.0999999999999"/>
    <s v="Debit Card"/>
    <x v="9"/>
    <n v="4"/>
    <x v="1"/>
  </r>
  <r>
    <s v="ORD100340"/>
    <d v="2025-07-10T00:00:00"/>
    <s v="Decathlon Ahmedabad"/>
    <x v="2"/>
    <x v="1"/>
    <s v="CUST1815"/>
    <s v="Male"/>
    <x v="0"/>
    <x v="0"/>
    <x v="0"/>
    <s v="Running T-Shirt"/>
    <x v="5"/>
    <n v="5"/>
    <n v="1011.1"/>
    <n v="0"/>
    <n v="5055.5"/>
    <n v="2190.36"/>
    <n v="2865.14"/>
    <s v="Debit Card"/>
    <x v="5"/>
    <n v="3"/>
    <x v="8"/>
  </r>
  <r>
    <s v="ORD100341"/>
    <d v="2025-07-09T00:00:00"/>
    <s v="Decathlon Ahmedabad"/>
    <x v="2"/>
    <x v="1"/>
    <s v="CUST1450"/>
    <s v="Male"/>
    <x v="2"/>
    <x v="0"/>
    <x v="0"/>
    <s v="Running Shoes"/>
    <x v="5"/>
    <n v="1"/>
    <n v="3998.42"/>
    <n v="0.3"/>
    <n v="2798.89"/>
    <n v="2112.71"/>
    <n v="686.18"/>
    <s v="Credit Card"/>
    <x v="4"/>
    <n v="3"/>
    <x v="8"/>
  </r>
  <r>
    <s v="ORD100342"/>
    <d v="2025-01-13T00:00:00"/>
    <s v="Decathlon Ahmedabad"/>
    <x v="2"/>
    <x v="1"/>
    <s v="CUST1440"/>
    <s v="Female"/>
    <x v="3"/>
    <x v="1"/>
    <x v="4"/>
    <s v="Football"/>
    <x v="6"/>
    <n v="5"/>
    <n v="1265.05"/>
    <n v="0.3"/>
    <n v="4427.67"/>
    <n v="3626.47"/>
    <n v="801.2"/>
    <s v="Cash"/>
    <x v="1"/>
    <n v="5"/>
    <x v="4"/>
  </r>
  <r>
    <s v="ORD100343"/>
    <d v="2025-01-02T00:00:00"/>
    <s v="Decathlon Hyderabad"/>
    <x v="7"/>
    <x v="2"/>
    <s v="CUST1854"/>
    <s v="Male"/>
    <x v="2"/>
    <x v="2"/>
    <x v="2"/>
    <s v="Swimsuit"/>
    <x v="5"/>
    <n v="4"/>
    <n v="1503.32"/>
    <n v="0"/>
    <n v="6013.28"/>
    <n v="3340.56"/>
    <n v="2672.72"/>
    <s v="Debit Card"/>
    <x v="0"/>
    <n v="5"/>
    <x v="4"/>
  </r>
  <r>
    <s v="ORD100344"/>
    <d v="2025-04-08T00:00:00"/>
    <s v="Decathlon Ahmedabad"/>
    <x v="2"/>
    <x v="1"/>
    <s v="CUST1960"/>
    <s v="Male"/>
    <x v="3"/>
    <x v="1"/>
    <x v="4"/>
    <s v="Shin Guards"/>
    <x v="0"/>
    <n v="5"/>
    <n v="956.5"/>
    <n v="0.1"/>
    <n v="4304.25"/>
    <n v="2602.16"/>
    <n v="1702.09"/>
    <s v="UPI"/>
    <x v="8"/>
    <n v="3"/>
    <x v="5"/>
  </r>
  <r>
    <s v="ORD100345"/>
    <d v="2025-04-07T00:00:00"/>
    <s v="Decathlon Chennai"/>
    <x v="3"/>
    <x v="2"/>
    <s v="CUST1427"/>
    <s v="Male"/>
    <x v="1"/>
    <x v="0"/>
    <x v="4"/>
    <s v="Shin Guards"/>
    <x v="5"/>
    <n v="3"/>
    <n v="965.83"/>
    <n v="0.15"/>
    <n v="2462.87"/>
    <n v="1464.18"/>
    <n v="998.69"/>
    <s v="Credit Card"/>
    <x v="3"/>
    <n v="4"/>
    <x v="5"/>
  </r>
  <r>
    <s v="ORD100346"/>
    <d v="2025-03-22T00:00:00"/>
    <s v="Decathlon Jaipur"/>
    <x v="0"/>
    <x v="0"/>
    <s v="CUST1425"/>
    <s v="Male"/>
    <x v="3"/>
    <x v="2"/>
    <x v="3"/>
    <s v="Mountain Bike"/>
    <x v="1"/>
    <n v="4"/>
    <n v="25460.25"/>
    <n v="0.2"/>
    <n v="81472.800000000003"/>
    <n v="69086.710000000006"/>
    <n v="12386.09"/>
    <s v="Net Banking"/>
    <x v="3"/>
    <n v="3"/>
    <x v="1"/>
  </r>
  <r>
    <s v="ORD100347"/>
    <d v="2025-03-04T00:00:00"/>
    <s v="Decathlon Hyderabad"/>
    <x v="7"/>
    <x v="2"/>
    <s v="CUST1564"/>
    <s v="Female"/>
    <x v="3"/>
    <x v="1"/>
    <x v="2"/>
    <s v="Swim Cap"/>
    <x v="3"/>
    <n v="2"/>
    <n v="477.6"/>
    <n v="0"/>
    <n v="955.2"/>
    <n v="458.83"/>
    <n v="496.37"/>
    <s v="Debit Card"/>
    <x v="4"/>
    <n v="5"/>
    <x v="1"/>
  </r>
  <r>
    <s v="ORD100348"/>
    <d v="2025-09-06T00:00:00"/>
    <s v="Decathlon Ahmedabad"/>
    <x v="2"/>
    <x v="1"/>
    <s v="CUST1428"/>
    <s v="Female"/>
    <x v="2"/>
    <x v="0"/>
    <x v="3"/>
    <s v="Mountain Bike"/>
    <x v="7"/>
    <n v="1"/>
    <n v="24969.93"/>
    <n v="0.3"/>
    <n v="17478.95"/>
    <n v="18280.04"/>
    <n v="-801.09"/>
    <s v="Net Banking"/>
    <x v="7"/>
    <n v="4"/>
    <x v="7"/>
  </r>
  <r>
    <s v="ORD100349"/>
    <d v="2025-12-28T00:00:00"/>
    <s v="Decathlon Pune"/>
    <x v="1"/>
    <x v="1"/>
    <s v="CUST1744"/>
    <s v="Female"/>
    <x v="3"/>
    <x v="0"/>
    <x v="5"/>
    <s v="Backpack"/>
    <x v="5"/>
    <n v="4"/>
    <n v="3084.05"/>
    <n v="0.3"/>
    <n v="8635.34"/>
    <n v="6521.8"/>
    <n v="2113.54"/>
    <s v="Debit Card"/>
    <x v="4"/>
    <n v="3"/>
    <x v="0"/>
  </r>
  <r>
    <s v="ORD100350"/>
    <d v="2025-03-30T00:00:00"/>
    <s v="Decathlon Mumbai"/>
    <x v="6"/>
    <x v="1"/>
    <s v="CUST1070"/>
    <s v="Male"/>
    <x v="3"/>
    <x v="1"/>
    <x v="1"/>
    <s v="Yoga Mat"/>
    <x v="3"/>
    <n v="4"/>
    <n v="1431.52"/>
    <n v="0"/>
    <n v="5726.08"/>
    <n v="2906.16"/>
    <n v="2819.92"/>
    <s v="Cash"/>
    <x v="3"/>
    <n v="3"/>
    <x v="1"/>
  </r>
  <r>
    <s v="ORD100351"/>
    <d v="2025-01-13T00:00:00"/>
    <s v="Decathlon Hyderabad"/>
    <x v="7"/>
    <x v="2"/>
    <s v="CUST1219"/>
    <s v="Male"/>
    <x v="3"/>
    <x v="1"/>
    <x v="1"/>
    <s v="Resistance Band"/>
    <x v="6"/>
    <n v="1"/>
    <n v="894.44"/>
    <n v="0"/>
    <n v="894.44"/>
    <n v="396.64"/>
    <n v="497.8"/>
    <s v="Net Banking"/>
    <x v="7"/>
    <n v="4"/>
    <x v="4"/>
  </r>
  <r>
    <s v="ORD100352"/>
    <d v="2025-12-07T00:00:00"/>
    <s v="Decathlon Mumbai"/>
    <x v="6"/>
    <x v="1"/>
    <s v="CUST1581"/>
    <s v="Female"/>
    <x v="0"/>
    <x v="0"/>
    <x v="2"/>
    <s v="Swimming Goggles"/>
    <x v="0"/>
    <n v="5"/>
    <n v="923.13"/>
    <n v="0"/>
    <n v="4615.6499999999996"/>
    <n v="2210.33"/>
    <n v="2405.3200000000002"/>
    <s v="Cash"/>
    <x v="3"/>
    <n v="5"/>
    <x v="0"/>
  </r>
  <r>
    <s v="ORD100353"/>
    <d v="2025-11-30T00:00:00"/>
    <s v="Decathlon Noida"/>
    <x v="5"/>
    <x v="0"/>
    <s v="CUST1447"/>
    <s v="Male"/>
    <x v="2"/>
    <x v="1"/>
    <x v="4"/>
    <s v="Football"/>
    <x v="5"/>
    <n v="4"/>
    <n v="1235.72"/>
    <n v="0"/>
    <n v="4942.88"/>
    <n v="2937.51"/>
    <n v="2005.37"/>
    <s v="Debit Card"/>
    <x v="0"/>
    <n v="5"/>
    <x v="2"/>
  </r>
  <r>
    <s v="ORD100354"/>
    <d v="2025-02-11T00:00:00"/>
    <s v="Decathlon Chennai"/>
    <x v="3"/>
    <x v="2"/>
    <s v="CUST1533"/>
    <s v="Male"/>
    <x v="3"/>
    <x v="0"/>
    <x v="2"/>
    <s v="Swim Cap"/>
    <x v="6"/>
    <n v="3"/>
    <n v="496.51"/>
    <n v="0.3"/>
    <n v="1042.67"/>
    <n v="671.12"/>
    <n v="371.55"/>
    <s v="Net Banking"/>
    <x v="8"/>
    <n v="5"/>
    <x v="6"/>
  </r>
  <r>
    <s v="ORD100355"/>
    <d v="2025-05-15T00:00:00"/>
    <s v="Decathlon Hyderabad"/>
    <x v="7"/>
    <x v="2"/>
    <s v="CUST1626"/>
    <s v="Male"/>
    <x v="3"/>
    <x v="2"/>
    <x v="3"/>
    <s v="Mountain Bike"/>
    <x v="4"/>
    <n v="2"/>
    <n v="25679.06"/>
    <n v="0.3"/>
    <n v="35950.68"/>
    <n v="34841.379999999997"/>
    <n v="1109.3"/>
    <s v="Credit Card"/>
    <x v="8"/>
    <n v="5"/>
    <x v="10"/>
  </r>
  <r>
    <s v="ORD100356"/>
    <d v="2025-08-02T00:00:00"/>
    <s v="Decathlon Bengaluru"/>
    <x v="4"/>
    <x v="2"/>
    <s v="CUST1826"/>
    <s v="Female"/>
    <x v="3"/>
    <x v="2"/>
    <x v="4"/>
    <s v="Shin Guards"/>
    <x v="4"/>
    <n v="4"/>
    <n v="1041.8399999999999"/>
    <n v="0.25"/>
    <n v="3125.52"/>
    <n v="2079.62"/>
    <n v="1045.9000000000001"/>
    <s v="Credit Card"/>
    <x v="8"/>
    <n v="5"/>
    <x v="3"/>
  </r>
  <r>
    <s v="ORD100357"/>
    <d v="2025-07-25T00:00:00"/>
    <s v="Decathlon Ahmedabad"/>
    <x v="2"/>
    <x v="1"/>
    <s v="CUST1872"/>
    <s v="Female"/>
    <x v="1"/>
    <x v="0"/>
    <x v="5"/>
    <s v="Water Bottle"/>
    <x v="7"/>
    <n v="1"/>
    <n v="676.63"/>
    <n v="0.05"/>
    <n v="642.79999999999995"/>
    <n v="239.37"/>
    <n v="403.43"/>
    <s v="Debit Card"/>
    <x v="2"/>
    <n v="5"/>
    <x v="8"/>
  </r>
  <r>
    <s v="ORD100358"/>
    <d v="2025-12-01T00:00:00"/>
    <s v="Decathlon Bengaluru"/>
    <x v="4"/>
    <x v="2"/>
    <s v="CUST1302"/>
    <s v="Female"/>
    <x v="3"/>
    <x v="0"/>
    <x v="5"/>
    <s v="Water Bottle"/>
    <x v="5"/>
    <n v="2"/>
    <n v="683.71"/>
    <n v="0.05"/>
    <n v="1299.05"/>
    <n v="499.31"/>
    <n v="799.74"/>
    <s v="Credit Card"/>
    <x v="1"/>
    <n v="4"/>
    <x v="0"/>
  </r>
  <r>
    <s v="ORD100359"/>
    <d v="2025-06-21T00:00:00"/>
    <s v="Decathlon Mumbai"/>
    <x v="6"/>
    <x v="1"/>
    <s v="CUST1157"/>
    <s v="Female"/>
    <x v="0"/>
    <x v="2"/>
    <x v="4"/>
    <s v="Football"/>
    <x v="0"/>
    <n v="1"/>
    <n v="1338.1"/>
    <n v="0"/>
    <n v="1338.1"/>
    <n v="694.97"/>
    <n v="643.13"/>
    <s v="UPI"/>
    <x v="8"/>
    <n v="4"/>
    <x v="11"/>
  </r>
  <r>
    <s v="ORD100360"/>
    <d v="2025-05-23T00:00:00"/>
    <s v="Decathlon Ahmedabad"/>
    <x v="2"/>
    <x v="1"/>
    <s v="CUST1559"/>
    <s v="Female"/>
    <x v="3"/>
    <x v="0"/>
    <x v="1"/>
    <s v="Resistance Band"/>
    <x v="1"/>
    <n v="3"/>
    <n v="937.78"/>
    <n v="0"/>
    <n v="2813.34"/>
    <n v="1236.29"/>
    <n v="1577.05"/>
    <s v="Debit Card"/>
    <x v="4"/>
    <n v="3"/>
    <x v="10"/>
  </r>
  <r>
    <s v="ORD100361"/>
    <d v="2025-04-17T00:00:00"/>
    <s v="Decathlon Jaipur"/>
    <x v="0"/>
    <x v="0"/>
    <s v="CUST1002"/>
    <s v="Male"/>
    <x v="3"/>
    <x v="2"/>
    <x v="0"/>
    <s v="Running T-Shirt"/>
    <x v="4"/>
    <n v="4"/>
    <n v="979.69"/>
    <n v="0"/>
    <n v="3918.76"/>
    <n v="1804.5"/>
    <n v="2114.2600000000002"/>
    <s v="Cash"/>
    <x v="5"/>
    <n v="3"/>
    <x v="5"/>
  </r>
  <r>
    <s v="ORD100362"/>
    <d v="2025-05-12T00:00:00"/>
    <s v="Decathlon Chennai"/>
    <x v="3"/>
    <x v="2"/>
    <s v="CUST1509"/>
    <s v="Female"/>
    <x v="2"/>
    <x v="0"/>
    <x v="0"/>
    <s v="Running T-Shirt"/>
    <x v="0"/>
    <n v="3"/>
    <n v="1002.91"/>
    <n v="0"/>
    <n v="3008.73"/>
    <n v="1386.05"/>
    <n v="1622.68"/>
    <s v="Credit Card"/>
    <x v="0"/>
    <n v="5"/>
    <x v="10"/>
  </r>
  <r>
    <s v="ORD100363"/>
    <d v="2025-10-28T00:00:00"/>
    <s v="Decathlon Chennai"/>
    <x v="3"/>
    <x v="2"/>
    <s v="CUST1586"/>
    <s v="Female"/>
    <x v="0"/>
    <x v="1"/>
    <x v="3"/>
    <s v="Helmet"/>
    <x v="4"/>
    <n v="5"/>
    <n v="1904.95"/>
    <n v="0.25"/>
    <n v="7143.56"/>
    <n v="5489.23"/>
    <n v="1654.33"/>
    <s v="Debit Card"/>
    <x v="0"/>
    <n v="3"/>
    <x v="9"/>
  </r>
  <r>
    <s v="ORD100364"/>
    <d v="2025-09-10T00:00:00"/>
    <s v="Decathlon Delhi"/>
    <x v="9"/>
    <x v="0"/>
    <s v="CUST1907"/>
    <s v="Male"/>
    <x v="3"/>
    <x v="2"/>
    <x v="0"/>
    <s v="Running Shoes"/>
    <x v="3"/>
    <n v="3"/>
    <n v="3924.16"/>
    <n v="0.1"/>
    <n v="10595.23"/>
    <n v="6772.66"/>
    <n v="3822.57"/>
    <s v="Debit Card"/>
    <x v="6"/>
    <n v="3"/>
    <x v="7"/>
  </r>
  <r>
    <s v="ORD100365"/>
    <d v="2025-03-16T00:00:00"/>
    <s v="Decathlon Mumbai"/>
    <x v="6"/>
    <x v="1"/>
    <s v="CUST1605"/>
    <s v="Female"/>
    <x v="3"/>
    <x v="0"/>
    <x v="1"/>
    <s v="Resistance Band"/>
    <x v="4"/>
    <n v="3"/>
    <n v="920.95"/>
    <n v="0.15"/>
    <n v="2348.42"/>
    <n v="1250.93"/>
    <n v="1097.49"/>
    <s v="UPI"/>
    <x v="5"/>
    <n v="3"/>
    <x v="1"/>
  </r>
  <r>
    <s v="ORD100366"/>
    <d v="2025-09-08T00:00:00"/>
    <s v="Decathlon Mumbai"/>
    <x v="6"/>
    <x v="1"/>
    <s v="CUST1862"/>
    <s v="Male"/>
    <x v="3"/>
    <x v="0"/>
    <x v="1"/>
    <s v="Yoga Block"/>
    <x v="2"/>
    <n v="2"/>
    <n v="624.41"/>
    <n v="0.15"/>
    <n v="1061.5"/>
    <n v="501.31"/>
    <n v="560.19000000000005"/>
    <s v="Cash"/>
    <x v="0"/>
    <n v="3"/>
    <x v="7"/>
  </r>
  <r>
    <s v="ORD100367"/>
    <d v="2025-02-02T00:00:00"/>
    <s v="Decathlon Ahmedabad"/>
    <x v="2"/>
    <x v="1"/>
    <s v="CUST1957"/>
    <s v="Female"/>
    <x v="2"/>
    <x v="2"/>
    <x v="1"/>
    <s v="Yoga Block"/>
    <x v="5"/>
    <n v="1"/>
    <n v="603.62"/>
    <n v="0.1"/>
    <n v="543.26"/>
    <n v="271.77999999999997"/>
    <n v="271.48"/>
    <s v="UPI"/>
    <x v="6"/>
    <n v="5"/>
    <x v="6"/>
  </r>
  <r>
    <s v="ORD100368"/>
    <d v="2025-10-16T00:00:00"/>
    <s v="Decathlon Ahmedabad"/>
    <x v="2"/>
    <x v="1"/>
    <s v="CUST1051"/>
    <s v="Male"/>
    <x v="1"/>
    <x v="1"/>
    <x v="4"/>
    <s v="Shin Guards"/>
    <x v="0"/>
    <n v="5"/>
    <n v="976.99"/>
    <n v="0.1"/>
    <n v="4396.45"/>
    <n v="2572.91"/>
    <n v="1823.54"/>
    <s v="UPI"/>
    <x v="1"/>
    <n v="3"/>
    <x v="9"/>
  </r>
  <r>
    <s v="ORD100369"/>
    <d v="2025-02-28T00:00:00"/>
    <s v="Decathlon Delhi"/>
    <x v="9"/>
    <x v="0"/>
    <s v="CUST1185"/>
    <s v="Female"/>
    <x v="1"/>
    <x v="0"/>
    <x v="0"/>
    <s v="Fitness Band"/>
    <x v="5"/>
    <n v="5"/>
    <n v="2412.14"/>
    <n v="0.3"/>
    <n v="8442.49"/>
    <n v="7395.06"/>
    <n v="1047.43"/>
    <s v="Debit Card"/>
    <x v="9"/>
    <n v="3"/>
    <x v="6"/>
  </r>
  <r>
    <s v="ORD100370"/>
    <d v="2025-11-18T00:00:00"/>
    <s v="Decathlon Jaipur"/>
    <x v="0"/>
    <x v="0"/>
    <s v="CUST1280"/>
    <s v="Female"/>
    <x v="2"/>
    <x v="2"/>
    <x v="0"/>
    <s v="Running Shoes"/>
    <x v="2"/>
    <n v="2"/>
    <n v="4021.6"/>
    <n v="0"/>
    <n v="8043.2"/>
    <n v="4426.99"/>
    <n v="3616.21"/>
    <s v="Cash"/>
    <x v="6"/>
    <n v="4"/>
    <x v="2"/>
  </r>
  <r>
    <s v="ORD100371"/>
    <d v="2025-12-18T00:00:00"/>
    <s v="Decathlon Gurugram"/>
    <x v="8"/>
    <x v="0"/>
    <s v="CUST1854"/>
    <s v="Female"/>
    <x v="1"/>
    <x v="1"/>
    <x v="1"/>
    <s v="Resistance Band"/>
    <x v="6"/>
    <n v="5"/>
    <n v="869.31"/>
    <n v="0.3"/>
    <n v="3042.58"/>
    <n v="2003.52"/>
    <n v="1039.06"/>
    <s v="Net Banking"/>
    <x v="7"/>
    <n v="4"/>
    <x v="0"/>
  </r>
  <r>
    <s v="ORD100372"/>
    <d v="2025-11-21T00:00:00"/>
    <s v="Decathlon Delhi"/>
    <x v="9"/>
    <x v="0"/>
    <s v="CUST1301"/>
    <s v="Female"/>
    <x v="0"/>
    <x v="2"/>
    <x v="2"/>
    <s v="Swimsuit"/>
    <x v="4"/>
    <n v="1"/>
    <n v="1533.51"/>
    <n v="0.05"/>
    <n v="1456.83"/>
    <n v="842.99"/>
    <n v="613.84"/>
    <s v="UPI"/>
    <x v="0"/>
    <n v="4"/>
    <x v="2"/>
  </r>
  <r>
    <s v="ORD100373"/>
    <d v="2025-04-14T00:00:00"/>
    <s v="Decathlon Gurugram"/>
    <x v="8"/>
    <x v="0"/>
    <s v="CUST1010"/>
    <s v="Male"/>
    <x v="0"/>
    <x v="1"/>
    <x v="0"/>
    <s v="Fitness Band"/>
    <x v="0"/>
    <n v="1"/>
    <n v="2503.23"/>
    <n v="0.15"/>
    <n v="2127.75"/>
    <n v="1493.47"/>
    <n v="634.28"/>
    <s v="UPI"/>
    <x v="5"/>
    <n v="3"/>
    <x v="5"/>
  </r>
  <r>
    <s v="ORD100374"/>
    <d v="2025-06-16T00:00:00"/>
    <s v="Decathlon Gurugram"/>
    <x v="8"/>
    <x v="0"/>
    <s v="CUST1526"/>
    <s v="Male"/>
    <x v="0"/>
    <x v="0"/>
    <x v="1"/>
    <s v="Yoga Block"/>
    <x v="1"/>
    <n v="5"/>
    <n v="585.20000000000005"/>
    <n v="0.3"/>
    <n v="2048.1999999999998"/>
    <n v="1282.29"/>
    <n v="765.91"/>
    <s v="Cash"/>
    <x v="5"/>
    <n v="4"/>
    <x v="11"/>
  </r>
  <r>
    <s v="ORD100375"/>
    <d v="2025-07-07T00:00:00"/>
    <s v="Decathlon Chennai"/>
    <x v="3"/>
    <x v="2"/>
    <s v="CUST1533"/>
    <s v="Female"/>
    <x v="3"/>
    <x v="2"/>
    <x v="4"/>
    <s v="Shin Guards"/>
    <x v="3"/>
    <n v="4"/>
    <n v="1007.39"/>
    <n v="0"/>
    <n v="4029.56"/>
    <n v="1945.03"/>
    <n v="2084.5300000000002"/>
    <s v="Cash"/>
    <x v="2"/>
    <n v="3"/>
    <x v="8"/>
  </r>
  <r>
    <s v="ORD100376"/>
    <d v="2025-02-20T00:00:00"/>
    <s v="Decathlon Gurugram"/>
    <x v="8"/>
    <x v="0"/>
    <s v="CUST1606"/>
    <s v="Male"/>
    <x v="3"/>
    <x v="0"/>
    <x v="0"/>
    <s v="Fitness Band"/>
    <x v="4"/>
    <n v="4"/>
    <n v="2547.4499999999998"/>
    <n v="0"/>
    <n v="10189.799999999999"/>
    <n v="6219.8"/>
    <n v="3970"/>
    <s v="Credit Card"/>
    <x v="0"/>
    <n v="3"/>
    <x v="6"/>
  </r>
  <r>
    <s v="ORD100377"/>
    <d v="2025-09-27T00:00:00"/>
    <s v="Decathlon Ahmedabad"/>
    <x v="2"/>
    <x v="1"/>
    <s v="CUST1716"/>
    <s v="Male"/>
    <x v="3"/>
    <x v="2"/>
    <x v="0"/>
    <s v="Running Shoes"/>
    <x v="6"/>
    <n v="5"/>
    <n v="4118.21"/>
    <n v="0.15"/>
    <n v="17502.39"/>
    <n v="11007.76"/>
    <n v="6494.63"/>
    <s v="Net Banking"/>
    <x v="5"/>
    <n v="4"/>
    <x v="7"/>
  </r>
  <r>
    <s v="ORD100378"/>
    <d v="2025-02-17T00:00:00"/>
    <s v="Decathlon Chennai"/>
    <x v="3"/>
    <x v="2"/>
    <s v="CUST1993"/>
    <s v="Female"/>
    <x v="2"/>
    <x v="2"/>
    <x v="5"/>
    <s v="Water Bottle"/>
    <x v="2"/>
    <n v="2"/>
    <n v="717.61"/>
    <n v="0"/>
    <n v="1435.22"/>
    <n v="478.34"/>
    <n v="956.88"/>
    <s v="Debit Card"/>
    <x v="6"/>
    <n v="4"/>
    <x v="6"/>
  </r>
  <r>
    <s v="ORD100379"/>
    <d v="2025-09-18T00:00:00"/>
    <s v="Decathlon Noida"/>
    <x v="5"/>
    <x v="0"/>
    <s v="CUST1845"/>
    <s v="Male"/>
    <x v="1"/>
    <x v="2"/>
    <x v="2"/>
    <s v="Swim Cap"/>
    <x v="0"/>
    <n v="5"/>
    <n v="506.12"/>
    <n v="0.05"/>
    <n v="2404.0700000000002"/>
    <n v="1054.06"/>
    <n v="1350.01"/>
    <s v="Credit Card"/>
    <x v="3"/>
    <n v="4"/>
    <x v="7"/>
  </r>
  <r>
    <s v="ORD100380"/>
    <d v="2025-07-02T00:00:00"/>
    <s v="Decathlon Jaipur"/>
    <x v="0"/>
    <x v="0"/>
    <s v="CUST1404"/>
    <s v="Male"/>
    <x v="2"/>
    <x v="0"/>
    <x v="5"/>
    <s v="Backpack"/>
    <x v="0"/>
    <n v="5"/>
    <n v="2972.65"/>
    <n v="0.15"/>
    <n v="12633.76"/>
    <n v="8337.58"/>
    <n v="4296.18"/>
    <s v="Cash"/>
    <x v="6"/>
    <n v="5"/>
    <x v="8"/>
  </r>
  <r>
    <s v="ORD100381"/>
    <d v="2025-09-11T00:00:00"/>
    <s v="Decathlon Chennai"/>
    <x v="3"/>
    <x v="2"/>
    <s v="CUST1860"/>
    <s v="Female"/>
    <x v="3"/>
    <x v="0"/>
    <x v="0"/>
    <s v="Running T-Shirt"/>
    <x v="5"/>
    <n v="2"/>
    <n v="962.92"/>
    <n v="0"/>
    <n v="1925.84"/>
    <n v="891.14"/>
    <n v="1034.7"/>
    <s v="Debit Card"/>
    <x v="4"/>
    <n v="3"/>
    <x v="7"/>
  </r>
  <r>
    <s v="ORD100382"/>
    <d v="2025-02-12T00:00:00"/>
    <s v="Decathlon Ahmedabad"/>
    <x v="2"/>
    <x v="1"/>
    <s v="CUST1009"/>
    <s v="Male"/>
    <x v="3"/>
    <x v="1"/>
    <x v="0"/>
    <s v="Fitness Band"/>
    <x v="7"/>
    <n v="2"/>
    <n v="2488.2800000000002"/>
    <n v="0.1"/>
    <n v="4478.8999999999996"/>
    <n v="2893.67"/>
    <n v="1585.23"/>
    <s v="Net Banking"/>
    <x v="8"/>
    <n v="5"/>
    <x v="6"/>
  </r>
  <r>
    <s v="ORD100383"/>
    <d v="2025-07-12T00:00:00"/>
    <s v="Decathlon Pune"/>
    <x v="1"/>
    <x v="1"/>
    <s v="CUST1967"/>
    <s v="Female"/>
    <x v="0"/>
    <x v="0"/>
    <x v="1"/>
    <s v="Yoga Block"/>
    <x v="7"/>
    <n v="3"/>
    <n v="577.61"/>
    <n v="0.05"/>
    <n v="1646.19"/>
    <n v="768.11"/>
    <n v="878.08"/>
    <s v="Credit Card"/>
    <x v="4"/>
    <n v="5"/>
    <x v="8"/>
  </r>
  <r>
    <s v="ORD100384"/>
    <d v="2025-06-04T00:00:00"/>
    <s v="Decathlon Gurugram"/>
    <x v="8"/>
    <x v="0"/>
    <s v="CUST1070"/>
    <s v="Male"/>
    <x v="2"/>
    <x v="2"/>
    <x v="1"/>
    <s v="Yoga Mat"/>
    <x v="7"/>
    <n v="2"/>
    <n v="1519.32"/>
    <n v="0.2"/>
    <n v="2430.91"/>
    <n v="1347.96"/>
    <n v="1082.95"/>
    <s v="Credit Card"/>
    <x v="1"/>
    <n v="5"/>
    <x v="11"/>
  </r>
  <r>
    <s v="ORD100385"/>
    <d v="2025-06-20T00:00:00"/>
    <s v="Decathlon Mumbai"/>
    <x v="6"/>
    <x v="1"/>
    <s v="CUST1494"/>
    <s v="Male"/>
    <x v="1"/>
    <x v="0"/>
    <x v="0"/>
    <s v="Running Shoes"/>
    <x v="4"/>
    <n v="2"/>
    <n v="4114.91"/>
    <n v="0.1"/>
    <n v="7406.84"/>
    <n v="4611.1400000000003"/>
    <n v="2795.7"/>
    <s v="Debit Card"/>
    <x v="5"/>
    <n v="3"/>
    <x v="11"/>
  </r>
  <r>
    <s v="ORD100386"/>
    <d v="2025-06-08T00:00:00"/>
    <s v="Decathlon Mumbai"/>
    <x v="6"/>
    <x v="1"/>
    <s v="CUST1730"/>
    <s v="Male"/>
    <x v="3"/>
    <x v="2"/>
    <x v="5"/>
    <s v="Water Bottle"/>
    <x v="2"/>
    <n v="4"/>
    <n v="680.71"/>
    <n v="0.3"/>
    <n v="1905.99"/>
    <n v="1046.03"/>
    <n v="859.96"/>
    <s v="Net Banking"/>
    <x v="9"/>
    <n v="3"/>
    <x v="11"/>
  </r>
  <r>
    <s v="ORD100387"/>
    <d v="2025-03-05T00:00:00"/>
    <s v="Decathlon Ahmedabad"/>
    <x v="2"/>
    <x v="1"/>
    <s v="CUST1587"/>
    <s v="Female"/>
    <x v="0"/>
    <x v="0"/>
    <x v="4"/>
    <s v="Football Boots"/>
    <x v="2"/>
    <n v="5"/>
    <n v="3507"/>
    <n v="0.25"/>
    <n v="13151.25"/>
    <n v="10900.68"/>
    <n v="2250.5700000000002"/>
    <s v="Cash"/>
    <x v="2"/>
    <n v="4"/>
    <x v="1"/>
  </r>
  <r>
    <s v="ORD100388"/>
    <d v="2025-02-10T00:00:00"/>
    <s v="Decathlon Pune"/>
    <x v="1"/>
    <x v="1"/>
    <s v="CUST1884"/>
    <s v="Male"/>
    <x v="1"/>
    <x v="1"/>
    <x v="2"/>
    <s v="Swimming Goggles"/>
    <x v="7"/>
    <n v="5"/>
    <n v="884.29"/>
    <n v="0"/>
    <n v="4421.45"/>
    <n v="2261.06"/>
    <n v="2160.39"/>
    <s v="Net Banking"/>
    <x v="9"/>
    <n v="4"/>
    <x v="6"/>
  </r>
  <r>
    <s v="ORD100389"/>
    <d v="2025-03-18T00:00:00"/>
    <s v="Decathlon Bengaluru"/>
    <x v="4"/>
    <x v="2"/>
    <s v="CUST1454"/>
    <s v="Female"/>
    <x v="2"/>
    <x v="0"/>
    <x v="1"/>
    <s v="Yoga Mat"/>
    <x v="6"/>
    <n v="5"/>
    <n v="1468.7"/>
    <n v="0"/>
    <n v="7343.5"/>
    <n v="3592.57"/>
    <n v="3750.93"/>
    <s v="Cash"/>
    <x v="5"/>
    <n v="4"/>
    <x v="1"/>
  </r>
  <r>
    <s v="ORD100390"/>
    <d v="2025-04-17T00:00:00"/>
    <s v="Decathlon Bengaluru"/>
    <x v="4"/>
    <x v="2"/>
    <s v="CUST1678"/>
    <s v="Male"/>
    <x v="1"/>
    <x v="0"/>
    <x v="3"/>
    <s v="Mountain Bike"/>
    <x v="4"/>
    <n v="2"/>
    <n v="25530.06"/>
    <n v="0.3"/>
    <n v="35742.080000000002"/>
    <n v="34422.480000000003"/>
    <n v="1319.6"/>
    <s v="Debit Card"/>
    <x v="7"/>
    <n v="3"/>
    <x v="5"/>
  </r>
  <r>
    <s v="ORD100391"/>
    <d v="2025-06-27T00:00:00"/>
    <s v="Decathlon Ahmedabad"/>
    <x v="2"/>
    <x v="1"/>
    <s v="CUST1068"/>
    <s v="Female"/>
    <x v="1"/>
    <x v="0"/>
    <x v="4"/>
    <s v="Football Boots"/>
    <x v="0"/>
    <n v="5"/>
    <n v="3354.91"/>
    <n v="0.25"/>
    <n v="12580.91"/>
    <n v="10542.5"/>
    <n v="2038.41"/>
    <s v="Cash"/>
    <x v="8"/>
    <n v="3"/>
    <x v="11"/>
  </r>
  <r>
    <s v="ORD100392"/>
    <d v="2025-01-10T00:00:00"/>
    <s v="Decathlon Ahmedabad"/>
    <x v="2"/>
    <x v="1"/>
    <s v="CUST1680"/>
    <s v="Female"/>
    <x v="1"/>
    <x v="1"/>
    <x v="3"/>
    <s v="Mountain Bike"/>
    <x v="5"/>
    <n v="4"/>
    <n v="25051.27"/>
    <n v="0.15"/>
    <n v="85174.32"/>
    <n v="71322.740000000005"/>
    <n v="13851.58"/>
    <s v="Credit Card"/>
    <x v="5"/>
    <n v="3"/>
    <x v="4"/>
  </r>
  <r>
    <s v="ORD100393"/>
    <d v="2025-01-22T00:00:00"/>
    <s v="Decathlon Gurugram"/>
    <x v="8"/>
    <x v="0"/>
    <s v="CUST1042"/>
    <s v="Male"/>
    <x v="1"/>
    <x v="0"/>
    <x v="0"/>
    <s v="Running Shoes"/>
    <x v="4"/>
    <n v="1"/>
    <n v="4062.89"/>
    <n v="0.15"/>
    <n v="3453.46"/>
    <n v="2225.85"/>
    <n v="1227.6099999999999"/>
    <s v="Net Banking"/>
    <x v="8"/>
    <n v="3"/>
    <x v="4"/>
  </r>
  <r>
    <s v="ORD100394"/>
    <d v="2025-03-25T00:00:00"/>
    <s v="Decathlon Chennai"/>
    <x v="3"/>
    <x v="2"/>
    <s v="CUST1690"/>
    <s v="Male"/>
    <x v="0"/>
    <x v="2"/>
    <x v="2"/>
    <s v="Swimming Goggles"/>
    <x v="2"/>
    <n v="5"/>
    <n v="905.9"/>
    <n v="0.2"/>
    <n v="3623.6"/>
    <n v="2145.62"/>
    <n v="1477.98"/>
    <s v="Net Banking"/>
    <x v="1"/>
    <n v="5"/>
    <x v="1"/>
  </r>
  <r>
    <s v="ORD100395"/>
    <d v="2025-08-23T00:00:00"/>
    <s v="Decathlon Hyderabad"/>
    <x v="7"/>
    <x v="2"/>
    <s v="CUST1884"/>
    <s v="Male"/>
    <x v="2"/>
    <x v="1"/>
    <x v="2"/>
    <s v="Swim Cap"/>
    <x v="6"/>
    <n v="3"/>
    <n v="492.75"/>
    <n v="0.25"/>
    <n v="1108.69"/>
    <n v="636.58000000000004"/>
    <n v="472.11"/>
    <s v="UPI"/>
    <x v="2"/>
    <n v="5"/>
    <x v="3"/>
  </r>
  <r>
    <s v="ORD100396"/>
    <d v="2025-03-10T00:00:00"/>
    <s v="Decathlon Jaipur"/>
    <x v="0"/>
    <x v="0"/>
    <s v="CUST1313"/>
    <s v="Male"/>
    <x v="3"/>
    <x v="2"/>
    <x v="5"/>
    <s v="Trekking Shoes"/>
    <x v="1"/>
    <n v="4"/>
    <n v="4823.5"/>
    <n v="0.3"/>
    <n v="13505.8"/>
    <n v="13114.68"/>
    <n v="391.12"/>
    <s v="UPI"/>
    <x v="9"/>
    <n v="3"/>
    <x v="1"/>
  </r>
  <r>
    <s v="ORD100397"/>
    <d v="2025-05-23T00:00:00"/>
    <s v="Decathlon Hyderabad"/>
    <x v="7"/>
    <x v="2"/>
    <s v="CUST1207"/>
    <s v="Male"/>
    <x v="0"/>
    <x v="1"/>
    <x v="0"/>
    <s v="Running T-Shirt"/>
    <x v="0"/>
    <n v="4"/>
    <n v="989.69"/>
    <n v="0.25"/>
    <n v="2969.07"/>
    <n v="1795.91"/>
    <n v="1173.1600000000001"/>
    <s v="Credit Card"/>
    <x v="0"/>
    <n v="4"/>
    <x v="10"/>
  </r>
  <r>
    <s v="ORD100398"/>
    <d v="2025-04-02T00:00:00"/>
    <s v="Decathlon Gurugram"/>
    <x v="8"/>
    <x v="0"/>
    <s v="CUST1742"/>
    <s v="Male"/>
    <x v="1"/>
    <x v="0"/>
    <x v="1"/>
    <s v="Yoga Mat"/>
    <x v="4"/>
    <n v="3"/>
    <n v="1488.07"/>
    <n v="0"/>
    <n v="4464.21"/>
    <n v="2040.32"/>
    <n v="2423.89"/>
    <s v="Net Banking"/>
    <x v="6"/>
    <n v="3"/>
    <x v="5"/>
  </r>
  <r>
    <s v="ORD100399"/>
    <d v="2025-06-17T00:00:00"/>
    <s v="Decathlon Ahmedabad"/>
    <x v="2"/>
    <x v="1"/>
    <s v="CUST1977"/>
    <s v="Male"/>
    <x v="1"/>
    <x v="0"/>
    <x v="5"/>
    <s v="Water Bottle"/>
    <x v="3"/>
    <n v="5"/>
    <n v="669.2"/>
    <n v="0.15"/>
    <n v="2844.1"/>
    <n v="1285.1099999999999"/>
    <n v="1558.99"/>
    <s v="UPI"/>
    <x v="7"/>
    <n v="5"/>
    <x v="11"/>
  </r>
  <r>
    <s v="ORD100400"/>
    <d v="2025-09-07T00:00:00"/>
    <s v="Decathlon Bengaluru"/>
    <x v="4"/>
    <x v="2"/>
    <s v="CUST1322"/>
    <s v="Female"/>
    <x v="0"/>
    <x v="1"/>
    <x v="5"/>
    <s v="Water Bottle"/>
    <x v="6"/>
    <n v="2"/>
    <n v="713.86"/>
    <n v="0.15"/>
    <n v="1213.56"/>
    <n v="500.01"/>
    <n v="713.55"/>
    <s v="UPI"/>
    <x v="5"/>
    <n v="5"/>
    <x v="7"/>
  </r>
  <r>
    <s v="ORD100401"/>
    <d v="2025-11-06T00:00:00"/>
    <s v="Decathlon Chennai"/>
    <x v="3"/>
    <x v="2"/>
    <s v="CUST1940"/>
    <s v="Male"/>
    <x v="1"/>
    <x v="0"/>
    <x v="2"/>
    <s v="Swim Cap"/>
    <x v="0"/>
    <n v="2"/>
    <n v="519.63"/>
    <n v="0.15"/>
    <n v="883.37"/>
    <n v="444.94"/>
    <n v="438.43"/>
    <s v="Credit Card"/>
    <x v="0"/>
    <n v="5"/>
    <x v="2"/>
  </r>
  <r>
    <s v="ORD100402"/>
    <d v="2025-12-13T00:00:00"/>
    <s v="Decathlon Noida"/>
    <x v="5"/>
    <x v="0"/>
    <s v="CUST1219"/>
    <s v="Male"/>
    <x v="0"/>
    <x v="0"/>
    <x v="4"/>
    <s v="Football"/>
    <x v="0"/>
    <n v="5"/>
    <n v="1250.43"/>
    <n v="0"/>
    <n v="6252.15"/>
    <n v="3542.22"/>
    <n v="2709.93"/>
    <s v="Debit Card"/>
    <x v="7"/>
    <n v="4"/>
    <x v="0"/>
  </r>
  <r>
    <s v="ORD100403"/>
    <d v="2025-03-04T00:00:00"/>
    <s v="Decathlon Pune"/>
    <x v="1"/>
    <x v="1"/>
    <s v="CUST1819"/>
    <s v="Female"/>
    <x v="2"/>
    <x v="2"/>
    <x v="4"/>
    <s v="Football Boots"/>
    <x v="7"/>
    <n v="4"/>
    <n v="3646.58"/>
    <n v="0.2"/>
    <n v="11669.06"/>
    <n v="8371.7000000000007"/>
    <n v="3297.36"/>
    <s v="Cash"/>
    <x v="5"/>
    <n v="4"/>
    <x v="1"/>
  </r>
  <r>
    <s v="ORD100404"/>
    <d v="2025-01-04T00:00:00"/>
    <s v="Decathlon Hyderabad"/>
    <x v="7"/>
    <x v="2"/>
    <s v="CUST1030"/>
    <s v="Female"/>
    <x v="1"/>
    <x v="0"/>
    <x v="0"/>
    <s v="Running T-Shirt"/>
    <x v="7"/>
    <n v="3"/>
    <n v="1022.62"/>
    <n v="0.2"/>
    <n v="2454.29"/>
    <n v="1296.71"/>
    <n v="1157.58"/>
    <s v="Debit Card"/>
    <x v="6"/>
    <n v="3"/>
    <x v="4"/>
  </r>
  <r>
    <s v="ORD100405"/>
    <d v="2025-12-05T00:00:00"/>
    <s v="Decathlon Pune"/>
    <x v="1"/>
    <x v="1"/>
    <s v="CUST1440"/>
    <s v="Female"/>
    <x v="0"/>
    <x v="2"/>
    <x v="3"/>
    <s v="Cycling Gloves"/>
    <x v="0"/>
    <n v="2"/>
    <n v="797.15"/>
    <n v="0.05"/>
    <n v="1514.58"/>
    <n v="722.37"/>
    <n v="792.21"/>
    <s v="UPI"/>
    <x v="2"/>
    <n v="4"/>
    <x v="0"/>
  </r>
  <r>
    <s v="ORD100406"/>
    <d v="2025-12-17T00:00:00"/>
    <s v="Decathlon Mumbai"/>
    <x v="6"/>
    <x v="1"/>
    <s v="CUST1519"/>
    <s v="Female"/>
    <x v="3"/>
    <x v="2"/>
    <x v="3"/>
    <s v="Helmet"/>
    <x v="3"/>
    <n v="1"/>
    <n v="1956.53"/>
    <n v="0.25"/>
    <n v="1467.4"/>
    <n v="1056.69"/>
    <n v="410.71"/>
    <s v="Debit Card"/>
    <x v="5"/>
    <n v="5"/>
    <x v="0"/>
  </r>
  <r>
    <s v="ORD100407"/>
    <d v="2025-08-22T00:00:00"/>
    <s v="Decathlon Chennai"/>
    <x v="3"/>
    <x v="2"/>
    <s v="CUST1358"/>
    <s v="Male"/>
    <x v="2"/>
    <x v="0"/>
    <x v="2"/>
    <s v="Swim Cap"/>
    <x v="3"/>
    <n v="5"/>
    <n v="520.03"/>
    <n v="0.2"/>
    <n v="2080.12"/>
    <n v="1057.6099999999999"/>
    <n v="1022.51"/>
    <s v="Debit Card"/>
    <x v="5"/>
    <n v="3"/>
    <x v="3"/>
  </r>
  <r>
    <s v="ORD100408"/>
    <d v="2025-10-19T00:00:00"/>
    <s v="Decathlon Chennai"/>
    <x v="3"/>
    <x v="2"/>
    <s v="CUST1863"/>
    <s v="Female"/>
    <x v="0"/>
    <x v="2"/>
    <x v="4"/>
    <s v="Shin Guards"/>
    <x v="5"/>
    <n v="1"/>
    <n v="973.75"/>
    <n v="0.3"/>
    <n v="681.62"/>
    <n v="509.61"/>
    <n v="172.01"/>
    <s v="Cash"/>
    <x v="8"/>
    <n v="4"/>
    <x v="9"/>
  </r>
  <r>
    <s v="ORD100409"/>
    <d v="2025-11-05T00:00:00"/>
    <s v="Decathlon Gurugram"/>
    <x v="8"/>
    <x v="0"/>
    <s v="CUST1349"/>
    <s v="Male"/>
    <x v="1"/>
    <x v="0"/>
    <x v="0"/>
    <s v="Fitness Band"/>
    <x v="5"/>
    <n v="5"/>
    <n v="2506.13"/>
    <n v="0.15"/>
    <n v="10651.05"/>
    <n v="7165.85"/>
    <n v="3485.2"/>
    <s v="UPI"/>
    <x v="4"/>
    <n v="3"/>
    <x v="2"/>
  </r>
  <r>
    <s v="ORD100410"/>
    <d v="2025-01-23T00:00:00"/>
    <s v="Decathlon Hyderabad"/>
    <x v="7"/>
    <x v="2"/>
    <s v="CUST1909"/>
    <s v="Female"/>
    <x v="0"/>
    <x v="2"/>
    <x v="3"/>
    <s v="Helmet"/>
    <x v="4"/>
    <n v="3"/>
    <n v="2072.98"/>
    <n v="0.2"/>
    <n v="4975.1499999999996"/>
    <n v="3334.64"/>
    <n v="1640.51"/>
    <s v="Net Banking"/>
    <x v="4"/>
    <n v="3"/>
    <x v="4"/>
  </r>
  <r>
    <s v="ORD100411"/>
    <d v="2025-11-17T00:00:00"/>
    <s v="Decathlon Ahmedabad"/>
    <x v="2"/>
    <x v="1"/>
    <s v="CUST1279"/>
    <s v="Male"/>
    <x v="2"/>
    <x v="1"/>
    <x v="4"/>
    <s v="Shin Guards"/>
    <x v="7"/>
    <n v="5"/>
    <n v="970.08"/>
    <n v="0.05"/>
    <n v="4607.88"/>
    <n v="2452.42"/>
    <n v="2155.46"/>
    <s v="Cash"/>
    <x v="2"/>
    <n v="5"/>
    <x v="2"/>
  </r>
  <r>
    <s v="ORD100412"/>
    <d v="2025-01-19T00:00:00"/>
    <s v="Decathlon Delhi"/>
    <x v="9"/>
    <x v="0"/>
    <s v="CUST1576"/>
    <s v="Female"/>
    <x v="1"/>
    <x v="2"/>
    <x v="3"/>
    <s v="Mountain Bike"/>
    <x v="0"/>
    <n v="3"/>
    <n v="25945.72"/>
    <n v="0.15"/>
    <n v="66161.59"/>
    <n v="51598.34"/>
    <n v="14563.25"/>
    <s v="Cash"/>
    <x v="4"/>
    <n v="3"/>
    <x v="4"/>
  </r>
  <r>
    <s v="ORD100413"/>
    <d v="2025-08-15T00:00:00"/>
    <s v="Decathlon Bengaluru"/>
    <x v="4"/>
    <x v="2"/>
    <s v="CUST1636"/>
    <s v="Female"/>
    <x v="3"/>
    <x v="0"/>
    <x v="5"/>
    <s v="Water Bottle"/>
    <x v="1"/>
    <n v="5"/>
    <n v="688.14"/>
    <n v="0"/>
    <n v="3440.7"/>
    <n v="1296.06"/>
    <n v="2144.64"/>
    <s v="Cash"/>
    <x v="1"/>
    <n v="3"/>
    <x v="3"/>
  </r>
  <r>
    <s v="ORD100414"/>
    <d v="2025-07-17T00:00:00"/>
    <s v="Decathlon Bengaluru"/>
    <x v="4"/>
    <x v="2"/>
    <s v="CUST1745"/>
    <s v="Female"/>
    <x v="2"/>
    <x v="0"/>
    <x v="2"/>
    <s v="Swim Cap"/>
    <x v="5"/>
    <n v="3"/>
    <n v="509.04"/>
    <n v="0"/>
    <n v="1527.12"/>
    <n v="688.79"/>
    <n v="838.33"/>
    <s v="UPI"/>
    <x v="6"/>
    <n v="4"/>
    <x v="8"/>
  </r>
  <r>
    <s v="ORD100415"/>
    <d v="2025-07-01T00:00:00"/>
    <s v="Decathlon Mumbai"/>
    <x v="6"/>
    <x v="1"/>
    <s v="CUST1163"/>
    <s v="Female"/>
    <x v="0"/>
    <x v="2"/>
    <x v="1"/>
    <s v="Resistance Band"/>
    <x v="5"/>
    <n v="1"/>
    <n v="884.87"/>
    <n v="0.05"/>
    <n v="840.63"/>
    <n v="406.62"/>
    <n v="434.01"/>
    <s v="Cash"/>
    <x v="0"/>
    <n v="3"/>
    <x v="8"/>
  </r>
  <r>
    <s v="ORD100416"/>
    <d v="2025-09-11T00:00:00"/>
    <s v="Decathlon Gurugram"/>
    <x v="8"/>
    <x v="0"/>
    <s v="CUST1719"/>
    <s v="Male"/>
    <x v="0"/>
    <x v="2"/>
    <x v="5"/>
    <s v="Backpack"/>
    <x v="4"/>
    <n v="3"/>
    <n v="3014.77"/>
    <n v="0.25"/>
    <n v="6783.23"/>
    <n v="4983.7299999999996"/>
    <n v="1799.5"/>
    <s v="Credit Card"/>
    <x v="9"/>
    <n v="5"/>
    <x v="7"/>
  </r>
  <r>
    <s v="ORD100417"/>
    <d v="2025-12-26T00:00:00"/>
    <s v="Decathlon Bengaluru"/>
    <x v="4"/>
    <x v="2"/>
    <s v="CUST1233"/>
    <s v="Male"/>
    <x v="3"/>
    <x v="1"/>
    <x v="0"/>
    <s v="Running Shoes"/>
    <x v="4"/>
    <n v="1"/>
    <n v="3834.99"/>
    <n v="0.25"/>
    <n v="2876.24"/>
    <n v="2250.23"/>
    <n v="626.01"/>
    <s v="Credit Card"/>
    <x v="6"/>
    <n v="5"/>
    <x v="0"/>
  </r>
  <r>
    <s v="ORD100418"/>
    <d v="2025-10-04T00:00:00"/>
    <s v="Decathlon Mumbai"/>
    <x v="6"/>
    <x v="1"/>
    <s v="CUST1773"/>
    <s v="Female"/>
    <x v="0"/>
    <x v="2"/>
    <x v="0"/>
    <s v="Fitness Band"/>
    <x v="5"/>
    <n v="3"/>
    <n v="2462.52"/>
    <n v="0.25"/>
    <n v="5540.67"/>
    <n v="4630.8900000000003"/>
    <n v="909.78"/>
    <s v="Debit Card"/>
    <x v="2"/>
    <n v="3"/>
    <x v="9"/>
  </r>
  <r>
    <s v="ORD100419"/>
    <d v="2025-07-23T00:00:00"/>
    <s v="Decathlon Pune"/>
    <x v="1"/>
    <x v="1"/>
    <s v="CUST1242"/>
    <s v="Male"/>
    <x v="1"/>
    <x v="1"/>
    <x v="5"/>
    <s v="Backpack"/>
    <x v="0"/>
    <n v="3"/>
    <n v="2910.74"/>
    <n v="0.05"/>
    <n v="8295.61"/>
    <n v="5301.99"/>
    <n v="2993.62"/>
    <s v="Net Banking"/>
    <x v="5"/>
    <n v="4"/>
    <x v="8"/>
  </r>
  <r>
    <s v="ORD100420"/>
    <d v="2025-01-27T00:00:00"/>
    <s v="Decathlon Noida"/>
    <x v="5"/>
    <x v="0"/>
    <s v="CUST1752"/>
    <s v="Male"/>
    <x v="1"/>
    <x v="2"/>
    <x v="3"/>
    <s v="Cycling Gloves"/>
    <x v="5"/>
    <n v="5"/>
    <n v="819.21"/>
    <n v="0.2"/>
    <n v="3276.84"/>
    <n v="1830.48"/>
    <n v="1446.36"/>
    <s v="Net Banking"/>
    <x v="0"/>
    <n v="4"/>
    <x v="4"/>
  </r>
  <r>
    <s v="ORD100421"/>
    <d v="2025-06-29T00:00:00"/>
    <s v="Decathlon Pune"/>
    <x v="1"/>
    <x v="1"/>
    <s v="CUST1743"/>
    <s v="Female"/>
    <x v="1"/>
    <x v="0"/>
    <x v="4"/>
    <s v="Shin Guards"/>
    <x v="6"/>
    <n v="3"/>
    <n v="962"/>
    <n v="0.2"/>
    <n v="2308.8000000000002"/>
    <n v="1560.53"/>
    <n v="748.27"/>
    <s v="Debit Card"/>
    <x v="6"/>
    <n v="3"/>
    <x v="11"/>
  </r>
  <r>
    <s v="ORD100422"/>
    <d v="2025-09-15T00:00:00"/>
    <s v="Decathlon Gurugram"/>
    <x v="8"/>
    <x v="0"/>
    <s v="CUST1047"/>
    <s v="Female"/>
    <x v="1"/>
    <x v="2"/>
    <x v="2"/>
    <s v="Swim Cap"/>
    <x v="1"/>
    <n v="4"/>
    <n v="481.72"/>
    <n v="0.05"/>
    <n v="1830.54"/>
    <n v="907.63"/>
    <n v="922.91"/>
    <s v="Cash"/>
    <x v="6"/>
    <n v="3"/>
    <x v="7"/>
  </r>
  <r>
    <s v="ORD100423"/>
    <d v="2025-07-09T00:00:00"/>
    <s v="Decathlon Delhi"/>
    <x v="9"/>
    <x v="0"/>
    <s v="CUST1327"/>
    <s v="Female"/>
    <x v="1"/>
    <x v="1"/>
    <x v="1"/>
    <s v="Yoga Block"/>
    <x v="0"/>
    <n v="3"/>
    <n v="621.44000000000005"/>
    <n v="0.05"/>
    <n v="1771.1"/>
    <n v="743.22"/>
    <n v="1027.8800000000001"/>
    <s v="UPI"/>
    <x v="8"/>
    <n v="3"/>
    <x v="8"/>
  </r>
  <r>
    <s v="ORD100424"/>
    <d v="2025-07-29T00:00:00"/>
    <s v="Decathlon Pune"/>
    <x v="1"/>
    <x v="1"/>
    <s v="CUST1422"/>
    <s v="Female"/>
    <x v="1"/>
    <x v="0"/>
    <x v="1"/>
    <s v="Resistance Band"/>
    <x v="5"/>
    <n v="3"/>
    <n v="931.56"/>
    <n v="0.1"/>
    <n v="2515.21"/>
    <n v="1241.76"/>
    <n v="1273.45"/>
    <s v="Net Banking"/>
    <x v="7"/>
    <n v="4"/>
    <x v="8"/>
  </r>
  <r>
    <s v="ORD100425"/>
    <d v="2025-05-07T00:00:00"/>
    <s v="Decathlon Bengaluru"/>
    <x v="4"/>
    <x v="2"/>
    <s v="CUST1405"/>
    <s v="Female"/>
    <x v="0"/>
    <x v="0"/>
    <x v="3"/>
    <s v="Cycling Gloves"/>
    <x v="6"/>
    <n v="3"/>
    <n v="817.7"/>
    <n v="0.1"/>
    <n v="2207.79"/>
    <n v="1041.1400000000001"/>
    <n v="1166.6500000000001"/>
    <s v="UPI"/>
    <x v="5"/>
    <n v="5"/>
    <x v="10"/>
  </r>
  <r>
    <s v="ORD100426"/>
    <d v="2025-11-29T00:00:00"/>
    <s v="Decathlon Chennai"/>
    <x v="3"/>
    <x v="2"/>
    <s v="CUST1143"/>
    <s v="Female"/>
    <x v="3"/>
    <x v="0"/>
    <x v="1"/>
    <s v="Yoga Block"/>
    <x v="6"/>
    <n v="4"/>
    <n v="571.34"/>
    <n v="0.25"/>
    <n v="1714.02"/>
    <n v="992.63"/>
    <n v="721.39"/>
    <s v="Net Banking"/>
    <x v="9"/>
    <n v="3"/>
    <x v="2"/>
  </r>
  <r>
    <s v="ORD100427"/>
    <d v="2025-10-21T00:00:00"/>
    <s v="Decathlon Hyderabad"/>
    <x v="7"/>
    <x v="2"/>
    <s v="CUST1514"/>
    <s v="Male"/>
    <x v="0"/>
    <x v="2"/>
    <x v="0"/>
    <s v="Fitness Band"/>
    <x v="7"/>
    <n v="3"/>
    <n v="2497.4899999999998"/>
    <n v="0.1"/>
    <n v="6743.22"/>
    <n v="4322.7299999999996"/>
    <n v="2420.4899999999998"/>
    <s v="Cash"/>
    <x v="7"/>
    <n v="5"/>
    <x v="9"/>
  </r>
  <r>
    <s v="ORD100428"/>
    <d v="2025-10-03T00:00:00"/>
    <s v="Decathlon Gurugram"/>
    <x v="8"/>
    <x v="0"/>
    <s v="CUST1184"/>
    <s v="Male"/>
    <x v="1"/>
    <x v="1"/>
    <x v="0"/>
    <s v="Running Shoes"/>
    <x v="7"/>
    <n v="3"/>
    <n v="4080.66"/>
    <n v="0"/>
    <n v="12241.98"/>
    <n v="6472.22"/>
    <n v="5769.76"/>
    <s v="UPI"/>
    <x v="1"/>
    <n v="3"/>
    <x v="9"/>
  </r>
  <r>
    <s v="ORD100429"/>
    <d v="2025-08-12T00:00:00"/>
    <s v="Decathlon Noida"/>
    <x v="5"/>
    <x v="0"/>
    <s v="CUST1276"/>
    <s v="Female"/>
    <x v="0"/>
    <x v="2"/>
    <x v="1"/>
    <s v="Yoga Block"/>
    <x v="4"/>
    <n v="3"/>
    <n v="573.03"/>
    <n v="0.3"/>
    <n v="1203.3599999999999"/>
    <n v="775.32"/>
    <n v="428.04"/>
    <s v="UPI"/>
    <x v="6"/>
    <n v="3"/>
    <x v="3"/>
  </r>
  <r>
    <s v="ORD100430"/>
    <d v="2025-07-15T00:00:00"/>
    <s v="Decathlon Pune"/>
    <x v="1"/>
    <x v="1"/>
    <s v="CUST1339"/>
    <s v="Male"/>
    <x v="2"/>
    <x v="1"/>
    <x v="3"/>
    <s v="Mountain Bike"/>
    <x v="3"/>
    <n v="4"/>
    <n v="26168.57"/>
    <n v="0.05"/>
    <n v="99440.57"/>
    <n v="69909.67"/>
    <n v="29530.9"/>
    <s v="UPI"/>
    <x v="8"/>
    <n v="4"/>
    <x v="8"/>
  </r>
  <r>
    <s v="ORD100431"/>
    <d v="2025-03-21T00:00:00"/>
    <s v="Decathlon Gurugram"/>
    <x v="8"/>
    <x v="0"/>
    <s v="CUST1971"/>
    <s v="Male"/>
    <x v="0"/>
    <x v="1"/>
    <x v="5"/>
    <s v="Backpack"/>
    <x v="5"/>
    <n v="5"/>
    <n v="2999.9"/>
    <n v="0"/>
    <n v="14999.5"/>
    <n v="8173.82"/>
    <n v="6825.68"/>
    <s v="Cash"/>
    <x v="0"/>
    <n v="5"/>
    <x v="1"/>
  </r>
  <r>
    <s v="ORD100432"/>
    <d v="2025-02-25T00:00:00"/>
    <s v="Decathlon Mumbai"/>
    <x v="6"/>
    <x v="1"/>
    <s v="CUST1154"/>
    <s v="Female"/>
    <x v="0"/>
    <x v="0"/>
    <x v="2"/>
    <s v="Swimsuit"/>
    <x v="6"/>
    <n v="2"/>
    <n v="1573.8"/>
    <n v="0.25"/>
    <n v="2360.6999999999998"/>
    <n v="1739.07"/>
    <n v="621.63"/>
    <s v="Net Banking"/>
    <x v="7"/>
    <n v="3"/>
    <x v="6"/>
  </r>
  <r>
    <s v="ORD100433"/>
    <d v="2025-06-03T00:00:00"/>
    <s v="Decathlon Pune"/>
    <x v="1"/>
    <x v="1"/>
    <s v="CUST1857"/>
    <s v="Male"/>
    <x v="2"/>
    <x v="1"/>
    <x v="3"/>
    <s v="Cycling Gloves"/>
    <x v="7"/>
    <n v="2"/>
    <n v="786.42"/>
    <n v="0.1"/>
    <n v="1415.56"/>
    <n v="690.43"/>
    <n v="725.13"/>
    <s v="Credit Card"/>
    <x v="9"/>
    <n v="3"/>
    <x v="11"/>
  </r>
  <r>
    <s v="ORD100434"/>
    <d v="2025-07-04T00:00:00"/>
    <s v="Decathlon Ahmedabad"/>
    <x v="2"/>
    <x v="1"/>
    <s v="CUST1335"/>
    <s v="Male"/>
    <x v="2"/>
    <x v="0"/>
    <x v="2"/>
    <s v="Swimsuit"/>
    <x v="4"/>
    <n v="1"/>
    <n v="1456.12"/>
    <n v="0.05"/>
    <n v="1383.31"/>
    <n v="889.49"/>
    <n v="493.82"/>
    <s v="Debit Card"/>
    <x v="4"/>
    <n v="5"/>
    <x v="8"/>
  </r>
  <r>
    <s v="ORD100435"/>
    <d v="2025-01-16T00:00:00"/>
    <s v="Decathlon Mumbai"/>
    <x v="6"/>
    <x v="1"/>
    <s v="CUST1275"/>
    <s v="Male"/>
    <x v="3"/>
    <x v="2"/>
    <x v="2"/>
    <s v="Swim Cap"/>
    <x v="3"/>
    <n v="1"/>
    <n v="481.61"/>
    <n v="0.05"/>
    <n v="457.53"/>
    <n v="209.59"/>
    <n v="247.94"/>
    <s v="Debit Card"/>
    <x v="6"/>
    <n v="5"/>
    <x v="4"/>
  </r>
  <r>
    <s v="ORD100436"/>
    <d v="2025-11-22T00:00:00"/>
    <s v="Decathlon Ahmedabad"/>
    <x v="2"/>
    <x v="1"/>
    <s v="CUST1790"/>
    <s v="Male"/>
    <x v="0"/>
    <x v="1"/>
    <x v="1"/>
    <s v="Resistance Band"/>
    <x v="4"/>
    <n v="2"/>
    <n v="940.49"/>
    <n v="0"/>
    <n v="1880.98"/>
    <n v="790.42"/>
    <n v="1090.56"/>
    <s v="Debit Card"/>
    <x v="6"/>
    <n v="3"/>
    <x v="2"/>
  </r>
  <r>
    <s v="ORD100437"/>
    <d v="2025-03-31T00:00:00"/>
    <s v="Decathlon Gurugram"/>
    <x v="8"/>
    <x v="0"/>
    <s v="CUST1332"/>
    <s v="Female"/>
    <x v="2"/>
    <x v="0"/>
    <x v="1"/>
    <s v="Yoga Mat"/>
    <x v="4"/>
    <n v="2"/>
    <n v="1495.34"/>
    <n v="0.25"/>
    <n v="2243.0100000000002"/>
    <n v="1340.45"/>
    <n v="902.56"/>
    <s v="Credit Card"/>
    <x v="9"/>
    <n v="3"/>
    <x v="1"/>
  </r>
  <r>
    <s v="ORD100438"/>
    <d v="2025-12-07T00:00:00"/>
    <s v="Decathlon Chennai"/>
    <x v="3"/>
    <x v="2"/>
    <s v="CUST1857"/>
    <s v="Male"/>
    <x v="3"/>
    <x v="1"/>
    <x v="4"/>
    <s v="Football Boots"/>
    <x v="3"/>
    <n v="4"/>
    <n v="3593.64"/>
    <n v="0"/>
    <n v="14374.56"/>
    <n v="8692.84"/>
    <n v="5681.72"/>
    <s v="Debit Card"/>
    <x v="9"/>
    <n v="4"/>
    <x v="0"/>
  </r>
  <r>
    <s v="ORD100439"/>
    <d v="2025-08-31T00:00:00"/>
    <s v="Decathlon Pune"/>
    <x v="1"/>
    <x v="1"/>
    <s v="CUST1399"/>
    <s v="Male"/>
    <x v="1"/>
    <x v="1"/>
    <x v="0"/>
    <s v="Running T-Shirt"/>
    <x v="3"/>
    <n v="1"/>
    <n v="1038.25"/>
    <n v="0.3"/>
    <n v="726.77"/>
    <n v="451.53"/>
    <n v="275.24"/>
    <s v="Net Banking"/>
    <x v="4"/>
    <n v="5"/>
    <x v="3"/>
  </r>
  <r>
    <s v="ORD100440"/>
    <d v="2025-01-03T00:00:00"/>
    <s v="Decathlon Ahmedabad"/>
    <x v="2"/>
    <x v="1"/>
    <s v="CUST1257"/>
    <s v="Female"/>
    <x v="2"/>
    <x v="0"/>
    <x v="2"/>
    <s v="Swimming Goggles"/>
    <x v="2"/>
    <n v="3"/>
    <n v="895.32"/>
    <n v="0.15"/>
    <n v="2283.0700000000002"/>
    <n v="1291.6500000000001"/>
    <n v="991.42"/>
    <s v="Net Banking"/>
    <x v="4"/>
    <n v="3"/>
    <x v="4"/>
  </r>
  <r>
    <s v="ORD100441"/>
    <d v="2025-10-27T00:00:00"/>
    <s v="Decathlon Pune"/>
    <x v="1"/>
    <x v="1"/>
    <s v="CUST1554"/>
    <s v="Female"/>
    <x v="3"/>
    <x v="0"/>
    <x v="4"/>
    <s v="Football"/>
    <x v="6"/>
    <n v="3"/>
    <n v="1237.99"/>
    <n v="0.2"/>
    <n v="2971.18"/>
    <n v="2086.75"/>
    <n v="884.43"/>
    <s v="Cash"/>
    <x v="0"/>
    <n v="4"/>
    <x v="9"/>
  </r>
  <r>
    <s v="ORD100442"/>
    <d v="2025-07-23T00:00:00"/>
    <s v="Decathlon Delhi"/>
    <x v="9"/>
    <x v="0"/>
    <s v="CUST1395"/>
    <s v="Male"/>
    <x v="1"/>
    <x v="2"/>
    <x v="1"/>
    <s v="Resistance Band"/>
    <x v="0"/>
    <n v="1"/>
    <n v="858.03"/>
    <n v="0.05"/>
    <n v="815.13"/>
    <n v="412.69"/>
    <n v="402.44"/>
    <s v="UPI"/>
    <x v="8"/>
    <n v="5"/>
    <x v="8"/>
  </r>
  <r>
    <s v="ORD100443"/>
    <d v="2025-12-17T00:00:00"/>
    <s v="Decathlon Ahmedabad"/>
    <x v="2"/>
    <x v="1"/>
    <s v="CUST1279"/>
    <s v="Male"/>
    <x v="1"/>
    <x v="0"/>
    <x v="3"/>
    <s v="Cycling Gloves"/>
    <x v="6"/>
    <n v="4"/>
    <n v="794.89"/>
    <n v="0"/>
    <n v="3179.56"/>
    <n v="1425.82"/>
    <n v="1753.74"/>
    <s v="Cash"/>
    <x v="0"/>
    <n v="4"/>
    <x v="0"/>
  </r>
  <r>
    <s v="ORD100444"/>
    <d v="2025-03-04T00:00:00"/>
    <s v="Decathlon Gurugram"/>
    <x v="8"/>
    <x v="0"/>
    <s v="CUST1684"/>
    <s v="Female"/>
    <x v="2"/>
    <x v="2"/>
    <x v="1"/>
    <s v="Yoga Block"/>
    <x v="5"/>
    <n v="1"/>
    <n v="570.34"/>
    <n v="0.25"/>
    <n v="427.75"/>
    <n v="264.38"/>
    <n v="163.37"/>
    <s v="Credit Card"/>
    <x v="9"/>
    <n v="4"/>
    <x v="1"/>
  </r>
  <r>
    <s v="ORD100445"/>
    <d v="2025-03-19T00:00:00"/>
    <s v="Decathlon Gurugram"/>
    <x v="8"/>
    <x v="0"/>
    <s v="CUST1350"/>
    <s v="Male"/>
    <x v="3"/>
    <x v="2"/>
    <x v="3"/>
    <s v="Helmet"/>
    <x v="1"/>
    <n v="5"/>
    <n v="1951.68"/>
    <n v="0.1"/>
    <n v="8782.56"/>
    <n v="5718.49"/>
    <n v="3064.07"/>
    <s v="Cash"/>
    <x v="8"/>
    <n v="3"/>
    <x v="1"/>
  </r>
  <r>
    <s v="ORD100446"/>
    <d v="2025-06-15T00:00:00"/>
    <s v="Decathlon Ahmedabad"/>
    <x v="2"/>
    <x v="1"/>
    <s v="CUST1752"/>
    <s v="Male"/>
    <x v="3"/>
    <x v="0"/>
    <x v="1"/>
    <s v="Yoga Block"/>
    <x v="3"/>
    <n v="4"/>
    <n v="615.59"/>
    <n v="0.25"/>
    <n v="1846.77"/>
    <n v="992.05"/>
    <n v="854.72"/>
    <s v="Cash"/>
    <x v="3"/>
    <n v="4"/>
    <x v="11"/>
  </r>
  <r>
    <s v="ORD100447"/>
    <d v="2025-05-07T00:00:00"/>
    <s v="Decathlon Ahmedabad"/>
    <x v="2"/>
    <x v="1"/>
    <s v="CUST1497"/>
    <s v="Female"/>
    <x v="2"/>
    <x v="2"/>
    <x v="1"/>
    <s v="Yoga Mat"/>
    <x v="1"/>
    <n v="2"/>
    <n v="1470.59"/>
    <n v="0.2"/>
    <n v="2352.94"/>
    <n v="1339.33"/>
    <n v="1013.61"/>
    <s v="UPI"/>
    <x v="7"/>
    <n v="5"/>
    <x v="10"/>
  </r>
  <r>
    <s v="ORD100448"/>
    <d v="2025-01-27T00:00:00"/>
    <s v="Decathlon Hyderabad"/>
    <x v="7"/>
    <x v="2"/>
    <s v="CUST1164"/>
    <s v="Male"/>
    <x v="3"/>
    <x v="2"/>
    <x v="5"/>
    <s v="Water Bottle"/>
    <x v="6"/>
    <n v="2"/>
    <n v="677.99"/>
    <n v="0.3"/>
    <n v="949.19"/>
    <n v="494.51"/>
    <n v="454.68"/>
    <s v="Credit Card"/>
    <x v="0"/>
    <n v="5"/>
    <x v="4"/>
  </r>
  <r>
    <s v="ORD100449"/>
    <d v="2025-08-02T00:00:00"/>
    <s v="Decathlon Chennai"/>
    <x v="3"/>
    <x v="2"/>
    <s v="CUST1008"/>
    <s v="Male"/>
    <x v="1"/>
    <x v="1"/>
    <x v="2"/>
    <s v="Swimsuit"/>
    <x v="0"/>
    <n v="5"/>
    <n v="1508.32"/>
    <n v="0.1"/>
    <n v="6787.44"/>
    <n v="4216.79"/>
    <n v="2570.65"/>
    <s v="Cash"/>
    <x v="3"/>
    <n v="5"/>
    <x v="3"/>
  </r>
  <r>
    <s v="ORD100450"/>
    <d v="2025-10-19T00:00:00"/>
    <s v="Decathlon Ahmedabad"/>
    <x v="2"/>
    <x v="1"/>
    <s v="CUST1134"/>
    <s v="Male"/>
    <x v="1"/>
    <x v="2"/>
    <x v="1"/>
    <s v="Yoga Mat"/>
    <x v="0"/>
    <n v="4"/>
    <n v="1473.39"/>
    <n v="0.3"/>
    <n v="4125.49"/>
    <n v="2927.79"/>
    <n v="1197.7"/>
    <s v="Cash"/>
    <x v="7"/>
    <n v="3"/>
    <x v="9"/>
  </r>
  <r>
    <s v="ORD100451"/>
    <d v="2025-10-11T00:00:00"/>
    <s v="Decathlon Pune"/>
    <x v="1"/>
    <x v="1"/>
    <s v="CUST1675"/>
    <s v="Male"/>
    <x v="1"/>
    <x v="2"/>
    <x v="1"/>
    <s v="Yoga Mat"/>
    <x v="4"/>
    <n v="2"/>
    <n v="1515.37"/>
    <n v="0.1"/>
    <n v="2727.67"/>
    <n v="1332.64"/>
    <n v="1395.03"/>
    <s v="Credit Card"/>
    <x v="3"/>
    <n v="3"/>
    <x v="9"/>
  </r>
  <r>
    <s v="ORD100452"/>
    <d v="2025-09-06T00:00:00"/>
    <s v="Decathlon Hyderabad"/>
    <x v="7"/>
    <x v="2"/>
    <s v="CUST1956"/>
    <s v="Female"/>
    <x v="1"/>
    <x v="0"/>
    <x v="1"/>
    <s v="Yoga Mat"/>
    <x v="7"/>
    <n v="1"/>
    <n v="1560.08"/>
    <n v="0.1"/>
    <n v="1404.07"/>
    <n v="676.75"/>
    <n v="727.32"/>
    <s v="Cash"/>
    <x v="6"/>
    <n v="5"/>
    <x v="7"/>
  </r>
  <r>
    <s v="ORD100453"/>
    <d v="2025-09-11T00:00:00"/>
    <s v="Decathlon Gurugram"/>
    <x v="8"/>
    <x v="0"/>
    <s v="CUST1329"/>
    <s v="Female"/>
    <x v="2"/>
    <x v="2"/>
    <x v="5"/>
    <s v="Trekking Shoes"/>
    <x v="1"/>
    <n v="1"/>
    <n v="5015.63"/>
    <n v="0.05"/>
    <n v="4764.8500000000004"/>
    <n v="3069.66"/>
    <n v="1695.19"/>
    <s v="Net Banking"/>
    <x v="9"/>
    <n v="3"/>
    <x v="7"/>
  </r>
  <r>
    <s v="ORD100454"/>
    <d v="2025-12-10T00:00:00"/>
    <s v="Decathlon Delhi"/>
    <x v="9"/>
    <x v="0"/>
    <s v="CUST1539"/>
    <s v="Female"/>
    <x v="1"/>
    <x v="1"/>
    <x v="3"/>
    <s v="Mountain Bike"/>
    <x v="6"/>
    <n v="1"/>
    <n v="25300.39"/>
    <n v="0.25"/>
    <n v="18975.29"/>
    <n v="17856.27"/>
    <n v="1119.02"/>
    <s v="UPI"/>
    <x v="3"/>
    <n v="5"/>
    <x v="0"/>
  </r>
  <r>
    <s v="ORD100455"/>
    <d v="2025-10-02T00:00:00"/>
    <s v="Decathlon Mumbai"/>
    <x v="6"/>
    <x v="1"/>
    <s v="CUST1507"/>
    <s v="Male"/>
    <x v="3"/>
    <x v="0"/>
    <x v="0"/>
    <s v="Running T-Shirt"/>
    <x v="0"/>
    <n v="4"/>
    <n v="1036.03"/>
    <n v="0.25"/>
    <n v="3108.09"/>
    <n v="1794"/>
    <n v="1314.09"/>
    <s v="UPI"/>
    <x v="6"/>
    <n v="4"/>
    <x v="9"/>
  </r>
  <r>
    <s v="ORD100456"/>
    <d v="2025-04-10T00:00:00"/>
    <s v="Decathlon Pune"/>
    <x v="1"/>
    <x v="1"/>
    <s v="CUST1769"/>
    <s v="Male"/>
    <x v="0"/>
    <x v="1"/>
    <x v="5"/>
    <s v="Water Bottle"/>
    <x v="6"/>
    <n v="2"/>
    <n v="710.43"/>
    <n v="0.05"/>
    <n v="1349.82"/>
    <n v="487.39"/>
    <n v="862.43"/>
    <s v="Debit Card"/>
    <x v="1"/>
    <n v="5"/>
    <x v="5"/>
  </r>
  <r>
    <s v="ORD100457"/>
    <d v="2025-02-18T00:00:00"/>
    <s v="Decathlon Hyderabad"/>
    <x v="7"/>
    <x v="2"/>
    <s v="CUST1758"/>
    <s v="Male"/>
    <x v="0"/>
    <x v="1"/>
    <x v="5"/>
    <s v="Trekking Shoes"/>
    <x v="1"/>
    <n v="2"/>
    <n v="5087.13"/>
    <n v="0.3"/>
    <n v="7121.98"/>
    <n v="6654.63"/>
    <n v="467.35"/>
    <s v="Net Banking"/>
    <x v="3"/>
    <n v="3"/>
    <x v="6"/>
  </r>
  <r>
    <s v="ORD100458"/>
    <d v="2025-01-15T00:00:00"/>
    <s v="Decathlon Ahmedabad"/>
    <x v="2"/>
    <x v="1"/>
    <s v="CUST1132"/>
    <s v="Female"/>
    <x v="1"/>
    <x v="0"/>
    <x v="0"/>
    <s v="Running T-Shirt"/>
    <x v="7"/>
    <n v="5"/>
    <n v="950.12"/>
    <n v="0.25"/>
    <n v="3562.95"/>
    <n v="2300.4699999999998"/>
    <n v="1262.48"/>
    <s v="Net Banking"/>
    <x v="1"/>
    <n v="5"/>
    <x v="4"/>
  </r>
  <r>
    <s v="ORD100459"/>
    <d v="2025-11-19T00:00:00"/>
    <s v="Decathlon Chennai"/>
    <x v="3"/>
    <x v="2"/>
    <s v="CUST1443"/>
    <s v="Male"/>
    <x v="0"/>
    <x v="2"/>
    <x v="5"/>
    <s v="Trekking Shoes"/>
    <x v="7"/>
    <n v="5"/>
    <n v="4891.46"/>
    <n v="0.2"/>
    <n v="19565.84"/>
    <n v="15247.58"/>
    <n v="4318.26"/>
    <s v="Debit Card"/>
    <x v="6"/>
    <n v="5"/>
    <x v="2"/>
  </r>
  <r>
    <s v="ORD100460"/>
    <d v="2025-02-04T00:00:00"/>
    <s v="Decathlon Chennai"/>
    <x v="3"/>
    <x v="2"/>
    <s v="CUST1101"/>
    <s v="Male"/>
    <x v="0"/>
    <x v="2"/>
    <x v="2"/>
    <s v="Swimsuit"/>
    <x v="5"/>
    <n v="5"/>
    <n v="1468.66"/>
    <n v="0.1"/>
    <n v="6608.97"/>
    <n v="4285.32"/>
    <n v="2323.65"/>
    <s v="UPI"/>
    <x v="8"/>
    <n v="5"/>
    <x v="6"/>
  </r>
  <r>
    <s v="ORD100461"/>
    <d v="2025-08-24T00:00:00"/>
    <s v="Decathlon Pune"/>
    <x v="1"/>
    <x v="1"/>
    <s v="CUST1997"/>
    <s v="Male"/>
    <x v="0"/>
    <x v="2"/>
    <x v="2"/>
    <s v="Swimming Goggles"/>
    <x v="7"/>
    <n v="5"/>
    <n v="885.43"/>
    <n v="0.2"/>
    <n v="3541.72"/>
    <n v="2192.39"/>
    <n v="1349.33"/>
    <s v="Credit Card"/>
    <x v="1"/>
    <n v="4"/>
    <x v="3"/>
  </r>
  <r>
    <s v="ORD100462"/>
    <d v="2025-07-16T00:00:00"/>
    <s v="Decathlon Delhi"/>
    <x v="9"/>
    <x v="0"/>
    <s v="CUST1559"/>
    <s v="Female"/>
    <x v="3"/>
    <x v="0"/>
    <x v="2"/>
    <s v="Swim Cap"/>
    <x v="1"/>
    <n v="4"/>
    <n v="476.64"/>
    <n v="0.1"/>
    <n v="1715.9"/>
    <n v="840.62"/>
    <n v="875.28"/>
    <s v="Credit Card"/>
    <x v="8"/>
    <n v="3"/>
    <x v="8"/>
  </r>
  <r>
    <s v="ORD100463"/>
    <d v="2025-01-31T00:00:00"/>
    <s v="Decathlon Delhi"/>
    <x v="9"/>
    <x v="0"/>
    <s v="CUST1724"/>
    <s v="Male"/>
    <x v="1"/>
    <x v="0"/>
    <x v="0"/>
    <s v="Running T-Shirt"/>
    <x v="7"/>
    <n v="3"/>
    <n v="972.29"/>
    <n v="0.05"/>
    <n v="2771.03"/>
    <n v="1303.1600000000001"/>
    <n v="1467.87"/>
    <s v="Net Banking"/>
    <x v="3"/>
    <n v="5"/>
    <x v="4"/>
  </r>
  <r>
    <s v="ORD100464"/>
    <d v="2025-04-30T00:00:00"/>
    <s v="Decathlon Hyderabad"/>
    <x v="7"/>
    <x v="2"/>
    <s v="CUST1977"/>
    <s v="Female"/>
    <x v="3"/>
    <x v="1"/>
    <x v="3"/>
    <s v="Mountain Bike"/>
    <x v="3"/>
    <n v="5"/>
    <n v="24119.73"/>
    <n v="0.2"/>
    <n v="96478.92"/>
    <n v="89007.37"/>
    <n v="7471.55"/>
    <s v="UPI"/>
    <x v="9"/>
    <n v="5"/>
    <x v="5"/>
  </r>
  <r>
    <s v="ORD100465"/>
    <d v="2025-07-08T00:00:00"/>
    <s v="Decathlon Jaipur"/>
    <x v="0"/>
    <x v="0"/>
    <s v="CUST1454"/>
    <s v="Male"/>
    <x v="1"/>
    <x v="0"/>
    <x v="2"/>
    <s v="Swimming Goggles"/>
    <x v="1"/>
    <n v="3"/>
    <n v="902.93"/>
    <n v="0.25"/>
    <n v="2031.59"/>
    <n v="1401.99"/>
    <n v="629.6"/>
    <s v="Debit Card"/>
    <x v="7"/>
    <n v="4"/>
    <x v="8"/>
  </r>
  <r>
    <s v="ORD100466"/>
    <d v="2025-03-29T00:00:00"/>
    <s v="Decathlon Ahmedabad"/>
    <x v="2"/>
    <x v="1"/>
    <s v="CUST1253"/>
    <s v="Male"/>
    <x v="3"/>
    <x v="0"/>
    <x v="0"/>
    <s v="Running T-Shirt"/>
    <x v="0"/>
    <n v="2"/>
    <n v="1015.57"/>
    <n v="0.05"/>
    <n v="1929.58"/>
    <n v="895.45"/>
    <n v="1034.1300000000001"/>
    <s v="Credit Card"/>
    <x v="8"/>
    <n v="4"/>
    <x v="1"/>
  </r>
  <r>
    <s v="ORD100467"/>
    <d v="2025-12-13T00:00:00"/>
    <s v="Decathlon Jaipur"/>
    <x v="0"/>
    <x v="0"/>
    <s v="CUST1511"/>
    <s v="Male"/>
    <x v="2"/>
    <x v="1"/>
    <x v="2"/>
    <s v="Swimming Goggles"/>
    <x v="3"/>
    <n v="1"/>
    <n v="871.94"/>
    <n v="0.1"/>
    <n v="784.75"/>
    <n v="463.88"/>
    <n v="320.87"/>
    <s v="UPI"/>
    <x v="6"/>
    <n v="3"/>
    <x v="0"/>
  </r>
  <r>
    <s v="ORD100468"/>
    <d v="2025-03-18T00:00:00"/>
    <s v="Decathlon Hyderabad"/>
    <x v="7"/>
    <x v="2"/>
    <s v="CUST1243"/>
    <s v="Male"/>
    <x v="3"/>
    <x v="1"/>
    <x v="3"/>
    <s v="Cycling Gloves"/>
    <x v="4"/>
    <n v="4"/>
    <n v="760.66"/>
    <n v="0.25"/>
    <n v="2281.98"/>
    <n v="1339.11"/>
    <n v="942.87"/>
    <s v="Credit Card"/>
    <x v="7"/>
    <n v="3"/>
    <x v="1"/>
  </r>
  <r>
    <s v="ORD100469"/>
    <d v="2025-11-01T00:00:00"/>
    <s v="Decathlon Chennai"/>
    <x v="3"/>
    <x v="2"/>
    <s v="CUST1548"/>
    <s v="Female"/>
    <x v="0"/>
    <x v="1"/>
    <x v="2"/>
    <s v="Swimsuit"/>
    <x v="4"/>
    <n v="4"/>
    <n v="1424.73"/>
    <n v="0"/>
    <n v="5698.92"/>
    <n v="3555.27"/>
    <n v="2143.65"/>
    <s v="Cash"/>
    <x v="9"/>
    <n v="4"/>
    <x v="2"/>
  </r>
  <r>
    <s v="ORD100470"/>
    <d v="2025-02-23T00:00:00"/>
    <s v="Decathlon Pune"/>
    <x v="1"/>
    <x v="1"/>
    <s v="CUST1910"/>
    <s v="Female"/>
    <x v="0"/>
    <x v="0"/>
    <x v="4"/>
    <s v="Football Boots"/>
    <x v="7"/>
    <n v="2"/>
    <n v="3409.98"/>
    <n v="0.2"/>
    <n v="5455.97"/>
    <n v="4219.68"/>
    <n v="1236.29"/>
    <s v="UPI"/>
    <x v="3"/>
    <n v="5"/>
    <x v="6"/>
  </r>
  <r>
    <s v="ORD100471"/>
    <d v="2025-04-22T00:00:00"/>
    <s v="Decathlon Noida"/>
    <x v="5"/>
    <x v="0"/>
    <s v="CUST1351"/>
    <s v="Female"/>
    <x v="3"/>
    <x v="1"/>
    <x v="0"/>
    <s v="Running Shoes"/>
    <x v="3"/>
    <n v="1"/>
    <n v="4002.48"/>
    <n v="0.05"/>
    <n v="3802.36"/>
    <n v="2123.08"/>
    <n v="1679.28"/>
    <s v="Debit Card"/>
    <x v="7"/>
    <n v="4"/>
    <x v="5"/>
  </r>
  <r>
    <s v="ORD100472"/>
    <d v="2025-05-08T00:00:00"/>
    <s v="Decathlon Pune"/>
    <x v="1"/>
    <x v="1"/>
    <s v="CUST1903"/>
    <s v="Female"/>
    <x v="2"/>
    <x v="1"/>
    <x v="2"/>
    <s v="Swimsuit"/>
    <x v="1"/>
    <n v="1"/>
    <n v="1486.21"/>
    <n v="0.05"/>
    <n v="1411.9"/>
    <n v="811.26"/>
    <n v="600.64"/>
    <s v="Cash"/>
    <x v="2"/>
    <n v="5"/>
    <x v="10"/>
  </r>
  <r>
    <s v="ORD100473"/>
    <d v="2025-08-05T00:00:00"/>
    <s v="Decathlon Ahmedabad"/>
    <x v="2"/>
    <x v="1"/>
    <s v="CUST1224"/>
    <s v="Female"/>
    <x v="2"/>
    <x v="1"/>
    <x v="4"/>
    <s v="Football"/>
    <x v="6"/>
    <n v="5"/>
    <n v="1260.9000000000001"/>
    <n v="0.1"/>
    <n v="5674.05"/>
    <n v="3611.65"/>
    <n v="2062.4"/>
    <s v="Net Banking"/>
    <x v="8"/>
    <n v="4"/>
    <x v="3"/>
  </r>
  <r>
    <s v="ORD100474"/>
    <d v="2025-01-13T00:00:00"/>
    <s v="Decathlon Bengaluru"/>
    <x v="4"/>
    <x v="2"/>
    <s v="CUST1972"/>
    <s v="Male"/>
    <x v="0"/>
    <x v="2"/>
    <x v="1"/>
    <s v="Resistance Band"/>
    <x v="5"/>
    <n v="1"/>
    <n v="907.65"/>
    <n v="0.15"/>
    <n v="771.5"/>
    <n v="415.99"/>
    <n v="355.51"/>
    <s v="UPI"/>
    <x v="3"/>
    <n v="3"/>
    <x v="4"/>
  </r>
  <r>
    <s v="ORD100475"/>
    <d v="2025-09-02T00:00:00"/>
    <s v="Decathlon Hyderabad"/>
    <x v="7"/>
    <x v="2"/>
    <s v="CUST1793"/>
    <s v="Male"/>
    <x v="1"/>
    <x v="2"/>
    <x v="0"/>
    <s v="Running Shoes"/>
    <x v="1"/>
    <n v="3"/>
    <n v="4167.7"/>
    <n v="0.05"/>
    <n v="11877.94"/>
    <n v="6707.63"/>
    <n v="5170.3100000000004"/>
    <s v="UPI"/>
    <x v="4"/>
    <n v="3"/>
    <x v="7"/>
  </r>
  <r>
    <s v="ORD100476"/>
    <d v="2025-02-15T00:00:00"/>
    <s v="Decathlon Delhi"/>
    <x v="9"/>
    <x v="0"/>
    <s v="CUST1093"/>
    <s v="Female"/>
    <x v="0"/>
    <x v="1"/>
    <x v="3"/>
    <s v="Cycling Gloves"/>
    <x v="0"/>
    <n v="3"/>
    <n v="784.95"/>
    <n v="0.05"/>
    <n v="2237.11"/>
    <n v="1081.22"/>
    <n v="1155.8900000000001"/>
    <s v="UPI"/>
    <x v="8"/>
    <n v="3"/>
    <x v="6"/>
  </r>
  <r>
    <s v="ORD100477"/>
    <d v="2025-05-10T00:00:00"/>
    <s v="Decathlon Bengaluru"/>
    <x v="4"/>
    <x v="2"/>
    <s v="CUST1812"/>
    <s v="Female"/>
    <x v="1"/>
    <x v="0"/>
    <x v="1"/>
    <s v="Yoga Block"/>
    <x v="3"/>
    <n v="4"/>
    <n v="595.22"/>
    <n v="0.1"/>
    <n v="2142.79"/>
    <n v="1090.45"/>
    <n v="1052.3399999999999"/>
    <s v="UPI"/>
    <x v="1"/>
    <n v="3"/>
    <x v="10"/>
  </r>
  <r>
    <s v="ORD100478"/>
    <d v="2025-12-31T00:00:00"/>
    <s v="Decathlon Bengaluru"/>
    <x v="4"/>
    <x v="2"/>
    <s v="CUST1318"/>
    <s v="Male"/>
    <x v="1"/>
    <x v="1"/>
    <x v="5"/>
    <s v="Backpack"/>
    <x v="0"/>
    <n v="2"/>
    <n v="2945.45"/>
    <n v="0.1"/>
    <n v="5301.81"/>
    <n v="3369.1"/>
    <n v="1932.71"/>
    <s v="Net Banking"/>
    <x v="1"/>
    <n v="5"/>
    <x v="0"/>
  </r>
  <r>
    <s v="ORD100479"/>
    <d v="2025-02-20T00:00:00"/>
    <s v="Decathlon Hyderabad"/>
    <x v="7"/>
    <x v="2"/>
    <s v="CUST1809"/>
    <s v="Male"/>
    <x v="2"/>
    <x v="0"/>
    <x v="1"/>
    <s v="Yoga Block"/>
    <x v="2"/>
    <n v="3"/>
    <n v="623.16"/>
    <n v="0.15"/>
    <n v="1589.06"/>
    <n v="751.6"/>
    <n v="837.46"/>
    <s v="Net Banking"/>
    <x v="5"/>
    <n v="5"/>
    <x v="6"/>
  </r>
  <r>
    <s v="ORD100480"/>
    <d v="2025-11-19T00:00:00"/>
    <s v="Decathlon Chennai"/>
    <x v="3"/>
    <x v="2"/>
    <s v="CUST1673"/>
    <s v="Male"/>
    <x v="0"/>
    <x v="1"/>
    <x v="1"/>
    <s v="Resistance Band"/>
    <x v="3"/>
    <n v="5"/>
    <n v="925.98"/>
    <n v="0.05"/>
    <n v="4398.3999999999996"/>
    <n v="1913.71"/>
    <n v="2484.69"/>
    <s v="Credit Card"/>
    <x v="6"/>
    <n v="5"/>
    <x v="2"/>
  </r>
  <r>
    <s v="ORD100481"/>
    <d v="2025-02-26T00:00:00"/>
    <s v="Decathlon Bengaluru"/>
    <x v="4"/>
    <x v="2"/>
    <s v="CUST1707"/>
    <s v="Female"/>
    <x v="3"/>
    <x v="0"/>
    <x v="3"/>
    <s v="Cycling Gloves"/>
    <x v="5"/>
    <n v="4"/>
    <n v="805.31"/>
    <n v="0.25"/>
    <n v="2415.9299999999998"/>
    <n v="1357.24"/>
    <n v="1058.69"/>
    <s v="Net Banking"/>
    <x v="1"/>
    <n v="4"/>
    <x v="6"/>
  </r>
  <r>
    <s v="ORD100482"/>
    <d v="2025-06-27T00:00:00"/>
    <s v="Decathlon Mumbai"/>
    <x v="6"/>
    <x v="1"/>
    <s v="CUST1562"/>
    <s v="Female"/>
    <x v="0"/>
    <x v="0"/>
    <x v="4"/>
    <s v="Football Boots"/>
    <x v="3"/>
    <n v="4"/>
    <n v="3574.46"/>
    <n v="0.25"/>
    <n v="10723.38"/>
    <n v="8233.41"/>
    <n v="2489.9699999999998"/>
    <s v="Credit Card"/>
    <x v="2"/>
    <n v="5"/>
    <x v="11"/>
  </r>
  <r>
    <s v="ORD100483"/>
    <d v="2025-06-07T00:00:00"/>
    <s v="Decathlon Jaipur"/>
    <x v="0"/>
    <x v="0"/>
    <s v="CUST1724"/>
    <s v="Female"/>
    <x v="2"/>
    <x v="2"/>
    <x v="0"/>
    <s v="Running T-Shirt"/>
    <x v="3"/>
    <n v="1"/>
    <n v="953.14"/>
    <n v="0.1"/>
    <n v="857.83"/>
    <n v="450.32"/>
    <n v="407.51"/>
    <s v="Debit Card"/>
    <x v="9"/>
    <n v="4"/>
    <x v="11"/>
  </r>
  <r>
    <s v="ORD100484"/>
    <d v="2025-12-09T00:00:00"/>
    <s v="Decathlon Delhi"/>
    <x v="9"/>
    <x v="0"/>
    <s v="CUST1340"/>
    <s v="Female"/>
    <x v="1"/>
    <x v="2"/>
    <x v="4"/>
    <s v="Shin Guards"/>
    <x v="7"/>
    <n v="1"/>
    <n v="1019.81"/>
    <n v="0.05"/>
    <n v="968.82"/>
    <n v="476.38"/>
    <n v="492.44"/>
    <s v="UPI"/>
    <x v="9"/>
    <n v="4"/>
    <x v="0"/>
  </r>
  <r>
    <s v="ORD100485"/>
    <d v="2025-03-08T00:00:00"/>
    <s v="Decathlon Mumbai"/>
    <x v="6"/>
    <x v="1"/>
    <s v="CUST1788"/>
    <s v="Female"/>
    <x v="1"/>
    <x v="0"/>
    <x v="3"/>
    <s v="Mountain Bike"/>
    <x v="0"/>
    <n v="4"/>
    <n v="24450.94"/>
    <n v="0.2"/>
    <n v="78243.009999999995"/>
    <n v="73784.39"/>
    <n v="4458.62"/>
    <s v="UPI"/>
    <x v="7"/>
    <n v="4"/>
    <x v="1"/>
  </r>
  <r>
    <s v="ORD100486"/>
    <d v="2025-11-27T00:00:00"/>
    <s v="Decathlon Ahmedabad"/>
    <x v="2"/>
    <x v="1"/>
    <s v="CUST1266"/>
    <s v="Male"/>
    <x v="1"/>
    <x v="0"/>
    <x v="1"/>
    <s v="Yoga Mat"/>
    <x v="2"/>
    <n v="1"/>
    <n v="1508.12"/>
    <n v="0.05"/>
    <n v="1432.71"/>
    <n v="685.07"/>
    <n v="747.64"/>
    <s v="Debit Card"/>
    <x v="2"/>
    <n v="5"/>
    <x v="2"/>
  </r>
  <r>
    <s v="ORD100487"/>
    <d v="2025-01-10T00:00:00"/>
    <s v="Decathlon Ahmedabad"/>
    <x v="2"/>
    <x v="1"/>
    <s v="CUST1281"/>
    <s v="Female"/>
    <x v="2"/>
    <x v="0"/>
    <x v="1"/>
    <s v="Yoga Mat"/>
    <x v="4"/>
    <n v="2"/>
    <n v="1472.65"/>
    <n v="0.15"/>
    <n v="2503.5100000000002"/>
    <n v="1363.56"/>
    <n v="1139.95"/>
    <s v="Debit Card"/>
    <x v="8"/>
    <n v="3"/>
    <x v="4"/>
  </r>
  <r>
    <s v="ORD100488"/>
    <d v="2025-09-17T00:00:00"/>
    <s v="Decathlon Mumbai"/>
    <x v="6"/>
    <x v="1"/>
    <s v="CUST1015"/>
    <s v="Male"/>
    <x v="0"/>
    <x v="0"/>
    <x v="3"/>
    <s v="Mountain Bike"/>
    <x v="6"/>
    <n v="2"/>
    <n v="24106.9"/>
    <n v="0.1"/>
    <n v="43392.42"/>
    <n v="35480.22"/>
    <n v="7912.2"/>
    <s v="Net Banking"/>
    <x v="6"/>
    <n v="3"/>
    <x v="7"/>
  </r>
  <r>
    <s v="ORD100489"/>
    <d v="2025-11-06T00:00:00"/>
    <s v="Decathlon Noida"/>
    <x v="5"/>
    <x v="0"/>
    <s v="CUST1853"/>
    <s v="Male"/>
    <x v="2"/>
    <x v="1"/>
    <x v="5"/>
    <s v="Backpack"/>
    <x v="7"/>
    <n v="1"/>
    <n v="3042.64"/>
    <n v="0"/>
    <n v="3042.64"/>
    <n v="1627.23"/>
    <n v="1415.41"/>
    <s v="Net Banking"/>
    <x v="7"/>
    <n v="5"/>
    <x v="2"/>
  </r>
  <r>
    <s v="ORD100490"/>
    <d v="2025-12-20T00:00:00"/>
    <s v="Decathlon Bengaluru"/>
    <x v="4"/>
    <x v="2"/>
    <s v="CUST1953"/>
    <s v="Male"/>
    <x v="2"/>
    <x v="1"/>
    <x v="3"/>
    <s v="Helmet"/>
    <x v="7"/>
    <n v="2"/>
    <n v="2043.5"/>
    <n v="0.1"/>
    <n v="3678.3"/>
    <n v="2286.6799999999998"/>
    <n v="1391.62"/>
    <s v="Net Banking"/>
    <x v="5"/>
    <n v="4"/>
    <x v="0"/>
  </r>
  <r>
    <s v="ORD100491"/>
    <d v="2025-10-12T00:00:00"/>
    <s v="Decathlon Hyderabad"/>
    <x v="7"/>
    <x v="2"/>
    <s v="CUST1817"/>
    <s v="Male"/>
    <x v="2"/>
    <x v="2"/>
    <x v="3"/>
    <s v="Helmet"/>
    <x v="2"/>
    <n v="2"/>
    <n v="1985.38"/>
    <n v="0.2"/>
    <n v="3176.61"/>
    <n v="2213.56"/>
    <n v="963.05"/>
    <s v="Credit Card"/>
    <x v="2"/>
    <n v="4"/>
    <x v="9"/>
  </r>
  <r>
    <s v="ORD100492"/>
    <d v="2025-12-09T00:00:00"/>
    <s v="Decathlon Noida"/>
    <x v="5"/>
    <x v="0"/>
    <s v="CUST1098"/>
    <s v="Male"/>
    <x v="3"/>
    <x v="0"/>
    <x v="2"/>
    <s v="Swimming Goggles"/>
    <x v="1"/>
    <n v="5"/>
    <n v="893.76"/>
    <n v="0.05"/>
    <n v="4245.3599999999997"/>
    <n v="2204.5"/>
    <n v="2040.86"/>
    <s v="Credit Card"/>
    <x v="9"/>
    <n v="5"/>
    <x v="0"/>
  </r>
  <r>
    <s v="ORD100493"/>
    <d v="2025-12-06T00:00:00"/>
    <s v="Decathlon Jaipur"/>
    <x v="0"/>
    <x v="0"/>
    <s v="CUST1620"/>
    <s v="Male"/>
    <x v="2"/>
    <x v="1"/>
    <x v="3"/>
    <s v="Helmet"/>
    <x v="5"/>
    <n v="5"/>
    <n v="1903.32"/>
    <n v="0.05"/>
    <n v="9040.77"/>
    <n v="5263.46"/>
    <n v="3777.31"/>
    <s v="Debit Card"/>
    <x v="8"/>
    <n v="4"/>
    <x v="0"/>
  </r>
  <r>
    <s v="ORD100494"/>
    <d v="2025-03-11T00:00:00"/>
    <s v="Decathlon Noida"/>
    <x v="5"/>
    <x v="0"/>
    <s v="CUST1469"/>
    <s v="Male"/>
    <x v="3"/>
    <x v="1"/>
    <x v="5"/>
    <s v="Trekking Shoes"/>
    <x v="7"/>
    <n v="4"/>
    <n v="4978.54"/>
    <n v="0.2"/>
    <n v="15931.33"/>
    <n v="12496.33"/>
    <n v="3435"/>
    <s v="Net Banking"/>
    <x v="5"/>
    <n v="4"/>
    <x v="1"/>
  </r>
  <r>
    <s v="ORD100495"/>
    <d v="2025-05-18T00:00:00"/>
    <s v="Decathlon Delhi"/>
    <x v="9"/>
    <x v="0"/>
    <s v="CUST1526"/>
    <s v="Male"/>
    <x v="3"/>
    <x v="1"/>
    <x v="1"/>
    <s v="Yoga Block"/>
    <x v="6"/>
    <n v="5"/>
    <n v="604.84"/>
    <n v="0.3"/>
    <n v="2116.94"/>
    <n v="1304.48"/>
    <n v="812.46"/>
    <s v="UPI"/>
    <x v="3"/>
    <n v="5"/>
    <x v="10"/>
  </r>
  <r>
    <s v="ORD100496"/>
    <d v="2025-11-24T00:00:00"/>
    <s v="Decathlon Delhi"/>
    <x v="9"/>
    <x v="0"/>
    <s v="CUST1925"/>
    <s v="Male"/>
    <x v="0"/>
    <x v="2"/>
    <x v="0"/>
    <s v="Running T-Shirt"/>
    <x v="1"/>
    <n v="3"/>
    <n v="1042.42"/>
    <n v="0"/>
    <n v="3127.26"/>
    <n v="1415.94"/>
    <n v="1711.32"/>
    <s v="Cash"/>
    <x v="1"/>
    <n v="4"/>
    <x v="2"/>
  </r>
  <r>
    <s v="ORD100497"/>
    <d v="2025-06-21T00:00:00"/>
    <s v="Decathlon Ahmedabad"/>
    <x v="2"/>
    <x v="1"/>
    <s v="CUST1674"/>
    <s v="Male"/>
    <x v="3"/>
    <x v="2"/>
    <x v="1"/>
    <s v="Yoga Mat"/>
    <x v="0"/>
    <n v="2"/>
    <n v="1569.07"/>
    <n v="0.15"/>
    <n v="2667.42"/>
    <n v="1392.65"/>
    <n v="1274.77"/>
    <s v="Debit Card"/>
    <x v="2"/>
    <n v="5"/>
    <x v="11"/>
  </r>
  <r>
    <s v="ORD100498"/>
    <d v="2025-04-16T00:00:00"/>
    <s v="Decathlon Delhi"/>
    <x v="9"/>
    <x v="0"/>
    <s v="CUST1359"/>
    <s v="Male"/>
    <x v="3"/>
    <x v="0"/>
    <x v="3"/>
    <s v="Mountain Bike"/>
    <x v="2"/>
    <n v="1"/>
    <n v="25900.33"/>
    <n v="0"/>
    <n v="25900.33"/>
    <n v="18361.79"/>
    <n v="7538.54"/>
    <s v="UPI"/>
    <x v="5"/>
    <n v="3"/>
    <x v="5"/>
  </r>
  <r>
    <s v="ORD100499"/>
    <d v="2025-08-07T00:00:00"/>
    <s v="Decathlon Mumbai"/>
    <x v="6"/>
    <x v="1"/>
    <s v="CUST1610"/>
    <s v="Male"/>
    <x v="0"/>
    <x v="0"/>
    <x v="2"/>
    <s v="Swimsuit"/>
    <x v="0"/>
    <n v="3"/>
    <n v="1436.04"/>
    <n v="0.25"/>
    <n v="3231.09"/>
    <n v="2578.4499999999998"/>
    <n v="652.64"/>
    <s v="Debit Card"/>
    <x v="8"/>
    <n v="5"/>
    <x v="3"/>
  </r>
  <r>
    <s v="ORD100500"/>
    <d v="2025-08-29T00:00:00"/>
    <s v="Decathlon Delhi"/>
    <x v="9"/>
    <x v="0"/>
    <s v="CUST1162"/>
    <s v="Female"/>
    <x v="3"/>
    <x v="0"/>
    <x v="2"/>
    <s v="Swimsuit"/>
    <x v="5"/>
    <n v="1"/>
    <n v="1484.53"/>
    <n v="0"/>
    <n v="1484.53"/>
    <n v="862.89"/>
    <n v="621.64"/>
    <s v="Credit Card"/>
    <x v="5"/>
    <n v="3"/>
    <x v="3"/>
  </r>
  <r>
    <s v="ORD100501"/>
    <d v="2025-06-02T00:00:00"/>
    <s v="Decathlon Hyderabad"/>
    <x v="7"/>
    <x v="2"/>
    <s v="CUST1761"/>
    <s v="Female"/>
    <x v="2"/>
    <x v="2"/>
    <x v="3"/>
    <s v="Mountain Bike"/>
    <x v="4"/>
    <n v="5"/>
    <n v="25085.759999999998"/>
    <n v="0"/>
    <n v="125428.8"/>
    <n v="91396.26"/>
    <n v="34032.54"/>
    <s v="Debit Card"/>
    <x v="2"/>
    <n v="4"/>
    <x v="11"/>
  </r>
  <r>
    <s v="ORD100502"/>
    <d v="2025-03-18T00:00:00"/>
    <s v="Decathlon Gurugram"/>
    <x v="8"/>
    <x v="0"/>
    <s v="CUST1554"/>
    <s v="Male"/>
    <x v="1"/>
    <x v="1"/>
    <x v="0"/>
    <s v="Running T-Shirt"/>
    <x v="5"/>
    <n v="4"/>
    <n v="1000.4"/>
    <n v="0.25"/>
    <n v="3001.2"/>
    <n v="1884.44"/>
    <n v="1116.76"/>
    <s v="Cash"/>
    <x v="4"/>
    <n v="4"/>
    <x v="1"/>
  </r>
  <r>
    <s v="ORD100503"/>
    <d v="2025-02-26T00:00:00"/>
    <s v="Decathlon Delhi"/>
    <x v="9"/>
    <x v="0"/>
    <s v="CUST1299"/>
    <s v="Male"/>
    <x v="1"/>
    <x v="2"/>
    <x v="5"/>
    <s v="Water Bottle"/>
    <x v="5"/>
    <n v="4"/>
    <n v="699.78"/>
    <n v="0.3"/>
    <n v="1959.38"/>
    <n v="1020.79"/>
    <n v="938.59"/>
    <s v="UPI"/>
    <x v="4"/>
    <n v="4"/>
    <x v="6"/>
  </r>
  <r>
    <s v="ORD100504"/>
    <d v="2025-04-23T00:00:00"/>
    <s v="Decathlon Chennai"/>
    <x v="3"/>
    <x v="2"/>
    <s v="CUST1312"/>
    <s v="Female"/>
    <x v="0"/>
    <x v="2"/>
    <x v="0"/>
    <s v="Fitness Band"/>
    <x v="7"/>
    <n v="5"/>
    <n v="2398.34"/>
    <n v="0.1"/>
    <n v="10792.53"/>
    <n v="7339.9"/>
    <n v="3452.63"/>
    <s v="UPI"/>
    <x v="5"/>
    <n v="3"/>
    <x v="5"/>
  </r>
  <r>
    <s v="ORD100505"/>
    <d v="2025-04-17T00:00:00"/>
    <s v="Decathlon Delhi"/>
    <x v="9"/>
    <x v="0"/>
    <s v="CUST1601"/>
    <s v="Male"/>
    <x v="2"/>
    <x v="2"/>
    <x v="4"/>
    <s v="Football Boots"/>
    <x v="4"/>
    <n v="4"/>
    <n v="3625.99"/>
    <n v="0.05"/>
    <n v="13778.76"/>
    <n v="8814.65"/>
    <n v="4964.1099999999997"/>
    <s v="Cash"/>
    <x v="1"/>
    <n v="4"/>
    <x v="5"/>
  </r>
  <r>
    <s v="ORD100506"/>
    <d v="2025-11-09T00:00:00"/>
    <s v="Decathlon Gurugram"/>
    <x v="8"/>
    <x v="0"/>
    <s v="CUST1786"/>
    <s v="Male"/>
    <x v="0"/>
    <x v="1"/>
    <x v="3"/>
    <s v="Cycling Gloves"/>
    <x v="5"/>
    <n v="5"/>
    <n v="778.57"/>
    <n v="0.2"/>
    <n v="3114.28"/>
    <n v="1747.38"/>
    <n v="1366.9"/>
    <s v="Net Banking"/>
    <x v="3"/>
    <n v="4"/>
    <x v="2"/>
  </r>
  <r>
    <s v="ORD100507"/>
    <d v="2025-12-12T00:00:00"/>
    <s v="Decathlon Delhi"/>
    <x v="9"/>
    <x v="0"/>
    <s v="CUST1262"/>
    <s v="Male"/>
    <x v="0"/>
    <x v="1"/>
    <x v="5"/>
    <s v="Backpack"/>
    <x v="0"/>
    <n v="3"/>
    <n v="3120.76"/>
    <n v="0.15"/>
    <n v="7957.94"/>
    <n v="5070.4399999999996"/>
    <n v="2887.5"/>
    <s v="Cash"/>
    <x v="4"/>
    <n v="4"/>
    <x v="0"/>
  </r>
  <r>
    <s v="ORD100508"/>
    <d v="2025-02-14T00:00:00"/>
    <s v="Decathlon Noida"/>
    <x v="5"/>
    <x v="0"/>
    <s v="CUST1624"/>
    <s v="Female"/>
    <x v="1"/>
    <x v="2"/>
    <x v="5"/>
    <s v="Water Bottle"/>
    <x v="1"/>
    <n v="3"/>
    <n v="680.39"/>
    <n v="0.1"/>
    <n v="1837.05"/>
    <n v="714.57"/>
    <n v="1122.48"/>
    <s v="Net Banking"/>
    <x v="8"/>
    <n v="4"/>
    <x v="6"/>
  </r>
  <r>
    <s v="ORD100509"/>
    <d v="2025-04-29T00:00:00"/>
    <s v="Decathlon Bengaluru"/>
    <x v="4"/>
    <x v="2"/>
    <s v="CUST1063"/>
    <s v="Male"/>
    <x v="3"/>
    <x v="1"/>
    <x v="4"/>
    <s v="Football"/>
    <x v="2"/>
    <n v="2"/>
    <n v="1350.61"/>
    <n v="0.05"/>
    <n v="2566.16"/>
    <n v="1455.59"/>
    <n v="1110.57"/>
    <s v="Net Banking"/>
    <x v="4"/>
    <n v="5"/>
    <x v="5"/>
  </r>
  <r>
    <s v="ORD100510"/>
    <d v="2025-05-17T00:00:00"/>
    <s v="Decathlon Delhi"/>
    <x v="9"/>
    <x v="0"/>
    <s v="CUST1636"/>
    <s v="Female"/>
    <x v="1"/>
    <x v="1"/>
    <x v="0"/>
    <s v="Running Shoes"/>
    <x v="2"/>
    <n v="4"/>
    <n v="3835.34"/>
    <n v="0.25"/>
    <n v="11506.02"/>
    <n v="8861.44"/>
    <n v="2644.58"/>
    <s v="Credit Card"/>
    <x v="6"/>
    <n v="5"/>
    <x v="10"/>
  </r>
  <r>
    <s v="ORD100511"/>
    <d v="2025-07-11T00:00:00"/>
    <s v="Decathlon Ahmedabad"/>
    <x v="2"/>
    <x v="1"/>
    <s v="CUST1827"/>
    <s v="Female"/>
    <x v="1"/>
    <x v="2"/>
    <x v="1"/>
    <s v="Yoga Mat"/>
    <x v="2"/>
    <n v="5"/>
    <n v="1540.58"/>
    <n v="0.3"/>
    <n v="5392.03"/>
    <n v="3341.67"/>
    <n v="2050.36"/>
    <s v="UPI"/>
    <x v="4"/>
    <n v="5"/>
    <x v="8"/>
  </r>
  <r>
    <s v="ORD100512"/>
    <d v="2025-09-27T00:00:00"/>
    <s v="Decathlon Jaipur"/>
    <x v="0"/>
    <x v="0"/>
    <s v="CUST1405"/>
    <s v="Male"/>
    <x v="2"/>
    <x v="0"/>
    <x v="2"/>
    <s v="Swimsuit"/>
    <x v="3"/>
    <n v="5"/>
    <n v="1550.84"/>
    <n v="0.1"/>
    <n v="6978.78"/>
    <n v="4061.37"/>
    <n v="2917.41"/>
    <s v="UPI"/>
    <x v="9"/>
    <n v="5"/>
    <x v="7"/>
  </r>
  <r>
    <s v="ORD100513"/>
    <d v="2025-09-13T00:00:00"/>
    <s v="Decathlon Jaipur"/>
    <x v="0"/>
    <x v="0"/>
    <s v="CUST1966"/>
    <s v="Female"/>
    <x v="2"/>
    <x v="2"/>
    <x v="3"/>
    <s v="Mountain Bike"/>
    <x v="6"/>
    <n v="3"/>
    <n v="25621.39"/>
    <n v="0.1"/>
    <n v="69177.75"/>
    <n v="51610.96"/>
    <n v="17566.79"/>
    <s v="Net Banking"/>
    <x v="9"/>
    <n v="4"/>
    <x v="7"/>
  </r>
  <r>
    <s v="ORD100514"/>
    <d v="2025-12-20T00:00:00"/>
    <s v="Decathlon Bengaluru"/>
    <x v="4"/>
    <x v="2"/>
    <s v="CUST1167"/>
    <s v="Male"/>
    <x v="2"/>
    <x v="0"/>
    <x v="1"/>
    <s v="Yoga Mat"/>
    <x v="7"/>
    <n v="4"/>
    <n v="1488.06"/>
    <n v="0.15"/>
    <n v="5059.3999999999996"/>
    <n v="2665.22"/>
    <n v="2394.1799999999998"/>
    <s v="Debit Card"/>
    <x v="1"/>
    <n v="4"/>
    <x v="0"/>
  </r>
  <r>
    <s v="ORD100515"/>
    <d v="2025-05-10T00:00:00"/>
    <s v="Decathlon Delhi"/>
    <x v="9"/>
    <x v="0"/>
    <s v="CUST1125"/>
    <s v="Female"/>
    <x v="1"/>
    <x v="0"/>
    <x v="0"/>
    <s v="Running T-Shirt"/>
    <x v="3"/>
    <n v="5"/>
    <n v="1016.94"/>
    <n v="0"/>
    <n v="5084.7"/>
    <n v="2256.23"/>
    <n v="2828.47"/>
    <s v="Cash"/>
    <x v="5"/>
    <n v="4"/>
    <x v="10"/>
  </r>
  <r>
    <s v="ORD100516"/>
    <d v="2025-04-02T00:00:00"/>
    <s v="Decathlon Delhi"/>
    <x v="9"/>
    <x v="0"/>
    <s v="CUST1027"/>
    <s v="Male"/>
    <x v="0"/>
    <x v="2"/>
    <x v="2"/>
    <s v="Swim Cap"/>
    <x v="1"/>
    <n v="1"/>
    <n v="475.74"/>
    <n v="0.2"/>
    <n v="380.59"/>
    <n v="209.27"/>
    <n v="171.32"/>
    <s v="Credit Card"/>
    <x v="1"/>
    <n v="4"/>
    <x v="5"/>
  </r>
  <r>
    <s v="ORD100517"/>
    <d v="2025-01-08T00:00:00"/>
    <s v="Decathlon Chennai"/>
    <x v="3"/>
    <x v="2"/>
    <s v="CUST1891"/>
    <s v="Female"/>
    <x v="2"/>
    <x v="2"/>
    <x v="2"/>
    <s v="Swimming Goggles"/>
    <x v="7"/>
    <n v="3"/>
    <n v="873.81"/>
    <n v="0.1"/>
    <n v="2359.29"/>
    <n v="1410.52"/>
    <n v="948.77"/>
    <s v="Debit Card"/>
    <x v="1"/>
    <n v="3"/>
    <x v="4"/>
  </r>
  <r>
    <s v="ORD100518"/>
    <d v="2025-03-18T00:00:00"/>
    <s v="Decathlon Mumbai"/>
    <x v="6"/>
    <x v="1"/>
    <s v="CUST1695"/>
    <s v="Female"/>
    <x v="1"/>
    <x v="1"/>
    <x v="0"/>
    <s v="Running Shoes"/>
    <x v="4"/>
    <n v="4"/>
    <n v="4126.7299999999996"/>
    <n v="0.1"/>
    <n v="14856.23"/>
    <n v="8620.15"/>
    <n v="6236.08"/>
    <s v="UPI"/>
    <x v="8"/>
    <n v="4"/>
    <x v="1"/>
  </r>
  <r>
    <s v="ORD100519"/>
    <d v="2025-12-05T00:00:00"/>
    <s v="Decathlon Bengaluru"/>
    <x v="4"/>
    <x v="2"/>
    <s v="CUST1645"/>
    <s v="Female"/>
    <x v="1"/>
    <x v="2"/>
    <x v="0"/>
    <s v="Running Shoes"/>
    <x v="6"/>
    <n v="3"/>
    <n v="3971.29"/>
    <n v="0.05"/>
    <n v="11318.18"/>
    <n v="6398.68"/>
    <n v="4919.5"/>
    <s v="UPI"/>
    <x v="1"/>
    <n v="5"/>
    <x v="0"/>
  </r>
  <r>
    <s v="ORD100520"/>
    <d v="2025-11-03T00:00:00"/>
    <s v="Decathlon Mumbai"/>
    <x v="6"/>
    <x v="1"/>
    <s v="CUST1878"/>
    <s v="Male"/>
    <x v="2"/>
    <x v="1"/>
    <x v="0"/>
    <s v="Running Shoes"/>
    <x v="0"/>
    <n v="3"/>
    <n v="3824.67"/>
    <n v="0.05"/>
    <n v="10900.31"/>
    <n v="6667.44"/>
    <n v="4232.87"/>
    <s v="Credit Card"/>
    <x v="0"/>
    <n v="3"/>
    <x v="2"/>
  </r>
  <r>
    <s v="ORD100521"/>
    <d v="2025-11-09T00:00:00"/>
    <s v="Decathlon Mumbai"/>
    <x v="6"/>
    <x v="1"/>
    <s v="CUST1106"/>
    <s v="Male"/>
    <x v="2"/>
    <x v="1"/>
    <x v="5"/>
    <s v="Backpack"/>
    <x v="0"/>
    <n v="5"/>
    <n v="3004.84"/>
    <n v="0.1"/>
    <n v="13521.78"/>
    <n v="8547.39"/>
    <n v="4974.3900000000003"/>
    <s v="Credit Card"/>
    <x v="2"/>
    <n v="3"/>
    <x v="2"/>
  </r>
  <r>
    <s v="ORD100522"/>
    <d v="2025-09-03T00:00:00"/>
    <s v="Decathlon Hyderabad"/>
    <x v="7"/>
    <x v="2"/>
    <s v="CUST1785"/>
    <s v="Male"/>
    <x v="2"/>
    <x v="0"/>
    <x v="2"/>
    <s v="Swimming Goggles"/>
    <x v="4"/>
    <n v="3"/>
    <n v="883.73"/>
    <n v="0.05"/>
    <n v="2518.63"/>
    <n v="1334.36"/>
    <n v="1184.27"/>
    <s v="Credit Card"/>
    <x v="3"/>
    <n v="4"/>
    <x v="7"/>
  </r>
  <r>
    <s v="ORD100523"/>
    <d v="2025-08-12T00:00:00"/>
    <s v="Decathlon Delhi"/>
    <x v="9"/>
    <x v="0"/>
    <s v="CUST1144"/>
    <s v="Male"/>
    <x v="3"/>
    <x v="1"/>
    <x v="5"/>
    <s v="Trekking Shoes"/>
    <x v="2"/>
    <n v="1"/>
    <n v="5221.91"/>
    <n v="0.3"/>
    <n v="3655.34"/>
    <n v="3085.17"/>
    <n v="570.16999999999996"/>
    <s v="Debit Card"/>
    <x v="3"/>
    <n v="3"/>
    <x v="3"/>
  </r>
  <r>
    <s v="ORD100524"/>
    <d v="2025-02-08T00:00:00"/>
    <s v="Decathlon Bengaluru"/>
    <x v="4"/>
    <x v="2"/>
    <s v="CUST1191"/>
    <s v="Female"/>
    <x v="3"/>
    <x v="1"/>
    <x v="2"/>
    <s v="Swimsuit"/>
    <x v="3"/>
    <n v="2"/>
    <n v="1510.91"/>
    <n v="0.15"/>
    <n v="2568.5500000000002"/>
    <n v="1617.58"/>
    <n v="950.97"/>
    <s v="UPI"/>
    <x v="8"/>
    <n v="5"/>
    <x v="6"/>
  </r>
  <r>
    <s v="ORD100525"/>
    <d v="2025-08-25T00:00:00"/>
    <s v="Decathlon Pune"/>
    <x v="1"/>
    <x v="1"/>
    <s v="CUST1265"/>
    <s v="Male"/>
    <x v="0"/>
    <x v="0"/>
    <x v="3"/>
    <s v="Cycling Gloves"/>
    <x v="6"/>
    <n v="2"/>
    <n v="837.8"/>
    <n v="0.3"/>
    <n v="1172.92"/>
    <n v="683.28"/>
    <n v="489.64"/>
    <s v="Cash"/>
    <x v="5"/>
    <n v="3"/>
    <x v="3"/>
  </r>
  <r>
    <s v="ORD100526"/>
    <d v="2025-05-02T00:00:00"/>
    <s v="Decathlon Hyderabad"/>
    <x v="7"/>
    <x v="2"/>
    <s v="CUST1658"/>
    <s v="Male"/>
    <x v="2"/>
    <x v="0"/>
    <x v="4"/>
    <s v="Football Boots"/>
    <x v="3"/>
    <n v="3"/>
    <n v="3405.92"/>
    <n v="0.2"/>
    <n v="8174.21"/>
    <n v="6598.22"/>
    <n v="1575.99"/>
    <s v="Net Banking"/>
    <x v="3"/>
    <n v="4"/>
    <x v="10"/>
  </r>
  <r>
    <s v="ORD100527"/>
    <d v="2025-05-07T00:00:00"/>
    <s v="Decathlon Bengaluru"/>
    <x v="4"/>
    <x v="2"/>
    <s v="CUST1617"/>
    <s v="Male"/>
    <x v="1"/>
    <x v="0"/>
    <x v="3"/>
    <s v="Helmet"/>
    <x v="1"/>
    <n v="5"/>
    <n v="1899.89"/>
    <n v="0.05"/>
    <n v="9024.48"/>
    <n v="5712.69"/>
    <n v="3311.79"/>
    <s v="Cash"/>
    <x v="1"/>
    <n v="4"/>
    <x v="10"/>
  </r>
  <r>
    <s v="ORD100528"/>
    <d v="2025-10-26T00:00:00"/>
    <s v="Decathlon Mumbai"/>
    <x v="6"/>
    <x v="1"/>
    <s v="CUST1301"/>
    <s v="Female"/>
    <x v="3"/>
    <x v="1"/>
    <x v="4"/>
    <s v="Football Boots"/>
    <x v="0"/>
    <n v="2"/>
    <n v="3445.49"/>
    <n v="0.1"/>
    <n v="6201.88"/>
    <n v="4368.3599999999997"/>
    <n v="1833.52"/>
    <s v="Debit Card"/>
    <x v="3"/>
    <n v="3"/>
    <x v="9"/>
  </r>
  <r>
    <s v="ORD100529"/>
    <d v="2025-03-11T00:00:00"/>
    <s v="Decathlon Delhi"/>
    <x v="9"/>
    <x v="0"/>
    <s v="CUST1801"/>
    <s v="Female"/>
    <x v="2"/>
    <x v="0"/>
    <x v="2"/>
    <s v="Swimming Goggles"/>
    <x v="5"/>
    <n v="1"/>
    <n v="867.31"/>
    <n v="0.3"/>
    <n v="607.12"/>
    <n v="469.77"/>
    <n v="137.35"/>
    <s v="Debit Card"/>
    <x v="2"/>
    <n v="4"/>
    <x v="1"/>
  </r>
  <r>
    <s v="ORD100530"/>
    <d v="2025-11-27T00:00:00"/>
    <s v="Decathlon Noida"/>
    <x v="5"/>
    <x v="0"/>
    <s v="CUST1613"/>
    <s v="Female"/>
    <x v="1"/>
    <x v="1"/>
    <x v="2"/>
    <s v="Swimsuit"/>
    <x v="7"/>
    <n v="5"/>
    <n v="1488.5"/>
    <n v="0.3"/>
    <n v="5209.75"/>
    <n v="4239.7299999999996"/>
    <n v="970.02"/>
    <s v="Cash"/>
    <x v="4"/>
    <n v="4"/>
    <x v="2"/>
  </r>
  <r>
    <s v="ORD100531"/>
    <d v="2025-12-17T00:00:00"/>
    <s v="Decathlon Ahmedabad"/>
    <x v="2"/>
    <x v="1"/>
    <s v="CUST1307"/>
    <s v="Male"/>
    <x v="0"/>
    <x v="0"/>
    <x v="0"/>
    <s v="Running T-Shirt"/>
    <x v="0"/>
    <n v="1"/>
    <n v="976.78"/>
    <n v="0.2"/>
    <n v="781.42"/>
    <n v="432.52"/>
    <n v="348.9"/>
    <s v="Debit Card"/>
    <x v="5"/>
    <n v="4"/>
    <x v="0"/>
  </r>
  <r>
    <s v="ORD100532"/>
    <d v="2025-08-03T00:00:00"/>
    <s v="Decathlon Ahmedabad"/>
    <x v="2"/>
    <x v="1"/>
    <s v="CUST1402"/>
    <s v="Male"/>
    <x v="3"/>
    <x v="2"/>
    <x v="0"/>
    <s v="Running T-Shirt"/>
    <x v="5"/>
    <n v="1"/>
    <n v="1033.6099999999999"/>
    <n v="0.25"/>
    <n v="775.21"/>
    <n v="429.99"/>
    <n v="345.22"/>
    <s v="Debit Card"/>
    <x v="1"/>
    <n v="3"/>
    <x v="3"/>
  </r>
  <r>
    <s v="ORD100533"/>
    <d v="2025-04-18T00:00:00"/>
    <s v="Decathlon Mumbai"/>
    <x v="6"/>
    <x v="1"/>
    <s v="CUST1163"/>
    <s v="Female"/>
    <x v="0"/>
    <x v="2"/>
    <x v="5"/>
    <s v="Water Bottle"/>
    <x v="3"/>
    <n v="4"/>
    <n v="720.96"/>
    <n v="0.2"/>
    <n v="2307.0700000000002"/>
    <n v="1046.52"/>
    <n v="1260.55"/>
    <s v="Credit Card"/>
    <x v="2"/>
    <n v="4"/>
    <x v="5"/>
  </r>
  <r>
    <s v="ORD100534"/>
    <d v="2025-03-07T00:00:00"/>
    <s v="Decathlon Hyderabad"/>
    <x v="7"/>
    <x v="2"/>
    <s v="CUST1632"/>
    <s v="Female"/>
    <x v="1"/>
    <x v="1"/>
    <x v="5"/>
    <s v="Backpack"/>
    <x v="0"/>
    <n v="4"/>
    <n v="3034.2"/>
    <n v="0.25"/>
    <n v="9102.6"/>
    <n v="6712.08"/>
    <n v="2390.52"/>
    <s v="Net Banking"/>
    <x v="1"/>
    <n v="5"/>
    <x v="1"/>
  </r>
  <r>
    <s v="ORD100535"/>
    <d v="2025-01-22T00:00:00"/>
    <s v="Decathlon Hyderabad"/>
    <x v="7"/>
    <x v="2"/>
    <s v="CUST1745"/>
    <s v="Male"/>
    <x v="0"/>
    <x v="1"/>
    <x v="2"/>
    <s v="Swimming Goggles"/>
    <x v="5"/>
    <n v="1"/>
    <n v="889.37"/>
    <n v="0.15"/>
    <n v="755.96"/>
    <n v="442.58"/>
    <n v="313.38"/>
    <s v="Cash"/>
    <x v="5"/>
    <n v="5"/>
    <x v="4"/>
  </r>
  <r>
    <s v="ORD100536"/>
    <d v="2025-05-07T00:00:00"/>
    <s v="Decathlon Delhi"/>
    <x v="9"/>
    <x v="0"/>
    <s v="CUST1280"/>
    <s v="Male"/>
    <x v="3"/>
    <x v="2"/>
    <x v="5"/>
    <s v="Trekking Shoes"/>
    <x v="6"/>
    <n v="3"/>
    <n v="5000.0600000000004"/>
    <n v="0.25"/>
    <n v="11250.14"/>
    <n v="9260.32"/>
    <n v="1989.82"/>
    <s v="Cash"/>
    <x v="0"/>
    <n v="5"/>
    <x v="10"/>
  </r>
  <r>
    <s v="ORD100537"/>
    <d v="2025-10-17T00:00:00"/>
    <s v="Decathlon Bengaluru"/>
    <x v="4"/>
    <x v="2"/>
    <s v="CUST1906"/>
    <s v="Male"/>
    <x v="0"/>
    <x v="0"/>
    <x v="0"/>
    <s v="Fitness Band"/>
    <x v="4"/>
    <n v="1"/>
    <n v="2512.35"/>
    <n v="0.1"/>
    <n v="2261.11"/>
    <n v="1463.1"/>
    <n v="798.01"/>
    <s v="Credit Card"/>
    <x v="8"/>
    <n v="3"/>
    <x v="9"/>
  </r>
  <r>
    <s v="ORD100538"/>
    <d v="2025-09-20T00:00:00"/>
    <s v="Decathlon Delhi"/>
    <x v="9"/>
    <x v="0"/>
    <s v="CUST1029"/>
    <s v="Male"/>
    <x v="0"/>
    <x v="1"/>
    <x v="2"/>
    <s v="Swimsuit"/>
    <x v="7"/>
    <n v="5"/>
    <n v="1503.59"/>
    <n v="0.1"/>
    <n v="6766.15"/>
    <n v="4117.6499999999996"/>
    <n v="2648.5"/>
    <s v="UPI"/>
    <x v="3"/>
    <n v="4"/>
    <x v="7"/>
  </r>
  <r>
    <s v="ORD100539"/>
    <d v="2025-02-27T00:00:00"/>
    <s v="Decathlon Mumbai"/>
    <x v="6"/>
    <x v="1"/>
    <s v="CUST1160"/>
    <s v="Female"/>
    <x v="1"/>
    <x v="0"/>
    <x v="4"/>
    <s v="Shin Guards"/>
    <x v="5"/>
    <n v="1"/>
    <n v="971.95"/>
    <n v="0.15"/>
    <n v="826.16"/>
    <n v="504.1"/>
    <n v="322.06"/>
    <s v="Debit Card"/>
    <x v="5"/>
    <n v="3"/>
    <x v="6"/>
  </r>
  <r>
    <s v="ORD100540"/>
    <d v="2025-03-21T00:00:00"/>
    <s v="Decathlon Pune"/>
    <x v="1"/>
    <x v="1"/>
    <s v="CUST1673"/>
    <s v="Female"/>
    <x v="3"/>
    <x v="0"/>
    <x v="3"/>
    <s v="Helmet"/>
    <x v="1"/>
    <n v="1"/>
    <n v="1978.55"/>
    <n v="0.05"/>
    <n v="1879.62"/>
    <n v="1099.68"/>
    <n v="779.94"/>
    <s v="Credit Card"/>
    <x v="4"/>
    <n v="4"/>
    <x v="1"/>
  </r>
  <r>
    <s v="ORD100541"/>
    <d v="2025-05-25T00:00:00"/>
    <s v="Decathlon Ahmedabad"/>
    <x v="2"/>
    <x v="1"/>
    <s v="CUST1360"/>
    <s v="Female"/>
    <x v="3"/>
    <x v="0"/>
    <x v="0"/>
    <s v="Running Shoes"/>
    <x v="6"/>
    <n v="4"/>
    <n v="3825.83"/>
    <n v="0.15"/>
    <n v="13007.82"/>
    <n v="9232.65"/>
    <n v="3775.17"/>
    <s v="Credit Card"/>
    <x v="6"/>
    <n v="5"/>
    <x v="10"/>
  </r>
  <r>
    <s v="ORD100542"/>
    <d v="2025-01-29T00:00:00"/>
    <s v="Decathlon Mumbai"/>
    <x v="6"/>
    <x v="1"/>
    <s v="CUST1455"/>
    <s v="Female"/>
    <x v="0"/>
    <x v="0"/>
    <x v="1"/>
    <s v="Resistance Band"/>
    <x v="6"/>
    <n v="1"/>
    <n v="876.09"/>
    <n v="0"/>
    <n v="876.09"/>
    <n v="409.7"/>
    <n v="466.39"/>
    <s v="Debit Card"/>
    <x v="3"/>
    <n v="4"/>
    <x v="4"/>
  </r>
  <r>
    <s v="ORD100543"/>
    <d v="2025-08-14T00:00:00"/>
    <s v="Decathlon Pune"/>
    <x v="1"/>
    <x v="1"/>
    <s v="CUST1098"/>
    <s v="Male"/>
    <x v="3"/>
    <x v="1"/>
    <x v="1"/>
    <s v="Resistance Band"/>
    <x v="4"/>
    <n v="2"/>
    <n v="872.1"/>
    <n v="0.2"/>
    <n v="1395.36"/>
    <n v="776.03"/>
    <n v="619.33000000000004"/>
    <s v="Credit Card"/>
    <x v="6"/>
    <n v="3"/>
    <x v="3"/>
  </r>
  <r>
    <s v="ORD100544"/>
    <d v="2025-01-29T00:00:00"/>
    <s v="Decathlon Chennai"/>
    <x v="3"/>
    <x v="2"/>
    <s v="CUST1530"/>
    <s v="Female"/>
    <x v="0"/>
    <x v="0"/>
    <x v="5"/>
    <s v="Backpack"/>
    <x v="6"/>
    <n v="5"/>
    <n v="2954.48"/>
    <n v="0.15"/>
    <n v="12556.54"/>
    <n v="8730.94"/>
    <n v="3825.6"/>
    <s v="Cash"/>
    <x v="2"/>
    <n v="4"/>
    <x v="4"/>
  </r>
  <r>
    <s v="ORD100545"/>
    <d v="2025-09-27T00:00:00"/>
    <s v="Decathlon Jaipur"/>
    <x v="0"/>
    <x v="0"/>
    <s v="CUST1920"/>
    <s v="Female"/>
    <x v="0"/>
    <x v="1"/>
    <x v="1"/>
    <s v="Yoga Mat"/>
    <x v="3"/>
    <n v="4"/>
    <n v="1443.79"/>
    <n v="0.05"/>
    <n v="5486.4"/>
    <n v="2896.53"/>
    <n v="2589.87"/>
    <s v="Net Banking"/>
    <x v="0"/>
    <n v="3"/>
    <x v="7"/>
  </r>
  <r>
    <s v="ORD100546"/>
    <d v="2025-04-09T00:00:00"/>
    <s v="Decathlon Bengaluru"/>
    <x v="4"/>
    <x v="2"/>
    <s v="CUST1014"/>
    <s v="Female"/>
    <x v="1"/>
    <x v="1"/>
    <x v="5"/>
    <s v="Trekking Shoes"/>
    <x v="2"/>
    <n v="5"/>
    <n v="5112.2"/>
    <n v="0.25"/>
    <n v="19170.75"/>
    <n v="15711.5"/>
    <n v="3459.25"/>
    <s v="Cash"/>
    <x v="0"/>
    <n v="4"/>
    <x v="5"/>
  </r>
  <r>
    <s v="ORD100547"/>
    <d v="2025-09-18T00:00:00"/>
    <s v="Decathlon Jaipur"/>
    <x v="0"/>
    <x v="0"/>
    <s v="CUST1290"/>
    <s v="Male"/>
    <x v="2"/>
    <x v="0"/>
    <x v="5"/>
    <s v="Backpack"/>
    <x v="2"/>
    <n v="1"/>
    <n v="3058.54"/>
    <n v="0.2"/>
    <n v="2446.83"/>
    <n v="1643.84"/>
    <n v="802.99"/>
    <s v="Cash"/>
    <x v="8"/>
    <n v="5"/>
    <x v="7"/>
  </r>
  <r>
    <s v="ORD100548"/>
    <d v="2025-04-23T00:00:00"/>
    <s v="Decathlon Noida"/>
    <x v="5"/>
    <x v="0"/>
    <s v="CUST1210"/>
    <s v="Male"/>
    <x v="0"/>
    <x v="1"/>
    <x v="2"/>
    <s v="Swim Cap"/>
    <x v="7"/>
    <n v="4"/>
    <n v="492.45"/>
    <n v="0"/>
    <n v="1969.8"/>
    <n v="870.86"/>
    <n v="1098.94"/>
    <s v="Credit Card"/>
    <x v="8"/>
    <n v="5"/>
    <x v="5"/>
  </r>
  <r>
    <s v="ORD100549"/>
    <d v="2025-04-27T00:00:00"/>
    <s v="Decathlon Hyderabad"/>
    <x v="7"/>
    <x v="2"/>
    <s v="CUST1693"/>
    <s v="Female"/>
    <x v="2"/>
    <x v="2"/>
    <x v="3"/>
    <s v="Cycling Gloves"/>
    <x v="5"/>
    <n v="2"/>
    <n v="767.73"/>
    <n v="0.2"/>
    <n v="1228.3699999999999"/>
    <n v="684.01"/>
    <n v="544.36"/>
    <s v="UPI"/>
    <x v="1"/>
    <n v="5"/>
    <x v="5"/>
  </r>
  <r>
    <s v="ORD100550"/>
    <d v="2025-09-30T00:00:00"/>
    <s v="Decathlon Hyderabad"/>
    <x v="7"/>
    <x v="2"/>
    <s v="CUST1565"/>
    <s v="Male"/>
    <x v="3"/>
    <x v="0"/>
    <x v="5"/>
    <s v="Water Bottle"/>
    <x v="6"/>
    <n v="5"/>
    <n v="688.35"/>
    <n v="0.2"/>
    <n v="2753.4"/>
    <n v="1274.23"/>
    <n v="1479.17"/>
    <s v="Debit Card"/>
    <x v="9"/>
    <n v="5"/>
    <x v="7"/>
  </r>
  <r>
    <s v="ORD100551"/>
    <d v="2025-04-26T00:00:00"/>
    <s v="Decathlon Noida"/>
    <x v="5"/>
    <x v="0"/>
    <s v="CUST1612"/>
    <s v="Female"/>
    <x v="3"/>
    <x v="2"/>
    <x v="4"/>
    <s v="Football Boots"/>
    <x v="0"/>
    <n v="3"/>
    <n v="3350.86"/>
    <n v="0.25"/>
    <n v="7539.43"/>
    <n v="6477.56"/>
    <n v="1061.8699999999999"/>
    <s v="Credit Card"/>
    <x v="6"/>
    <n v="5"/>
    <x v="5"/>
  </r>
  <r>
    <s v="ORD100552"/>
    <d v="2025-11-02T00:00:00"/>
    <s v="Decathlon Pune"/>
    <x v="1"/>
    <x v="1"/>
    <s v="CUST1686"/>
    <s v="Female"/>
    <x v="3"/>
    <x v="0"/>
    <x v="3"/>
    <s v="Helmet"/>
    <x v="6"/>
    <n v="5"/>
    <n v="2038.82"/>
    <n v="0.15"/>
    <n v="8664.99"/>
    <n v="5684.76"/>
    <n v="2980.23"/>
    <s v="Cash"/>
    <x v="7"/>
    <n v="4"/>
    <x v="2"/>
  </r>
  <r>
    <s v="ORD100553"/>
    <d v="2025-07-12T00:00:00"/>
    <s v="Decathlon Gurugram"/>
    <x v="8"/>
    <x v="0"/>
    <s v="CUST1247"/>
    <s v="Female"/>
    <x v="0"/>
    <x v="2"/>
    <x v="1"/>
    <s v="Yoga Block"/>
    <x v="5"/>
    <n v="4"/>
    <n v="621.23"/>
    <n v="0.3"/>
    <n v="1739.44"/>
    <n v="1049.01"/>
    <n v="690.43"/>
    <s v="Net Banking"/>
    <x v="4"/>
    <n v="3"/>
    <x v="8"/>
  </r>
  <r>
    <s v="ORD100554"/>
    <d v="2025-05-22T00:00:00"/>
    <s v="Decathlon Pune"/>
    <x v="1"/>
    <x v="1"/>
    <s v="CUST1477"/>
    <s v="Female"/>
    <x v="2"/>
    <x v="1"/>
    <x v="0"/>
    <s v="Fitness Band"/>
    <x v="0"/>
    <n v="2"/>
    <n v="2498.35"/>
    <n v="0.15"/>
    <n v="4247.1899999999996"/>
    <n v="2972.86"/>
    <n v="1274.33"/>
    <s v="Debit Card"/>
    <x v="6"/>
    <n v="5"/>
    <x v="10"/>
  </r>
  <r>
    <s v="ORD100555"/>
    <d v="2025-11-30T00:00:00"/>
    <s v="Decathlon Bengaluru"/>
    <x v="4"/>
    <x v="2"/>
    <s v="CUST1993"/>
    <s v="Male"/>
    <x v="1"/>
    <x v="0"/>
    <x v="2"/>
    <s v="Swimming Goggles"/>
    <x v="0"/>
    <n v="1"/>
    <n v="857.26"/>
    <n v="0.1"/>
    <n v="771.53"/>
    <n v="446.1"/>
    <n v="325.43"/>
    <s v="Net Banking"/>
    <x v="7"/>
    <n v="5"/>
    <x v="2"/>
  </r>
  <r>
    <s v="ORD100556"/>
    <d v="2025-11-06T00:00:00"/>
    <s v="Decathlon Mumbai"/>
    <x v="6"/>
    <x v="1"/>
    <s v="CUST1230"/>
    <s v="Male"/>
    <x v="1"/>
    <x v="1"/>
    <x v="1"/>
    <s v="Resistance Band"/>
    <x v="2"/>
    <n v="4"/>
    <n v="941.96"/>
    <n v="0.1"/>
    <n v="3391.06"/>
    <n v="1613.35"/>
    <n v="1777.71"/>
    <s v="Cash"/>
    <x v="3"/>
    <n v="3"/>
    <x v="2"/>
  </r>
  <r>
    <s v="ORD100557"/>
    <d v="2025-02-03T00:00:00"/>
    <s v="Decathlon Gurugram"/>
    <x v="8"/>
    <x v="0"/>
    <s v="CUST1312"/>
    <s v="Female"/>
    <x v="3"/>
    <x v="1"/>
    <x v="0"/>
    <s v="Running T-Shirt"/>
    <x v="7"/>
    <n v="1"/>
    <n v="959.4"/>
    <n v="0.2"/>
    <n v="767.52"/>
    <n v="453.31"/>
    <n v="314.20999999999998"/>
    <s v="Credit Card"/>
    <x v="1"/>
    <n v="4"/>
    <x v="6"/>
  </r>
  <r>
    <s v="ORD100558"/>
    <d v="2025-07-21T00:00:00"/>
    <s v="Decathlon Jaipur"/>
    <x v="0"/>
    <x v="0"/>
    <s v="CUST1880"/>
    <s v="Male"/>
    <x v="0"/>
    <x v="0"/>
    <x v="2"/>
    <s v="Swim Cap"/>
    <x v="3"/>
    <n v="4"/>
    <n v="508.77"/>
    <n v="0.3"/>
    <n v="1424.56"/>
    <n v="874.88"/>
    <n v="549.67999999999995"/>
    <s v="Credit Card"/>
    <x v="0"/>
    <n v="4"/>
    <x v="8"/>
  </r>
  <r>
    <s v="ORD100559"/>
    <d v="2025-11-05T00:00:00"/>
    <s v="Decathlon Pune"/>
    <x v="1"/>
    <x v="1"/>
    <s v="CUST1983"/>
    <s v="Female"/>
    <x v="3"/>
    <x v="2"/>
    <x v="2"/>
    <s v="Swim Cap"/>
    <x v="3"/>
    <n v="3"/>
    <n v="496.53"/>
    <n v="0.2"/>
    <n v="1191.67"/>
    <n v="632.65"/>
    <n v="559.02"/>
    <s v="Credit Card"/>
    <x v="8"/>
    <n v="4"/>
    <x v="2"/>
  </r>
  <r>
    <s v="ORD100560"/>
    <d v="2025-11-20T00:00:00"/>
    <s v="Decathlon Chennai"/>
    <x v="3"/>
    <x v="2"/>
    <s v="CUST1844"/>
    <s v="Female"/>
    <x v="1"/>
    <x v="1"/>
    <x v="2"/>
    <s v="Swim Cap"/>
    <x v="5"/>
    <n v="4"/>
    <n v="512.61"/>
    <n v="0.05"/>
    <n v="1947.92"/>
    <n v="875.07"/>
    <n v="1072.8499999999999"/>
    <s v="Debit Card"/>
    <x v="0"/>
    <n v="4"/>
    <x v="2"/>
  </r>
  <r>
    <s v="ORD100561"/>
    <d v="2025-07-05T00:00:00"/>
    <s v="Decathlon Delhi"/>
    <x v="9"/>
    <x v="0"/>
    <s v="CUST1994"/>
    <s v="Female"/>
    <x v="2"/>
    <x v="2"/>
    <x v="5"/>
    <s v="Backpack"/>
    <x v="2"/>
    <n v="3"/>
    <n v="2953.2"/>
    <n v="0.15"/>
    <n v="7530.66"/>
    <n v="5155.66"/>
    <n v="2375"/>
    <s v="Cash"/>
    <x v="0"/>
    <n v="5"/>
    <x v="8"/>
  </r>
  <r>
    <s v="ORD100562"/>
    <d v="2025-02-21T00:00:00"/>
    <s v="Decathlon Gurugram"/>
    <x v="8"/>
    <x v="0"/>
    <s v="CUST1328"/>
    <s v="Female"/>
    <x v="2"/>
    <x v="1"/>
    <x v="4"/>
    <s v="Football Boots"/>
    <x v="7"/>
    <n v="1"/>
    <n v="3673.15"/>
    <n v="0.25"/>
    <n v="2754.86"/>
    <n v="2048.67"/>
    <n v="706.19"/>
    <s v="Net Banking"/>
    <x v="0"/>
    <n v="5"/>
    <x v="6"/>
  </r>
  <r>
    <s v="ORD100563"/>
    <d v="2025-12-04T00:00:00"/>
    <s v="Decathlon Noida"/>
    <x v="5"/>
    <x v="0"/>
    <s v="CUST1963"/>
    <s v="Male"/>
    <x v="3"/>
    <x v="0"/>
    <x v="5"/>
    <s v="Backpack"/>
    <x v="2"/>
    <n v="2"/>
    <n v="3103.73"/>
    <n v="0.25"/>
    <n v="4655.6000000000004"/>
    <n v="3320.01"/>
    <n v="1335.59"/>
    <s v="Credit Card"/>
    <x v="2"/>
    <n v="3"/>
    <x v="0"/>
  </r>
  <r>
    <s v="ORD100564"/>
    <d v="2025-06-05T00:00:00"/>
    <s v="Decathlon Pune"/>
    <x v="1"/>
    <x v="1"/>
    <s v="CUST1679"/>
    <s v="Male"/>
    <x v="0"/>
    <x v="2"/>
    <x v="0"/>
    <s v="Running T-Shirt"/>
    <x v="3"/>
    <n v="1"/>
    <n v="1009.87"/>
    <n v="0.15"/>
    <n v="858.39"/>
    <n v="456.7"/>
    <n v="401.69"/>
    <s v="Cash"/>
    <x v="8"/>
    <n v="3"/>
    <x v="11"/>
  </r>
  <r>
    <s v="ORD100565"/>
    <d v="2025-05-31T00:00:00"/>
    <s v="Decathlon Jaipur"/>
    <x v="0"/>
    <x v="0"/>
    <s v="CUST1720"/>
    <s v="Female"/>
    <x v="3"/>
    <x v="2"/>
    <x v="5"/>
    <s v="Water Bottle"/>
    <x v="2"/>
    <n v="2"/>
    <n v="732.33"/>
    <n v="0.15"/>
    <n v="1244.96"/>
    <n v="481.01"/>
    <n v="763.95"/>
    <s v="UPI"/>
    <x v="5"/>
    <n v="5"/>
    <x v="10"/>
  </r>
  <r>
    <s v="ORD100566"/>
    <d v="2025-06-05T00:00:00"/>
    <s v="Decathlon Jaipur"/>
    <x v="0"/>
    <x v="0"/>
    <s v="CUST1267"/>
    <s v="Female"/>
    <x v="1"/>
    <x v="2"/>
    <x v="3"/>
    <s v="Mountain Bike"/>
    <x v="6"/>
    <n v="5"/>
    <n v="24883.88"/>
    <n v="0.25"/>
    <n v="93314.55"/>
    <n v="88022.13"/>
    <n v="5292.42"/>
    <s v="UPI"/>
    <x v="5"/>
    <n v="4"/>
    <x v="11"/>
  </r>
  <r>
    <s v="ORD100567"/>
    <d v="2025-06-17T00:00:00"/>
    <s v="Decathlon Noida"/>
    <x v="5"/>
    <x v="0"/>
    <s v="CUST1276"/>
    <s v="Female"/>
    <x v="1"/>
    <x v="0"/>
    <x v="5"/>
    <s v="Water Bottle"/>
    <x v="4"/>
    <n v="2"/>
    <n v="702.06"/>
    <n v="0.25"/>
    <n v="1053.0899999999999"/>
    <n v="486.24"/>
    <n v="566.85"/>
    <s v="UPI"/>
    <x v="5"/>
    <n v="5"/>
    <x v="11"/>
  </r>
  <r>
    <s v="ORD100568"/>
    <d v="2025-05-19T00:00:00"/>
    <s v="Decathlon Noida"/>
    <x v="5"/>
    <x v="0"/>
    <s v="CUST1118"/>
    <s v="Male"/>
    <x v="1"/>
    <x v="0"/>
    <x v="2"/>
    <s v="Swimming Goggles"/>
    <x v="0"/>
    <n v="1"/>
    <n v="886.81"/>
    <n v="0.1"/>
    <n v="798.13"/>
    <n v="461.52"/>
    <n v="336.61"/>
    <s v="Credit Card"/>
    <x v="9"/>
    <n v="5"/>
    <x v="10"/>
  </r>
  <r>
    <s v="ORD100569"/>
    <d v="2025-08-28T00:00:00"/>
    <s v="Decathlon Jaipur"/>
    <x v="0"/>
    <x v="0"/>
    <s v="CUST1129"/>
    <s v="Female"/>
    <x v="0"/>
    <x v="0"/>
    <x v="0"/>
    <s v="Running T-Shirt"/>
    <x v="3"/>
    <n v="1"/>
    <n v="1004.62"/>
    <n v="0.3"/>
    <n v="703.23"/>
    <n v="448.42"/>
    <n v="254.81"/>
    <s v="Debit Card"/>
    <x v="3"/>
    <n v="3"/>
    <x v="3"/>
  </r>
  <r>
    <s v="ORD100570"/>
    <d v="2025-05-21T00:00:00"/>
    <s v="Decathlon Bengaluru"/>
    <x v="4"/>
    <x v="2"/>
    <s v="CUST1252"/>
    <s v="Female"/>
    <x v="2"/>
    <x v="0"/>
    <x v="3"/>
    <s v="Helmet"/>
    <x v="3"/>
    <n v="1"/>
    <n v="2040.25"/>
    <n v="0.3"/>
    <n v="1428.17"/>
    <n v="1065.68"/>
    <n v="362.49"/>
    <s v="Credit Card"/>
    <x v="3"/>
    <n v="5"/>
    <x v="10"/>
  </r>
  <r>
    <s v="ORD100571"/>
    <d v="2025-11-09T00:00:00"/>
    <s v="Decathlon Ahmedabad"/>
    <x v="2"/>
    <x v="1"/>
    <s v="CUST1301"/>
    <s v="Female"/>
    <x v="2"/>
    <x v="1"/>
    <x v="0"/>
    <s v="Fitness Band"/>
    <x v="0"/>
    <n v="3"/>
    <n v="2544.06"/>
    <n v="0.25"/>
    <n v="5724.14"/>
    <n v="4541.3100000000004"/>
    <n v="1182.83"/>
    <s v="Cash"/>
    <x v="8"/>
    <n v="3"/>
    <x v="2"/>
  </r>
  <r>
    <s v="ORD100572"/>
    <d v="2025-07-01T00:00:00"/>
    <s v="Decathlon Noida"/>
    <x v="5"/>
    <x v="0"/>
    <s v="CUST1813"/>
    <s v="Female"/>
    <x v="2"/>
    <x v="1"/>
    <x v="2"/>
    <s v="Swimsuit"/>
    <x v="5"/>
    <n v="3"/>
    <n v="1513.5"/>
    <n v="0.25"/>
    <n v="3405.38"/>
    <n v="2536.7399999999998"/>
    <n v="868.64"/>
    <s v="Debit Card"/>
    <x v="4"/>
    <n v="5"/>
    <x v="8"/>
  </r>
  <r>
    <s v="ORD100573"/>
    <d v="2025-01-17T00:00:00"/>
    <s v="Decathlon Bengaluru"/>
    <x v="4"/>
    <x v="2"/>
    <s v="CUST1546"/>
    <s v="Female"/>
    <x v="3"/>
    <x v="0"/>
    <x v="1"/>
    <s v="Yoga Mat"/>
    <x v="7"/>
    <n v="2"/>
    <n v="1469.67"/>
    <n v="0.25"/>
    <n v="2204.5100000000002"/>
    <n v="1377.51"/>
    <n v="827"/>
    <s v="Credit Card"/>
    <x v="6"/>
    <n v="3"/>
    <x v="4"/>
  </r>
  <r>
    <s v="ORD100574"/>
    <d v="2025-09-18T00:00:00"/>
    <s v="Decathlon Delhi"/>
    <x v="9"/>
    <x v="0"/>
    <s v="CUST1771"/>
    <s v="Female"/>
    <x v="0"/>
    <x v="2"/>
    <x v="5"/>
    <s v="Water Bottle"/>
    <x v="5"/>
    <n v="5"/>
    <n v="700.25"/>
    <n v="0.25"/>
    <n v="2625.94"/>
    <n v="1264.6099999999999"/>
    <n v="1361.33"/>
    <s v="Credit Card"/>
    <x v="2"/>
    <n v="4"/>
    <x v="7"/>
  </r>
  <r>
    <s v="ORD100575"/>
    <d v="2025-09-13T00:00:00"/>
    <s v="Decathlon Delhi"/>
    <x v="9"/>
    <x v="0"/>
    <s v="CUST1617"/>
    <s v="Male"/>
    <x v="3"/>
    <x v="2"/>
    <x v="5"/>
    <s v="Trekking Shoes"/>
    <x v="6"/>
    <n v="5"/>
    <n v="5177.78"/>
    <n v="0.2"/>
    <n v="20711.12"/>
    <n v="15871.51"/>
    <n v="4839.6099999999997"/>
    <s v="Credit Card"/>
    <x v="1"/>
    <n v="4"/>
    <x v="7"/>
  </r>
  <r>
    <s v="ORD100576"/>
    <d v="2025-02-16T00:00:00"/>
    <s v="Decathlon Bengaluru"/>
    <x v="4"/>
    <x v="2"/>
    <s v="CUST1499"/>
    <s v="Female"/>
    <x v="2"/>
    <x v="0"/>
    <x v="4"/>
    <s v="Football Boots"/>
    <x v="1"/>
    <n v="5"/>
    <n v="3532.74"/>
    <n v="0.2"/>
    <n v="14130.96"/>
    <n v="10256.040000000001"/>
    <n v="3874.92"/>
    <s v="Debit Card"/>
    <x v="4"/>
    <n v="5"/>
    <x v="6"/>
  </r>
  <r>
    <s v="ORD100577"/>
    <d v="2025-05-26T00:00:00"/>
    <s v="Decathlon Mumbai"/>
    <x v="6"/>
    <x v="1"/>
    <s v="CUST1496"/>
    <s v="Female"/>
    <x v="2"/>
    <x v="1"/>
    <x v="0"/>
    <s v="Fitness Band"/>
    <x v="1"/>
    <n v="1"/>
    <n v="2525.94"/>
    <n v="0.15"/>
    <n v="2147.0500000000002"/>
    <n v="1555.33"/>
    <n v="591.72"/>
    <s v="UPI"/>
    <x v="5"/>
    <n v="4"/>
    <x v="10"/>
  </r>
  <r>
    <s v="ORD100578"/>
    <d v="2025-02-28T00:00:00"/>
    <s v="Decathlon Noida"/>
    <x v="5"/>
    <x v="0"/>
    <s v="CUST1614"/>
    <s v="Male"/>
    <x v="0"/>
    <x v="0"/>
    <x v="1"/>
    <s v="Resistance Band"/>
    <x v="0"/>
    <n v="1"/>
    <n v="859.76"/>
    <n v="0.2"/>
    <n v="687.81"/>
    <n v="384.21"/>
    <n v="303.60000000000002"/>
    <s v="Credit Card"/>
    <x v="9"/>
    <n v="4"/>
    <x v="6"/>
  </r>
  <r>
    <s v="ORD100579"/>
    <d v="2025-03-27T00:00:00"/>
    <s v="Decathlon Ahmedabad"/>
    <x v="2"/>
    <x v="1"/>
    <s v="CUST1958"/>
    <s v="Male"/>
    <x v="0"/>
    <x v="0"/>
    <x v="1"/>
    <s v="Yoga Block"/>
    <x v="2"/>
    <n v="2"/>
    <n v="584.54"/>
    <n v="0"/>
    <n v="1169.08"/>
    <n v="517.09"/>
    <n v="651.99"/>
    <s v="Net Banking"/>
    <x v="4"/>
    <n v="3"/>
    <x v="1"/>
  </r>
  <r>
    <s v="ORD100580"/>
    <d v="2025-03-18T00:00:00"/>
    <s v="Decathlon Bengaluru"/>
    <x v="4"/>
    <x v="2"/>
    <s v="CUST1765"/>
    <s v="Male"/>
    <x v="2"/>
    <x v="2"/>
    <x v="4"/>
    <s v="Shin Guards"/>
    <x v="6"/>
    <n v="5"/>
    <n v="1037.51"/>
    <n v="0.25"/>
    <n v="3890.66"/>
    <n v="2429.3200000000002"/>
    <n v="1461.34"/>
    <s v="Debit Card"/>
    <x v="2"/>
    <n v="5"/>
    <x v="1"/>
  </r>
  <r>
    <s v="ORD100581"/>
    <d v="2025-09-25T00:00:00"/>
    <s v="Decathlon Ahmedabad"/>
    <x v="2"/>
    <x v="1"/>
    <s v="CUST1581"/>
    <s v="Male"/>
    <x v="1"/>
    <x v="0"/>
    <x v="1"/>
    <s v="Resistance Band"/>
    <x v="1"/>
    <n v="4"/>
    <n v="864.35"/>
    <n v="0.1"/>
    <n v="3111.66"/>
    <n v="1620.62"/>
    <n v="1491.04"/>
    <s v="Net Banking"/>
    <x v="5"/>
    <n v="4"/>
    <x v="7"/>
  </r>
  <r>
    <s v="ORD100582"/>
    <d v="2025-07-31T00:00:00"/>
    <s v="Decathlon Noida"/>
    <x v="5"/>
    <x v="0"/>
    <s v="CUST1509"/>
    <s v="Male"/>
    <x v="2"/>
    <x v="1"/>
    <x v="4"/>
    <s v="Football"/>
    <x v="2"/>
    <n v="2"/>
    <n v="1280.75"/>
    <n v="0.25"/>
    <n v="1921.12"/>
    <n v="1383.64"/>
    <n v="537.48"/>
    <s v="Cash"/>
    <x v="5"/>
    <n v="5"/>
    <x v="8"/>
  </r>
  <r>
    <s v="ORD100583"/>
    <d v="2025-08-15T00:00:00"/>
    <s v="Decathlon Bengaluru"/>
    <x v="4"/>
    <x v="2"/>
    <s v="CUST1945"/>
    <s v="Female"/>
    <x v="0"/>
    <x v="2"/>
    <x v="2"/>
    <s v="Swim Cap"/>
    <x v="1"/>
    <n v="3"/>
    <n v="489.07"/>
    <n v="0.1"/>
    <n v="1320.49"/>
    <n v="644.87"/>
    <n v="675.62"/>
    <s v="Debit Card"/>
    <x v="6"/>
    <n v="4"/>
    <x v="3"/>
  </r>
  <r>
    <s v="ORD100584"/>
    <d v="2025-07-11T00:00:00"/>
    <s v="Decathlon Mumbai"/>
    <x v="6"/>
    <x v="1"/>
    <s v="CUST1408"/>
    <s v="Female"/>
    <x v="2"/>
    <x v="2"/>
    <x v="5"/>
    <s v="Backpack"/>
    <x v="4"/>
    <n v="2"/>
    <n v="2958.87"/>
    <n v="0.15"/>
    <n v="5030.08"/>
    <n v="3460.78"/>
    <n v="1569.3"/>
    <s v="Credit Card"/>
    <x v="1"/>
    <n v="4"/>
    <x v="8"/>
  </r>
  <r>
    <s v="ORD100585"/>
    <d v="2025-04-24T00:00:00"/>
    <s v="Decathlon Ahmedabad"/>
    <x v="2"/>
    <x v="1"/>
    <s v="CUST1358"/>
    <s v="Male"/>
    <x v="2"/>
    <x v="2"/>
    <x v="1"/>
    <s v="Resistance Band"/>
    <x v="2"/>
    <n v="5"/>
    <n v="883.32"/>
    <n v="0.2"/>
    <n v="3533.28"/>
    <n v="2016.88"/>
    <n v="1516.4"/>
    <s v="Net Banking"/>
    <x v="4"/>
    <n v="4"/>
    <x v="5"/>
  </r>
  <r>
    <s v="ORD100586"/>
    <d v="2025-06-03T00:00:00"/>
    <s v="Decathlon Ahmedabad"/>
    <x v="2"/>
    <x v="1"/>
    <s v="CUST1777"/>
    <s v="Male"/>
    <x v="2"/>
    <x v="1"/>
    <x v="5"/>
    <s v="Water Bottle"/>
    <x v="2"/>
    <n v="1"/>
    <n v="667.5"/>
    <n v="0"/>
    <n v="667.5"/>
    <n v="261.5"/>
    <n v="406"/>
    <s v="Net Banking"/>
    <x v="6"/>
    <n v="4"/>
    <x v="11"/>
  </r>
  <r>
    <s v="ORD100587"/>
    <d v="2025-06-07T00:00:00"/>
    <s v="Decathlon Jaipur"/>
    <x v="0"/>
    <x v="0"/>
    <s v="CUST1880"/>
    <s v="Male"/>
    <x v="3"/>
    <x v="1"/>
    <x v="1"/>
    <s v="Yoga Mat"/>
    <x v="0"/>
    <n v="1"/>
    <n v="1556.85"/>
    <n v="0.25"/>
    <n v="1167.6400000000001"/>
    <n v="680.6"/>
    <n v="487.04"/>
    <s v="Debit Card"/>
    <x v="7"/>
    <n v="5"/>
    <x v="11"/>
  </r>
  <r>
    <s v="ORD100588"/>
    <d v="2025-12-08T00:00:00"/>
    <s v="Decathlon Delhi"/>
    <x v="9"/>
    <x v="0"/>
    <s v="CUST1167"/>
    <s v="Male"/>
    <x v="0"/>
    <x v="2"/>
    <x v="0"/>
    <s v="Running T-Shirt"/>
    <x v="3"/>
    <n v="1"/>
    <n v="976.74"/>
    <n v="0.05"/>
    <n v="927.9"/>
    <n v="444.06"/>
    <n v="483.84"/>
    <s v="Credit Card"/>
    <x v="1"/>
    <n v="4"/>
    <x v="0"/>
  </r>
  <r>
    <s v="ORD100589"/>
    <d v="2025-10-23T00:00:00"/>
    <s v="Decathlon Noida"/>
    <x v="5"/>
    <x v="0"/>
    <s v="CUST1279"/>
    <s v="Male"/>
    <x v="3"/>
    <x v="2"/>
    <x v="0"/>
    <s v="Running Shoes"/>
    <x v="4"/>
    <n v="2"/>
    <n v="4182.87"/>
    <n v="0.3"/>
    <n v="5856.02"/>
    <n v="4201.74"/>
    <n v="1654.28"/>
    <s v="Credit Card"/>
    <x v="0"/>
    <n v="4"/>
    <x v="9"/>
  </r>
  <r>
    <s v="ORD100590"/>
    <d v="2025-07-26T00:00:00"/>
    <s v="Decathlon Gurugram"/>
    <x v="8"/>
    <x v="0"/>
    <s v="CUST1774"/>
    <s v="Male"/>
    <x v="3"/>
    <x v="2"/>
    <x v="1"/>
    <s v="Yoga Block"/>
    <x v="2"/>
    <n v="4"/>
    <n v="616.54"/>
    <n v="0.3"/>
    <n v="1726.31"/>
    <n v="1011.54"/>
    <n v="714.77"/>
    <s v="Debit Card"/>
    <x v="2"/>
    <n v="3"/>
    <x v="8"/>
  </r>
  <r>
    <s v="ORD100591"/>
    <d v="2025-04-26T00:00:00"/>
    <s v="Decathlon Noida"/>
    <x v="5"/>
    <x v="0"/>
    <s v="CUST1517"/>
    <s v="Female"/>
    <x v="3"/>
    <x v="0"/>
    <x v="1"/>
    <s v="Yoga Mat"/>
    <x v="4"/>
    <n v="5"/>
    <n v="1561.48"/>
    <n v="0.15"/>
    <n v="6636.29"/>
    <n v="3497.11"/>
    <n v="3139.18"/>
    <s v="Credit Card"/>
    <x v="8"/>
    <n v="3"/>
    <x v="5"/>
  </r>
  <r>
    <s v="ORD100592"/>
    <d v="2025-09-14T00:00:00"/>
    <s v="Decathlon Noida"/>
    <x v="5"/>
    <x v="0"/>
    <s v="CUST1125"/>
    <s v="Male"/>
    <x v="3"/>
    <x v="0"/>
    <x v="2"/>
    <s v="Swimsuit"/>
    <x v="4"/>
    <n v="3"/>
    <n v="1427.43"/>
    <n v="0.05"/>
    <n v="4068.18"/>
    <n v="2533.6"/>
    <n v="1534.58"/>
    <s v="UPI"/>
    <x v="0"/>
    <n v="4"/>
    <x v="7"/>
  </r>
  <r>
    <s v="ORD100593"/>
    <d v="2025-11-22T00:00:00"/>
    <s v="Decathlon Bengaluru"/>
    <x v="4"/>
    <x v="2"/>
    <s v="CUST1410"/>
    <s v="Male"/>
    <x v="2"/>
    <x v="0"/>
    <x v="5"/>
    <s v="Trekking Shoes"/>
    <x v="6"/>
    <n v="5"/>
    <n v="4888.17"/>
    <n v="0"/>
    <n v="24440.85"/>
    <n v="15729.49"/>
    <n v="8711.36"/>
    <s v="Debit Card"/>
    <x v="6"/>
    <n v="3"/>
    <x v="2"/>
  </r>
  <r>
    <s v="ORD100594"/>
    <d v="2025-09-29T00:00:00"/>
    <s v="Decathlon Delhi"/>
    <x v="9"/>
    <x v="0"/>
    <s v="CUST1099"/>
    <s v="Female"/>
    <x v="2"/>
    <x v="2"/>
    <x v="4"/>
    <s v="Football Boots"/>
    <x v="1"/>
    <n v="3"/>
    <n v="3581.11"/>
    <n v="0.05"/>
    <n v="10206.16"/>
    <n v="6037.03"/>
    <n v="4169.13"/>
    <s v="Debit Card"/>
    <x v="3"/>
    <n v="5"/>
    <x v="7"/>
  </r>
  <r>
    <s v="ORD100595"/>
    <d v="2025-12-31T00:00:00"/>
    <s v="Decathlon Jaipur"/>
    <x v="0"/>
    <x v="0"/>
    <s v="CUST1731"/>
    <s v="Male"/>
    <x v="0"/>
    <x v="0"/>
    <x v="1"/>
    <s v="Yoga Block"/>
    <x v="0"/>
    <n v="3"/>
    <n v="588.26"/>
    <n v="0.05"/>
    <n v="1676.54"/>
    <n v="753.76"/>
    <n v="922.78"/>
    <s v="Cash"/>
    <x v="7"/>
    <n v="5"/>
    <x v="0"/>
  </r>
  <r>
    <s v="ORD100596"/>
    <d v="2025-06-05T00:00:00"/>
    <s v="Decathlon Delhi"/>
    <x v="9"/>
    <x v="0"/>
    <s v="CUST1928"/>
    <s v="Male"/>
    <x v="1"/>
    <x v="2"/>
    <x v="0"/>
    <s v="Running T-Shirt"/>
    <x v="0"/>
    <n v="4"/>
    <n v="1013"/>
    <n v="0.1"/>
    <n v="3646.8"/>
    <n v="1781.18"/>
    <n v="1865.62"/>
    <s v="Cash"/>
    <x v="0"/>
    <n v="4"/>
    <x v="11"/>
  </r>
  <r>
    <s v="ORD100597"/>
    <d v="2025-11-30T00:00:00"/>
    <s v="Decathlon Bengaluru"/>
    <x v="4"/>
    <x v="2"/>
    <s v="CUST1644"/>
    <s v="Female"/>
    <x v="1"/>
    <x v="2"/>
    <x v="4"/>
    <s v="Football"/>
    <x v="7"/>
    <n v="3"/>
    <n v="1239.29"/>
    <n v="0.1"/>
    <n v="3346.08"/>
    <n v="2193.7800000000002"/>
    <n v="1152.3"/>
    <s v="Net Banking"/>
    <x v="0"/>
    <n v="3"/>
    <x v="2"/>
  </r>
  <r>
    <s v="ORD100598"/>
    <d v="2025-01-17T00:00:00"/>
    <s v="Decathlon Gurugram"/>
    <x v="8"/>
    <x v="0"/>
    <s v="CUST1154"/>
    <s v="Female"/>
    <x v="1"/>
    <x v="1"/>
    <x v="5"/>
    <s v="Trekking Shoes"/>
    <x v="7"/>
    <n v="5"/>
    <n v="4841.41"/>
    <n v="0.2"/>
    <n v="19365.64"/>
    <n v="16469.3"/>
    <n v="2896.34"/>
    <s v="Credit Card"/>
    <x v="4"/>
    <n v="5"/>
    <x v="4"/>
  </r>
  <r>
    <s v="ORD100599"/>
    <d v="2025-04-11T00:00:00"/>
    <s v="Decathlon Mumbai"/>
    <x v="6"/>
    <x v="1"/>
    <s v="CUST1775"/>
    <s v="Female"/>
    <x v="3"/>
    <x v="2"/>
    <x v="4"/>
    <s v="Football Boots"/>
    <x v="5"/>
    <n v="2"/>
    <n v="3386.57"/>
    <n v="0.25"/>
    <n v="5079.8599999999997"/>
    <n v="4185.01"/>
    <n v="894.85"/>
    <s v="Debit Card"/>
    <x v="7"/>
    <n v="4"/>
    <x v="5"/>
  </r>
  <r>
    <s v="ORD100600"/>
    <d v="2025-06-07T00:00:00"/>
    <s v="Decathlon Chennai"/>
    <x v="3"/>
    <x v="2"/>
    <s v="CUST1327"/>
    <s v="Male"/>
    <x v="1"/>
    <x v="1"/>
    <x v="5"/>
    <s v="Trekking Shoes"/>
    <x v="4"/>
    <n v="3"/>
    <n v="4925.16"/>
    <n v="0.2"/>
    <n v="11820.38"/>
    <n v="9676.61"/>
    <n v="2143.77"/>
    <s v="Net Banking"/>
    <x v="7"/>
    <n v="3"/>
    <x v="11"/>
  </r>
  <r>
    <s v="ORD100601"/>
    <d v="2025-11-01T00:00:00"/>
    <s v="Decathlon Delhi"/>
    <x v="9"/>
    <x v="0"/>
    <s v="CUST1170"/>
    <s v="Female"/>
    <x v="3"/>
    <x v="2"/>
    <x v="3"/>
    <s v="Helmet"/>
    <x v="7"/>
    <n v="1"/>
    <n v="1986.97"/>
    <n v="0.05"/>
    <n v="1887.62"/>
    <n v="1154.3800000000001"/>
    <n v="733.24"/>
    <s v="Net Banking"/>
    <x v="6"/>
    <n v="5"/>
    <x v="2"/>
  </r>
  <r>
    <s v="ORD100602"/>
    <d v="2025-06-05T00:00:00"/>
    <s v="Decathlon Chennai"/>
    <x v="3"/>
    <x v="2"/>
    <s v="CUST1613"/>
    <s v="Male"/>
    <x v="3"/>
    <x v="1"/>
    <x v="1"/>
    <s v="Yoga Block"/>
    <x v="1"/>
    <n v="5"/>
    <n v="602.58000000000004"/>
    <n v="0.2"/>
    <n v="2410.3200000000002"/>
    <n v="1344.47"/>
    <n v="1065.8499999999999"/>
    <s v="UPI"/>
    <x v="7"/>
    <n v="4"/>
    <x v="11"/>
  </r>
  <r>
    <s v="ORD100603"/>
    <d v="2025-03-14T00:00:00"/>
    <s v="Decathlon Chennai"/>
    <x v="3"/>
    <x v="2"/>
    <s v="CUST1662"/>
    <s v="Female"/>
    <x v="1"/>
    <x v="2"/>
    <x v="1"/>
    <s v="Yoga Block"/>
    <x v="0"/>
    <n v="5"/>
    <n v="615.91"/>
    <n v="0.2"/>
    <n v="2463.64"/>
    <n v="1247.03"/>
    <n v="1216.6099999999999"/>
    <s v="Debit Card"/>
    <x v="7"/>
    <n v="3"/>
    <x v="1"/>
  </r>
  <r>
    <s v="ORD100604"/>
    <d v="2025-08-14T00:00:00"/>
    <s v="Decathlon Noida"/>
    <x v="5"/>
    <x v="0"/>
    <s v="CUST1868"/>
    <s v="Female"/>
    <x v="3"/>
    <x v="0"/>
    <x v="4"/>
    <s v="Shin Guards"/>
    <x v="1"/>
    <n v="1"/>
    <n v="950.58"/>
    <n v="0"/>
    <n v="950.58"/>
    <n v="485.67"/>
    <n v="464.91"/>
    <s v="Net Banking"/>
    <x v="0"/>
    <n v="4"/>
    <x v="3"/>
  </r>
  <r>
    <s v="ORD100605"/>
    <d v="2025-02-13T00:00:00"/>
    <s v="Decathlon Noida"/>
    <x v="5"/>
    <x v="0"/>
    <s v="CUST1812"/>
    <s v="Male"/>
    <x v="1"/>
    <x v="2"/>
    <x v="3"/>
    <s v="Helmet"/>
    <x v="4"/>
    <n v="1"/>
    <n v="2011.52"/>
    <n v="0.15"/>
    <n v="1709.79"/>
    <n v="1094.97"/>
    <n v="614.82000000000005"/>
    <s v="Credit Card"/>
    <x v="8"/>
    <n v="4"/>
    <x v="6"/>
  </r>
  <r>
    <s v="ORD100606"/>
    <d v="2025-08-16T00:00:00"/>
    <s v="Decathlon Gurugram"/>
    <x v="8"/>
    <x v="0"/>
    <s v="CUST1804"/>
    <s v="Male"/>
    <x v="2"/>
    <x v="0"/>
    <x v="0"/>
    <s v="Running T-Shirt"/>
    <x v="2"/>
    <n v="2"/>
    <n v="1031.45"/>
    <n v="0.25"/>
    <n v="1547.18"/>
    <n v="936.2"/>
    <n v="610.98"/>
    <s v="Cash"/>
    <x v="3"/>
    <n v="4"/>
    <x v="3"/>
  </r>
  <r>
    <s v="ORD100607"/>
    <d v="2025-09-09T00:00:00"/>
    <s v="Decathlon Delhi"/>
    <x v="9"/>
    <x v="0"/>
    <s v="CUST1925"/>
    <s v="Female"/>
    <x v="0"/>
    <x v="0"/>
    <x v="2"/>
    <s v="Swimming Goggles"/>
    <x v="5"/>
    <n v="3"/>
    <n v="925.13"/>
    <n v="0.3"/>
    <n v="1942.77"/>
    <n v="1410.11"/>
    <n v="532.66"/>
    <s v="Credit Card"/>
    <x v="1"/>
    <n v="4"/>
    <x v="7"/>
  </r>
  <r>
    <s v="ORD100608"/>
    <d v="2025-02-16T00:00:00"/>
    <s v="Decathlon Hyderabad"/>
    <x v="7"/>
    <x v="2"/>
    <s v="CUST1690"/>
    <s v="Female"/>
    <x v="1"/>
    <x v="0"/>
    <x v="3"/>
    <s v="Mountain Bike"/>
    <x v="4"/>
    <n v="4"/>
    <n v="24433.94"/>
    <n v="0.1"/>
    <n v="87962.18"/>
    <n v="73575.86"/>
    <n v="14386.32"/>
    <s v="Debit Card"/>
    <x v="3"/>
    <n v="4"/>
    <x v="6"/>
  </r>
  <r>
    <s v="ORD100609"/>
    <d v="2025-06-13T00:00:00"/>
    <s v="Decathlon Delhi"/>
    <x v="9"/>
    <x v="0"/>
    <s v="CUST1814"/>
    <s v="Female"/>
    <x v="1"/>
    <x v="0"/>
    <x v="2"/>
    <s v="Swimming Goggles"/>
    <x v="3"/>
    <n v="5"/>
    <n v="888.9"/>
    <n v="0"/>
    <n v="4444.5"/>
    <n v="2151.56"/>
    <n v="2292.94"/>
    <s v="Debit Card"/>
    <x v="4"/>
    <n v="4"/>
    <x v="11"/>
  </r>
  <r>
    <s v="ORD100610"/>
    <d v="2025-06-16T00:00:00"/>
    <s v="Decathlon Jaipur"/>
    <x v="0"/>
    <x v="0"/>
    <s v="CUST1953"/>
    <s v="Male"/>
    <x v="3"/>
    <x v="0"/>
    <x v="3"/>
    <s v="Cycling Gloves"/>
    <x v="1"/>
    <n v="2"/>
    <n v="812.87"/>
    <n v="0"/>
    <n v="1625.74"/>
    <n v="729.38"/>
    <n v="896.36"/>
    <s v="Credit Card"/>
    <x v="5"/>
    <n v="5"/>
    <x v="11"/>
  </r>
  <r>
    <s v="ORD100611"/>
    <d v="2025-05-19T00:00:00"/>
    <s v="Decathlon Mumbai"/>
    <x v="6"/>
    <x v="1"/>
    <s v="CUST1251"/>
    <s v="Female"/>
    <x v="3"/>
    <x v="1"/>
    <x v="1"/>
    <s v="Yoga Block"/>
    <x v="0"/>
    <n v="3"/>
    <n v="579.38"/>
    <n v="0.3"/>
    <n v="1216.7"/>
    <n v="781.59"/>
    <n v="435.11"/>
    <s v="UPI"/>
    <x v="8"/>
    <n v="3"/>
    <x v="10"/>
  </r>
  <r>
    <s v="ORD100612"/>
    <d v="2025-09-14T00:00:00"/>
    <s v="Decathlon Chennai"/>
    <x v="3"/>
    <x v="2"/>
    <s v="CUST1240"/>
    <s v="Male"/>
    <x v="0"/>
    <x v="2"/>
    <x v="3"/>
    <s v="Helmet"/>
    <x v="4"/>
    <n v="5"/>
    <n v="1941.65"/>
    <n v="0.05"/>
    <n v="9222.84"/>
    <n v="5704.21"/>
    <n v="3518.63"/>
    <s v="Cash"/>
    <x v="0"/>
    <n v="3"/>
    <x v="7"/>
  </r>
  <r>
    <s v="ORD100613"/>
    <d v="2025-06-11T00:00:00"/>
    <s v="Decathlon Bengaluru"/>
    <x v="4"/>
    <x v="2"/>
    <s v="CUST1238"/>
    <s v="Female"/>
    <x v="3"/>
    <x v="1"/>
    <x v="5"/>
    <s v="Water Bottle"/>
    <x v="0"/>
    <n v="2"/>
    <n v="695.82"/>
    <n v="0.05"/>
    <n v="1322.06"/>
    <n v="514.96"/>
    <n v="807.1"/>
    <s v="Credit Card"/>
    <x v="3"/>
    <n v="5"/>
    <x v="11"/>
  </r>
  <r>
    <s v="ORD100614"/>
    <d v="2025-03-18T00:00:00"/>
    <s v="Decathlon Noida"/>
    <x v="5"/>
    <x v="0"/>
    <s v="CUST1764"/>
    <s v="Male"/>
    <x v="2"/>
    <x v="0"/>
    <x v="1"/>
    <s v="Yoga Mat"/>
    <x v="5"/>
    <n v="5"/>
    <n v="1538.01"/>
    <n v="0"/>
    <n v="7690.05"/>
    <n v="3370.64"/>
    <n v="4319.41"/>
    <s v="UPI"/>
    <x v="7"/>
    <n v="4"/>
    <x v="1"/>
  </r>
  <r>
    <s v="ORD100615"/>
    <d v="2025-09-22T00:00:00"/>
    <s v="Decathlon Mumbai"/>
    <x v="6"/>
    <x v="1"/>
    <s v="CUST1772"/>
    <s v="Male"/>
    <x v="2"/>
    <x v="0"/>
    <x v="3"/>
    <s v="Cycling Gloves"/>
    <x v="1"/>
    <n v="4"/>
    <n v="776.12"/>
    <n v="0.05"/>
    <n v="2949.26"/>
    <n v="1417.92"/>
    <n v="1531.34"/>
    <s v="Credit Card"/>
    <x v="4"/>
    <n v="3"/>
    <x v="7"/>
  </r>
  <r>
    <s v="ORD100616"/>
    <d v="2025-05-18T00:00:00"/>
    <s v="Decathlon Delhi"/>
    <x v="9"/>
    <x v="0"/>
    <s v="CUST1994"/>
    <s v="Female"/>
    <x v="1"/>
    <x v="1"/>
    <x v="1"/>
    <s v="Yoga Mat"/>
    <x v="0"/>
    <n v="5"/>
    <n v="1535.08"/>
    <n v="0.2"/>
    <n v="6140.32"/>
    <n v="3483.82"/>
    <n v="2656.5"/>
    <s v="Cash"/>
    <x v="3"/>
    <n v="5"/>
    <x v="10"/>
  </r>
  <r>
    <s v="ORD100617"/>
    <d v="2025-12-09T00:00:00"/>
    <s v="Decathlon Hyderabad"/>
    <x v="7"/>
    <x v="2"/>
    <s v="CUST1749"/>
    <s v="Male"/>
    <x v="1"/>
    <x v="2"/>
    <x v="2"/>
    <s v="Swimsuit"/>
    <x v="7"/>
    <n v="4"/>
    <n v="1476.14"/>
    <n v="0"/>
    <n v="5904.56"/>
    <n v="3413.76"/>
    <n v="2490.8000000000002"/>
    <s v="Credit Card"/>
    <x v="0"/>
    <n v="4"/>
    <x v="0"/>
  </r>
  <r>
    <s v="ORD100618"/>
    <d v="2025-12-02T00:00:00"/>
    <s v="Decathlon Pune"/>
    <x v="1"/>
    <x v="1"/>
    <s v="CUST1511"/>
    <s v="Male"/>
    <x v="3"/>
    <x v="1"/>
    <x v="1"/>
    <s v="Yoga Block"/>
    <x v="7"/>
    <n v="4"/>
    <n v="582.04999999999995"/>
    <n v="0.2"/>
    <n v="1862.56"/>
    <n v="1074.6600000000001"/>
    <n v="787.9"/>
    <s v="Cash"/>
    <x v="8"/>
    <n v="4"/>
    <x v="0"/>
  </r>
  <r>
    <s v="ORD100619"/>
    <d v="2025-05-06T00:00:00"/>
    <s v="Decathlon Delhi"/>
    <x v="9"/>
    <x v="0"/>
    <s v="CUST1860"/>
    <s v="Female"/>
    <x v="1"/>
    <x v="2"/>
    <x v="3"/>
    <s v="Mountain Bike"/>
    <x v="3"/>
    <n v="2"/>
    <n v="23983.82"/>
    <n v="0.15"/>
    <n v="40772.49"/>
    <n v="37792.720000000001"/>
    <n v="2979.77"/>
    <s v="UPI"/>
    <x v="9"/>
    <n v="5"/>
    <x v="10"/>
  </r>
  <r>
    <s v="ORD100620"/>
    <d v="2025-09-27T00:00:00"/>
    <s v="Decathlon Pune"/>
    <x v="1"/>
    <x v="1"/>
    <s v="CUST1270"/>
    <s v="Male"/>
    <x v="3"/>
    <x v="0"/>
    <x v="4"/>
    <s v="Football Boots"/>
    <x v="6"/>
    <n v="4"/>
    <n v="3472.72"/>
    <n v="0.1"/>
    <n v="12501.79"/>
    <n v="8553.7900000000009"/>
    <n v="3948"/>
    <s v="Credit Card"/>
    <x v="1"/>
    <n v="5"/>
    <x v="7"/>
  </r>
  <r>
    <s v="ORD100621"/>
    <d v="2025-11-27T00:00:00"/>
    <s v="Decathlon Noida"/>
    <x v="5"/>
    <x v="0"/>
    <s v="CUST1407"/>
    <s v="Male"/>
    <x v="3"/>
    <x v="0"/>
    <x v="0"/>
    <s v="Running Shoes"/>
    <x v="5"/>
    <n v="3"/>
    <n v="3988.57"/>
    <n v="0.1"/>
    <n v="10769.14"/>
    <n v="6726.6"/>
    <n v="4042.54"/>
    <s v="Net Banking"/>
    <x v="7"/>
    <n v="5"/>
    <x v="2"/>
  </r>
  <r>
    <s v="ORD100622"/>
    <d v="2025-10-19T00:00:00"/>
    <s v="Decathlon Hyderabad"/>
    <x v="7"/>
    <x v="2"/>
    <s v="CUST1764"/>
    <s v="Male"/>
    <x v="0"/>
    <x v="1"/>
    <x v="3"/>
    <s v="Cycling Gloves"/>
    <x v="6"/>
    <n v="3"/>
    <n v="772.91"/>
    <n v="0.3"/>
    <n v="1623.11"/>
    <n v="1081.1500000000001"/>
    <n v="541.96"/>
    <s v="Credit Card"/>
    <x v="3"/>
    <n v="3"/>
    <x v="9"/>
  </r>
  <r>
    <s v="ORD100623"/>
    <d v="2025-02-09T00:00:00"/>
    <s v="Decathlon Gurugram"/>
    <x v="8"/>
    <x v="0"/>
    <s v="CUST1009"/>
    <s v="Female"/>
    <x v="1"/>
    <x v="2"/>
    <x v="5"/>
    <s v="Trekking Shoes"/>
    <x v="1"/>
    <n v="4"/>
    <n v="5227.3900000000003"/>
    <n v="0.25"/>
    <n v="15682.17"/>
    <n v="13122.65"/>
    <n v="2559.52"/>
    <s v="Debit Card"/>
    <x v="1"/>
    <n v="5"/>
    <x v="6"/>
  </r>
  <r>
    <s v="ORD100624"/>
    <d v="2025-11-26T00:00:00"/>
    <s v="Decathlon Pune"/>
    <x v="1"/>
    <x v="1"/>
    <s v="CUST1045"/>
    <s v="Female"/>
    <x v="1"/>
    <x v="2"/>
    <x v="1"/>
    <s v="Yoga Block"/>
    <x v="3"/>
    <n v="3"/>
    <n v="586.6"/>
    <n v="0.25"/>
    <n v="1319.85"/>
    <n v="744.64"/>
    <n v="575.21"/>
    <s v="Credit Card"/>
    <x v="2"/>
    <n v="4"/>
    <x v="2"/>
  </r>
  <r>
    <s v="ORD100625"/>
    <d v="2025-07-07T00:00:00"/>
    <s v="Decathlon Hyderabad"/>
    <x v="7"/>
    <x v="2"/>
    <s v="CUST1982"/>
    <s v="Female"/>
    <x v="1"/>
    <x v="2"/>
    <x v="2"/>
    <s v="Swim Cap"/>
    <x v="1"/>
    <n v="5"/>
    <n v="481.13"/>
    <n v="0.25"/>
    <n v="1804.24"/>
    <n v="1119.49"/>
    <n v="684.75"/>
    <s v="Debit Card"/>
    <x v="3"/>
    <n v="4"/>
    <x v="8"/>
  </r>
  <r>
    <s v="ORD100626"/>
    <d v="2025-07-01T00:00:00"/>
    <s v="Decathlon Mumbai"/>
    <x v="6"/>
    <x v="1"/>
    <s v="CUST1050"/>
    <s v="Female"/>
    <x v="2"/>
    <x v="0"/>
    <x v="3"/>
    <s v="Helmet"/>
    <x v="6"/>
    <n v="2"/>
    <n v="1971.72"/>
    <n v="0.3"/>
    <n v="2760.41"/>
    <n v="2197.04"/>
    <n v="563.37"/>
    <s v="Credit Card"/>
    <x v="8"/>
    <n v="5"/>
    <x v="8"/>
  </r>
  <r>
    <s v="ORD100627"/>
    <d v="2025-03-25T00:00:00"/>
    <s v="Decathlon Delhi"/>
    <x v="9"/>
    <x v="0"/>
    <s v="CUST1564"/>
    <s v="Male"/>
    <x v="0"/>
    <x v="1"/>
    <x v="1"/>
    <s v="Yoga Block"/>
    <x v="4"/>
    <n v="3"/>
    <n v="617.46"/>
    <n v="0.2"/>
    <n v="1481.9"/>
    <n v="817.9"/>
    <n v="664"/>
    <s v="Debit Card"/>
    <x v="7"/>
    <n v="3"/>
    <x v="1"/>
  </r>
  <r>
    <s v="ORD100628"/>
    <d v="2025-05-21T00:00:00"/>
    <s v="Decathlon Chennai"/>
    <x v="3"/>
    <x v="2"/>
    <s v="CUST1984"/>
    <s v="Female"/>
    <x v="2"/>
    <x v="1"/>
    <x v="0"/>
    <s v="Running T-Shirt"/>
    <x v="6"/>
    <n v="2"/>
    <n v="955.53"/>
    <n v="0.1"/>
    <n v="1719.95"/>
    <n v="933.66"/>
    <n v="786.29"/>
    <s v="UPI"/>
    <x v="5"/>
    <n v="3"/>
    <x v="10"/>
  </r>
  <r>
    <s v="ORD100629"/>
    <d v="2025-02-04T00:00:00"/>
    <s v="Decathlon Pune"/>
    <x v="1"/>
    <x v="1"/>
    <s v="CUST1431"/>
    <s v="Female"/>
    <x v="2"/>
    <x v="2"/>
    <x v="1"/>
    <s v="Yoga Mat"/>
    <x v="6"/>
    <n v="1"/>
    <n v="1463.41"/>
    <n v="0.15"/>
    <n v="1243.9000000000001"/>
    <n v="699.91"/>
    <n v="543.99"/>
    <s v="UPI"/>
    <x v="1"/>
    <n v="3"/>
    <x v="6"/>
  </r>
  <r>
    <s v="ORD100630"/>
    <d v="2025-03-10T00:00:00"/>
    <s v="Decathlon Delhi"/>
    <x v="9"/>
    <x v="0"/>
    <s v="CUST1544"/>
    <s v="Male"/>
    <x v="3"/>
    <x v="0"/>
    <x v="2"/>
    <s v="Swim Cap"/>
    <x v="3"/>
    <n v="4"/>
    <n v="478.6"/>
    <n v="0.2"/>
    <n v="1531.52"/>
    <n v="880.3"/>
    <n v="651.22"/>
    <s v="Cash"/>
    <x v="1"/>
    <n v="3"/>
    <x v="1"/>
  </r>
  <r>
    <s v="ORD100631"/>
    <d v="2025-09-12T00:00:00"/>
    <s v="Decathlon Noida"/>
    <x v="5"/>
    <x v="0"/>
    <s v="CUST1348"/>
    <s v="Female"/>
    <x v="1"/>
    <x v="2"/>
    <x v="1"/>
    <s v="Yoga Mat"/>
    <x v="2"/>
    <n v="4"/>
    <n v="1551.41"/>
    <n v="0.15"/>
    <n v="5274.79"/>
    <n v="2784.16"/>
    <n v="2490.63"/>
    <s v="Debit Card"/>
    <x v="3"/>
    <n v="4"/>
    <x v="7"/>
  </r>
  <r>
    <s v="ORD100632"/>
    <d v="2025-05-23T00:00:00"/>
    <s v="Decathlon Mumbai"/>
    <x v="6"/>
    <x v="1"/>
    <s v="CUST1517"/>
    <s v="Male"/>
    <x v="3"/>
    <x v="2"/>
    <x v="0"/>
    <s v="Running Shoes"/>
    <x v="4"/>
    <n v="3"/>
    <n v="3941.71"/>
    <n v="0.1"/>
    <n v="10642.62"/>
    <n v="6689.84"/>
    <n v="3952.78"/>
    <s v="Debit Card"/>
    <x v="8"/>
    <n v="5"/>
    <x v="10"/>
  </r>
  <r>
    <s v="ORD100633"/>
    <d v="2025-04-25T00:00:00"/>
    <s v="Decathlon Hyderabad"/>
    <x v="7"/>
    <x v="2"/>
    <s v="CUST1058"/>
    <s v="Female"/>
    <x v="1"/>
    <x v="0"/>
    <x v="4"/>
    <s v="Football Boots"/>
    <x v="3"/>
    <n v="3"/>
    <n v="3459.52"/>
    <n v="0.15"/>
    <n v="8821.7800000000007"/>
    <n v="6073.01"/>
    <n v="2748.77"/>
    <s v="Debit Card"/>
    <x v="2"/>
    <n v="3"/>
    <x v="5"/>
  </r>
  <r>
    <s v="ORD100634"/>
    <d v="2025-06-01T00:00:00"/>
    <s v="Decathlon Chennai"/>
    <x v="3"/>
    <x v="2"/>
    <s v="CUST1130"/>
    <s v="Female"/>
    <x v="2"/>
    <x v="0"/>
    <x v="2"/>
    <s v="Swim Cap"/>
    <x v="2"/>
    <n v="3"/>
    <n v="514.37"/>
    <n v="0.25"/>
    <n v="1157.33"/>
    <n v="666.36"/>
    <n v="490.97"/>
    <s v="Net Banking"/>
    <x v="1"/>
    <n v="5"/>
    <x v="11"/>
  </r>
  <r>
    <s v="ORD100635"/>
    <d v="2025-09-13T00:00:00"/>
    <s v="Decathlon Noida"/>
    <x v="5"/>
    <x v="0"/>
    <s v="CUST1642"/>
    <s v="Female"/>
    <x v="0"/>
    <x v="2"/>
    <x v="3"/>
    <s v="Helmet"/>
    <x v="4"/>
    <n v="1"/>
    <n v="2034.56"/>
    <n v="0.1"/>
    <n v="1831.1"/>
    <n v="1067.1500000000001"/>
    <n v="763.95"/>
    <s v="Debit Card"/>
    <x v="1"/>
    <n v="3"/>
    <x v="7"/>
  </r>
  <r>
    <s v="ORD100636"/>
    <d v="2025-03-30T00:00:00"/>
    <s v="Decathlon Delhi"/>
    <x v="9"/>
    <x v="0"/>
    <s v="CUST1214"/>
    <s v="Male"/>
    <x v="0"/>
    <x v="2"/>
    <x v="0"/>
    <s v="Running Shoes"/>
    <x v="4"/>
    <n v="1"/>
    <n v="4015.12"/>
    <n v="0.25"/>
    <n v="3011.34"/>
    <n v="2282.69"/>
    <n v="728.65"/>
    <s v="Cash"/>
    <x v="1"/>
    <n v="3"/>
    <x v="1"/>
  </r>
  <r>
    <s v="ORD100637"/>
    <d v="2025-02-07T00:00:00"/>
    <s v="Decathlon Chennai"/>
    <x v="3"/>
    <x v="2"/>
    <s v="CUST1897"/>
    <s v="Male"/>
    <x v="1"/>
    <x v="1"/>
    <x v="3"/>
    <s v="Helmet"/>
    <x v="1"/>
    <n v="1"/>
    <n v="2009.67"/>
    <n v="0.05"/>
    <n v="1909.19"/>
    <n v="1079.94"/>
    <n v="829.25"/>
    <s v="Debit Card"/>
    <x v="6"/>
    <n v="4"/>
    <x v="6"/>
  </r>
  <r>
    <s v="ORD100638"/>
    <d v="2025-12-16T00:00:00"/>
    <s v="Decathlon Jaipur"/>
    <x v="0"/>
    <x v="0"/>
    <s v="CUST1453"/>
    <s v="Male"/>
    <x v="1"/>
    <x v="2"/>
    <x v="1"/>
    <s v="Resistance Band"/>
    <x v="7"/>
    <n v="3"/>
    <n v="894.18"/>
    <n v="0.05"/>
    <n v="2548.41"/>
    <n v="1250.4000000000001"/>
    <n v="1298.01"/>
    <s v="Cash"/>
    <x v="8"/>
    <n v="4"/>
    <x v="0"/>
  </r>
  <r>
    <s v="ORD100639"/>
    <d v="2025-02-28T00:00:00"/>
    <s v="Decathlon Ahmedabad"/>
    <x v="2"/>
    <x v="1"/>
    <s v="CUST1714"/>
    <s v="Male"/>
    <x v="1"/>
    <x v="2"/>
    <x v="5"/>
    <s v="Trekking Shoes"/>
    <x v="1"/>
    <n v="3"/>
    <n v="4853.12"/>
    <n v="0.2"/>
    <n v="11647.49"/>
    <n v="9307.57"/>
    <n v="2339.92"/>
    <s v="Net Banking"/>
    <x v="1"/>
    <n v="4"/>
    <x v="6"/>
  </r>
  <r>
    <s v="ORD100640"/>
    <d v="2025-06-25T00:00:00"/>
    <s v="Decathlon Delhi"/>
    <x v="9"/>
    <x v="0"/>
    <s v="CUST1143"/>
    <s v="Male"/>
    <x v="0"/>
    <x v="0"/>
    <x v="5"/>
    <s v="Trekking Shoes"/>
    <x v="5"/>
    <n v="1"/>
    <n v="5001.88"/>
    <n v="0.3"/>
    <n v="3501.32"/>
    <n v="3218.34"/>
    <n v="282.98"/>
    <s v="Net Banking"/>
    <x v="8"/>
    <n v="4"/>
    <x v="11"/>
  </r>
  <r>
    <s v="ORD100641"/>
    <d v="2025-08-06T00:00:00"/>
    <s v="Decathlon Mumbai"/>
    <x v="6"/>
    <x v="1"/>
    <s v="CUST1705"/>
    <s v="Female"/>
    <x v="3"/>
    <x v="1"/>
    <x v="0"/>
    <s v="Fitness Band"/>
    <x v="2"/>
    <n v="4"/>
    <n v="2471.4899999999998"/>
    <n v="0.05"/>
    <n v="9391.66"/>
    <n v="6011.55"/>
    <n v="3380.11"/>
    <s v="Credit Card"/>
    <x v="8"/>
    <n v="3"/>
    <x v="3"/>
  </r>
  <r>
    <s v="ORD100642"/>
    <d v="2025-06-23T00:00:00"/>
    <s v="Decathlon Noida"/>
    <x v="5"/>
    <x v="0"/>
    <s v="CUST1511"/>
    <s v="Male"/>
    <x v="3"/>
    <x v="2"/>
    <x v="4"/>
    <s v="Football"/>
    <x v="5"/>
    <n v="3"/>
    <n v="1282.22"/>
    <n v="0.3"/>
    <n v="2692.66"/>
    <n v="2065.2399999999998"/>
    <n v="627.41999999999996"/>
    <s v="Debit Card"/>
    <x v="4"/>
    <n v="3"/>
    <x v="11"/>
  </r>
  <r>
    <s v="ORD100643"/>
    <d v="2025-01-20T00:00:00"/>
    <s v="Decathlon Hyderabad"/>
    <x v="7"/>
    <x v="2"/>
    <s v="CUST1103"/>
    <s v="Male"/>
    <x v="3"/>
    <x v="1"/>
    <x v="1"/>
    <s v="Yoga Mat"/>
    <x v="2"/>
    <n v="1"/>
    <n v="1487.81"/>
    <n v="0.1"/>
    <n v="1339.03"/>
    <n v="713.38"/>
    <n v="625.65"/>
    <s v="Net Banking"/>
    <x v="4"/>
    <n v="5"/>
    <x v="4"/>
  </r>
  <r>
    <s v="ORD100644"/>
    <d v="2025-03-07T00:00:00"/>
    <s v="Decathlon Chennai"/>
    <x v="3"/>
    <x v="2"/>
    <s v="CUST1497"/>
    <s v="Female"/>
    <x v="1"/>
    <x v="2"/>
    <x v="5"/>
    <s v="Water Bottle"/>
    <x v="7"/>
    <n v="2"/>
    <n v="682.33"/>
    <n v="0.3"/>
    <n v="955.26"/>
    <n v="483.45"/>
    <n v="471.81"/>
    <s v="Credit Card"/>
    <x v="3"/>
    <n v="5"/>
    <x v="1"/>
  </r>
  <r>
    <s v="ORD100645"/>
    <d v="2025-06-02T00:00:00"/>
    <s v="Decathlon Hyderabad"/>
    <x v="7"/>
    <x v="2"/>
    <s v="CUST1518"/>
    <s v="Female"/>
    <x v="0"/>
    <x v="1"/>
    <x v="5"/>
    <s v="Water Bottle"/>
    <x v="2"/>
    <n v="4"/>
    <n v="671.94"/>
    <n v="0.2"/>
    <n v="2150.21"/>
    <n v="1017.3"/>
    <n v="1132.9100000000001"/>
    <s v="Credit Card"/>
    <x v="4"/>
    <n v="5"/>
    <x v="11"/>
  </r>
  <r>
    <s v="ORD100646"/>
    <d v="2025-03-29T00:00:00"/>
    <s v="Decathlon Pune"/>
    <x v="1"/>
    <x v="1"/>
    <s v="CUST1745"/>
    <s v="Male"/>
    <x v="1"/>
    <x v="2"/>
    <x v="4"/>
    <s v="Football"/>
    <x v="3"/>
    <n v="4"/>
    <n v="1266.48"/>
    <n v="0.25"/>
    <n v="3799.44"/>
    <n v="2903.63"/>
    <n v="895.81"/>
    <s v="Credit Card"/>
    <x v="6"/>
    <n v="5"/>
    <x v="1"/>
  </r>
  <r>
    <s v="ORD100647"/>
    <d v="2025-09-01T00:00:00"/>
    <s v="Decathlon Gurugram"/>
    <x v="8"/>
    <x v="0"/>
    <s v="CUST1234"/>
    <s v="Female"/>
    <x v="1"/>
    <x v="0"/>
    <x v="3"/>
    <s v="Cycling Gloves"/>
    <x v="7"/>
    <n v="4"/>
    <n v="831.81"/>
    <n v="0.25"/>
    <n v="2495.4299999999998"/>
    <n v="1356.44"/>
    <n v="1138.99"/>
    <s v="UPI"/>
    <x v="5"/>
    <n v="4"/>
    <x v="7"/>
  </r>
  <r>
    <s v="ORD100648"/>
    <d v="2025-09-26T00:00:00"/>
    <s v="Decathlon Ahmedabad"/>
    <x v="2"/>
    <x v="1"/>
    <s v="CUST1468"/>
    <s v="Male"/>
    <x v="2"/>
    <x v="1"/>
    <x v="3"/>
    <s v="Cycling Gloves"/>
    <x v="6"/>
    <n v="1"/>
    <n v="787.86"/>
    <n v="0.25"/>
    <n v="590.89"/>
    <n v="347.72"/>
    <n v="243.17"/>
    <s v="Credit Card"/>
    <x v="8"/>
    <n v="5"/>
    <x v="7"/>
  </r>
  <r>
    <s v="ORD100649"/>
    <d v="2025-10-28T00:00:00"/>
    <s v="Decathlon Bengaluru"/>
    <x v="4"/>
    <x v="2"/>
    <s v="CUST1265"/>
    <s v="Female"/>
    <x v="2"/>
    <x v="2"/>
    <x v="5"/>
    <s v="Water Bottle"/>
    <x v="0"/>
    <n v="3"/>
    <n v="717.08"/>
    <n v="0.2"/>
    <n v="1720.99"/>
    <n v="787.14"/>
    <n v="933.85"/>
    <s v="Net Banking"/>
    <x v="6"/>
    <n v="4"/>
    <x v="9"/>
  </r>
  <r>
    <s v="ORD100650"/>
    <d v="2025-03-07T00:00:00"/>
    <s v="Decathlon Hyderabad"/>
    <x v="7"/>
    <x v="2"/>
    <s v="CUST1428"/>
    <s v="Male"/>
    <x v="1"/>
    <x v="2"/>
    <x v="4"/>
    <s v="Football Boots"/>
    <x v="3"/>
    <n v="4"/>
    <n v="3529.58"/>
    <n v="0.05"/>
    <n v="13412.4"/>
    <n v="8264.18"/>
    <n v="5148.22"/>
    <s v="Net Banking"/>
    <x v="1"/>
    <n v="5"/>
    <x v="1"/>
  </r>
  <r>
    <s v="ORD100651"/>
    <d v="2025-08-15T00:00:00"/>
    <s v="Decathlon Hyderabad"/>
    <x v="7"/>
    <x v="2"/>
    <s v="CUST1379"/>
    <s v="Male"/>
    <x v="0"/>
    <x v="0"/>
    <x v="5"/>
    <s v="Trekking Shoes"/>
    <x v="4"/>
    <n v="3"/>
    <n v="4815.93"/>
    <n v="0.2"/>
    <n v="11558.23"/>
    <n v="10020.799999999999"/>
    <n v="1537.43"/>
    <s v="Cash"/>
    <x v="0"/>
    <n v="5"/>
    <x v="3"/>
  </r>
  <r>
    <s v="ORD100652"/>
    <d v="2025-11-05T00:00:00"/>
    <s v="Decathlon Mumbai"/>
    <x v="6"/>
    <x v="1"/>
    <s v="CUST1940"/>
    <s v="Female"/>
    <x v="2"/>
    <x v="0"/>
    <x v="3"/>
    <s v="Mountain Bike"/>
    <x v="0"/>
    <n v="1"/>
    <n v="25613.47"/>
    <n v="0.15"/>
    <n v="21771.45"/>
    <n v="17730.71"/>
    <n v="4040.74"/>
    <s v="Credit Card"/>
    <x v="4"/>
    <n v="5"/>
    <x v="2"/>
  </r>
  <r>
    <s v="ORD100653"/>
    <d v="2025-07-11T00:00:00"/>
    <s v="Decathlon Delhi"/>
    <x v="9"/>
    <x v="0"/>
    <s v="CUST1603"/>
    <s v="Female"/>
    <x v="1"/>
    <x v="1"/>
    <x v="4"/>
    <s v="Football"/>
    <x v="6"/>
    <n v="4"/>
    <n v="1297.21"/>
    <n v="0.2"/>
    <n v="4151.07"/>
    <n v="2878.87"/>
    <n v="1272.2"/>
    <s v="Net Banking"/>
    <x v="7"/>
    <n v="5"/>
    <x v="8"/>
  </r>
  <r>
    <s v="ORD100654"/>
    <d v="2025-10-27T00:00:00"/>
    <s v="Decathlon Jaipur"/>
    <x v="0"/>
    <x v="0"/>
    <s v="CUST1542"/>
    <s v="Female"/>
    <x v="1"/>
    <x v="0"/>
    <x v="4"/>
    <s v="Shin Guards"/>
    <x v="3"/>
    <n v="3"/>
    <n v="999.66"/>
    <n v="0.15"/>
    <n v="2549.13"/>
    <n v="1507.82"/>
    <n v="1041.31"/>
    <s v="Credit Card"/>
    <x v="1"/>
    <n v="4"/>
    <x v="9"/>
  </r>
  <r>
    <s v="ORD100655"/>
    <d v="2025-06-18T00:00:00"/>
    <s v="Decathlon Bengaluru"/>
    <x v="4"/>
    <x v="2"/>
    <s v="CUST1027"/>
    <s v="Female"/>
    <x v="3"/>
    <x v="0"/>
    <x v="0"/>
    <s v="Running T-Shirt"/>
    <x v="3"/>
    <n v="2"/>
    <n v="998.55"/>
    <n v="0.3"/>
    <n v="1397.97"/>
    <n v="932.96"/>
    <n v="465.01"/>
    <s v="Credit Card"/>
    <x v="8"/>
    <n v="5"/>
    <x v="11"/>
  </r>
  <r>
    <s v="ORD100656"/>
    <d v="2025-03-06T00:00:00"/>
    <s v="Decathlon Jaipur"/>
    <x v="0"/>
    <x v="0"/>
    <s v="CUST1393"/>
    <s v="Female"/>
    <x v="2"/>
    <x v="0"/>
    <x v="1"/>
    <s v="Yoga Mat"/>
    <x v="5"/>
    <n v="1"/>
    <n v="1432.12"/>
    <n v="0.1"/>
    <n v="1288.9100000000001"/>
    <n v="714.63"/>
    <n v="574.28"/>
    <s v="UPI"/>
    <x v="4"/>
    <n v="3"/>
    <x v="1"/>
  </r>
  <r>
    <s v="ORD100657"/>
    <d v="2025-05-15T00:00:00"/>
    <s v="Decathlon Noida"/>
    <x v="5"/>
    <x v="0"/>
    <s v="CUST1517"/>
    <s v="Male"/>
    <x v="0"/>
    <x v="2"/>
    <x v="2"/>
    <s v="Swim Cap"/>
    <x v="4"/>
    <n v="1"/>
    <n v="505.75"/>
    <n v="0.25"/>
    <n v="379.31"/>
    <n v="219.36"/>
    <n v="159.94999999999999"/>
    <s v="Cash"/>
    <x v="3"/>
    <n v="3"/>
    <x v="10"/>
  </r>
  <r>
    <s v="ORD100658"/>
    <d v="2025-07-11T00:00:00"/>
    <s v="Decathlon Noida"/>
    <x v="5"/>
    <x v="0"/>
    <s v="CUST1044"/>
    <s v="Female"/>
    <x v="0"/>
    <x v="2"/>
    <x v="1"/>
    <s v="Resistance Band"/>
    <x v="0"/>
    <n v="2"/>
    <n v="861.78"/>
    <n v="0.1"/>
    <n v="1551.2"/>
    <n v="761.96"/>
    <n v="789.24"/>
    <s v="Credit Card"/>
    <x v="5"/>
    <n v="4"/>
    <x v="8"/>
  </r>
  <r>
    <s v="ORD100659"/>
    <d v="2025-10-15T00:00:00"/>
    <s v="Decathlon Delhi"/>
    <x v="9"/>
    <x v="0"/>
    <s v="CUST1228"/>
    <s v="Female"/>
    <x v="2"/>
    <x v="1"/>
    <x v="0"/>
    <s v="Fitness Band"/>
    <x v="2"/>
    <n v="4"/>
    <n v="2569.1799999999998"/>
    <n v="0.2"/>
    <n v="8221.3799999999992"/>
    <n v="5772.28"/>
    <n v="2449.1"/>
    <s v="Debit Card"/>
    <x v="8"/>
    <n v="3"/>
    <x v="9"/>
  </r>
  <r>
    <s v="ORD100660"/>
    <d v="2025-11-12T00:00:00"/>
    <s v="Decathlon Noida"/>
    <x v="5"/>
    <x v="0"/>
    <s v="CUST1373"/>
    <s v="Male"/>
    <x v="2"/>
    <x v="0"/>
    <x v="5"/>
    <s v="Backpack"/>
    <x v="1"/>
    <n v="3"/>
    <n v="3028.34"/>
    <n v="0.2"/>
    <n v="7268.02"/>
    <n v="4941.67"/>
    <n v="2326.35"/>
    <s v="Debit Card"/>
    <x v="9"/>
    <n v="3"/>
    <x v="2"/>
  </r>
  <r>
    <s v="ORD100661"/>
    <d v="2025-03-19T00:00:00"/>
    <s v="Decathlon Hyderabad"/>
    <x v="7"/>
    <x v="2"/>
    <s v="CUST1731"/>
    <s v="Female"/>
    <x v="1"/>
    <x v="2"/>
    <x v="0"/>
    <s v="Running T-Shirt"/>
    <x v="6"/>
    <n v="3"/>
    <n v="1009.17"/>
    <n v="0.15"/>
    <n v="2573.38"/>
    <n v="1304.47"/>
    <n v="1268.9100000000001"/>
    <s v="Debit Card"/>
    <x v="2"/>
    <n v="5"/>
    <x v="1"/>
  </r>
  <r>
    <s v="ORD100662"/>
    <d v="2025-06-19T00:00:00"/>
    <s v="Decathlon Bengaluru"/>
    <x v="4"/>
    <x v="2"/>
    <s v="CUST1517"/>
    <s v="Male"/>
    <x v="0"/>
    <x v="2"/>
    <x v="5"/>
    <s v="Trekking Shoes"/>
    <x v="6"/>
    <n v="1"/>
    <n v="5194.33"/>
    <n v="0.05"/>
    <n v="4934.6099999999997"/>
    <n v="3143.54"/>
    <n v="1791.07"/>
    <s v="UPI"/>
    <x v="3"/>
    <n v="5"/>
    <x v="11"/>
  </r>
  <r>
    <s v="ORD100663"/>
    <d v="2025-11-22T00:00:00"/>
    <s v="Decathlon Ahmedabad"/>
    <x v="2"/>
    <x v="1"/>
    <s v="CUST1697"/>
    <s v="Male"/>
    <x v="2"/>
    <x v="0"/>
    <x v="1"/>
    <s v="Resistance Band"/>
    <x v="6"/>
    <n v="3"/>
    <n v="913.25"/>
    <n v="0.25"/>
    <n v="2054.81"/>
    <n v="1151.6099999999999"/>
    <n v="903.2"/>
    <s v="Credit Card"/>
    <x v="5"/>
    <n v="4"/>
    <x v="2"/>
  </r>
  <r>
    <s v="ORD100664"/>
    <d v="2025-12-18T00:00:00"/>
    <s v="Decathlon Noida"/>
    <x v="5"/>
    <x v="0"/>
    <s v="CUST1514"/>
    <s v="Female"/>
    <x v="2"/>
    <x v="0"/>
    <x v="3"/>
    <s v="Helmet"/>
    <x v="6"/>
    <n v="3"/>
    <n v="2030.56"/>
    <n v="0.1"/>
    <n v="5482.51"/>
    <n v="3447.89"/>
    <n v="2034.62"/>
    <s v="UPI"/>
    <x v="1"/>
    <n v="5"/>
    <x v="0"/>
  </r>
  <r>
    <s v="ORD100665"/>
    <d v="2025-05-24T00:00:00"/>
    <s v="Decathlon Gurugram"/>
    <x v="8"/>
    <x v="0"/>
    <s v="CUST1281"/>
    <s v="Male"/>
    <x v="2"/>
    <x v="0"/>
    <x v="0"/>
    <s v="Fitness Band"/>
    <x v="4"/>
    <n v="2"/>
    <n v="2555.46"/>
    <n v="0.25"/>
    <n v="3833.19"/>
    <n v="2967.2"/>
    <n v="865.99"/>
    <s v="UPI"/>
    <x v="6"/>
    <n v="5"/>
    <x v="10"/>
  </r>
  <r>
    <s v="ORD100666"/>
    <d v="2025-10-13T00:00:00"/>
    <s v="Decathlon Delhi"/>
    <x v="9"/>
    <x v="0"/>
    <s v="CUST1879"/>
    <s v="Male"/>
    <x v="3"/>
    <x v="2"/>
    <x v="5"/>
    <s v="Water Bottle"/>
    <x v="7"/>
    <n v="3"/>
    <n v="701"/>
    <n v="0.25"/>
    <n v="1577.25"/>
    <n v="744.05"/>
    <n v="833.2"/>
    <s v="Cash"/>
    <x v="6"/>
    <n v="5"/>
    <x v="9"/>
  </r>
  <r>
    <s v="ORD100667"/>
    <d v="2025-11-16T00:00:00"/>
    <s v="Decathlon Chennai"/>
    <x v="3"/>
    <x v="2"/>
    <s v="CUST1459"/>
    <s v="Male"/>
    <x v="3"/>
    <x v="2"/>
    <x v="2"/>
    <s v="Swimming Goggles"/>
    <x v="0"/>
    <n v="5"/>
    <n v="873.14"/>
    <n v="0.05"/>
    <n v="4147.41"/>
    <n v="2265.1999999999998"/>
    <n v="1882.21"/>
    <s v="Debit Card"/>
    <x v="4"/>
    <n v="3"/>
    <x v="2"/>
  </r>
  <r>
    <s v="ORD100668"/>
    <d v="2025-12-01T00:00:00"/>
    <s v="Decathlon Jaipur"/>
    <x v="0"/>
    <x v="0"/>
    <s v="CUST1212"/>
    <s v="Male"/>
    <x v="1"/>
    <x v="1"/>
    <x v="2"/>
    <s v="Swimsuit"/>
    <x v="2"/>
    <n v="5"/>
    <n v="1465.44"/>
    <n v="0"/>
    <n v="7327.2"/>
    <n v="4412.12"/>
    <n v="2915.08"/>
    <s v="Credit Card"/>
    <x v="2"/>
    <n v="3"/>
    <x v="0"/>
  </r>
  <r>
    <s v="ORD100669"/>
    <d v="2025-09-11T00:00:00"/>
    <s v="Decathlon Pune"/>
    <x v="1"/>
    <x v="1"/>
    <s v="CUST1084"/>
    <s v="Female"/>
    <x v="0"/>
    <x v="2"/>
    <x v="2"/>
    <s v="Swimsuit"/>
    <x v="4"/>
    <n v="5"/>
    <n v="1436.49"/>
    <n v="0.15"/>
    <n v="6105.08"/>
    <n v="4259.13"/>
    <n v="1845.95"/>
    <s v="Credit Card"/>
    <x v="3"/>
    <n v="3"/>
    <x v="7"/>
  </r>
  <r>
    <s v="ORD100670"/>
    <d v="2025-07-14T00:00:00"/>
    <s v="Decathlon Delhi"/>
    <x v="9"/>
    <x v="0"/>
    <s v="CUST1643"/>
    <s v="Female"/>
    <x v="3"/>
    <x v="0"/>
    <x v="1"/>
    <s v="Yoga Mat"/>
    <x v="0"/>
    <n v="3"/>
    <n v="1529.67"/>
    <n v="0.05"/>
    <n v="4359.5600000000004"/>
    <n v="2172.0700000000002"/>
    <n v="2187.4899999999998"/>
    <s v="Cash"/>
    <x v="0"/>
    <n v="4"/>
    <x v="8"/>
  </r>
  <r>
    <s v="ORD100671"/>
    <d v="2025-01-17T00:00:00"/>
    <s v="Decathlon Noida"/>
    <x v="5"/>
    <x v="0"/>
    <s v="CUST1070"/>
    <s v="Male"/>
    <x v="3"/>
    <x v="0"/>
    <x v="1"/>
    <s v="Yoga Mat"/>
    <x v="4"/>
    <n v="5"/>
    <n v="1558.79"/>
    <n v="0.15"/>
    <n v="6624.86"/>
    <n v="3487.47"/>
    <n v="3137.39"/>
    <s v="Net Banking"/>
    <x v="0"/>
    <n v="3"/>
    <x v="4"/>
  </r>
  <r>
    <s v="ORD100672"/>
    <d v="2025-03-27T00:00:00"/>
    <s v="Decathlon Hyderabad"/>
    <x v="7"/>
    <x v="2"/>
    <s v="CUST1039"/>
    <s v="Female"/>
    <x v="1"/>
    <x v="2"/>
    <x v="2"/>
    <s v="Swimming Goggles"/>
    <x v="2"/>
    <n v="3"/>
    <n v="921.1"/>
    <n v="0.2"/>
    <n v="2210.64"/>
    <n v="1298.95"/>
    <n v="911.69"/>
    <s v="UPI"/>
    <x v="5"/>
    <n v="3"/>
    <x v="1"/>
  </r>
  <r>
    <s v="ORD100673"/>
    <d v="2025-08-01T00:00:00"/>
    <s v="Decathlon Pune"/>
    <x v="1"/>
    <x v="1"/>
    <s v="CUST1991"/>
    <s v="Female"/>
    <x v="1"/>
    <x v="1"/>
    <x v="1"/>
    <s v="Yoga Block"/>
    <x v="0"/>
    <n v="5"/>
    <n v="593.84"/>
    <n v="0.1"/>
    <n v="2672.28"/>
    <n v="1294.6199999999999"/>
    <n v="1377.66"/>
    <s v="Net Banking"/>
    <x v="5"/>
    <n v="3"/>
    <x v="3"/>
  </r>
  <r>
    <s v="ORD100674"/>
    <d v="2025-12-10T00:00:00"/>
    <s v="Decathlon Jaipur"/>
    <x v="0"/>
    <x v="0"/>
    <s v="CUST1232"/>
    <s v="Female"/>
    <x v="3"/>
    <x v="2"/>
    <x v="2"/>
    <s v="Swim Cap"/>
    <x v="6"/>
    <n v="3"/>
    <n v="491.31"/>
    <n v="0.3"/>
    <n v="1031.75"/>
    <n v="659.27"/>
    <n v="372.48"/>
    <s v="Debit Card"/>
    <x v="6"/>
    <n v="5"/>
    <x v="0"/>
  </r>
  <r>
    <s v="ORD100675"/>
    <d v="2025-09-30T00:00:00"/>
    <s v="Decathlon Mumbai"/>
    <x v="6"/>
    <x v="1"/>
    <s v="CUST1475"/>
    <s v="Female"/>
    <x v="1"/>
    <x v="0"/>
    <x v="1"/>
    <s v="Yoga Mat"/>
    <x v="4"/>
    <n v="3"/>
    <n v="1460.01"/>
    <n v="0.05"/>
    <n v="4161.03"/>
    <n v="2093.63"/>
    <n v="2067.4"/>
    <s v="Debit Card"/>
    <x v="9"/>
    <n v="4"/>
    <x v="7"/>
  </r>
  <r>
    <s v="ORD100676"/>
    <d v="2025-01-27T00:00:00"/>
    <s v="Decathlon Mumbai"/>
    <x v="6"/>
    <x v="1"/>
    <s v="CUST1353"/>
    <s v="Male"/>
    <x v="0"/>
    <x v="1"/>
    <x v="5"/>
    <s v="Water Bottle"/>
    <x v="5"/>
    <n v="2"/>
    <n v="701.42"/>
    <n v="0.15"/>
    <n v="1192.4100000000001"/>
    <n v="511.07"/>
    <n v="681.34"/>
    <s v="Cash"/>
    <x v="1"/>
    <n v="3"/>
    <x v="4"/>
  </r>
  <r>
    <s v="ORD100677"/>
    <d v="2025-07-03T00:00:00"/>
    <s v="Decathlon Bengaluru"/>
    <x v="4"/>
    <x v="2"/>
    <s v="CUST1695"/>
    <s v="Male"/>
    <x v="2"/>
    <x v="0"/>
    <x v="1"/>
    <s v="Yoga Mat"/>
    <x v="4"/>
    <n v="2"/>
    <n v="1496.33"/>
    <n v="0.05"/>
    <n v="2843.03"/>
    <n v="1340.75"/>
    <n v="1502.28"/>
    <s v="Cash"/>
    <x v="1"/>
    <n v="4"/>
    <x v="8"/>
  </r>
  <r>
    <s v="ORD100678"/>
    <d v="2025-03-08T00:00:00"/>
    <s v="Decathlon Noida"/>
    <x v="5"/>
    <x v="0"/>
    <s v="CUST1256"/>
    <s v="Female"/>
    <x v="3"/>
    <x v="0"/>
    <x v="0"/>
    <s v="Running Shoes"/>
    <x v="2"/>
    <n v="1"/>
    <n v="3988.62"/>
    <n v="0.05"/>
    <n v="3789.19"/>
    <n v="2193.09"/>
    <n v="1596.1"/>
    <s v="Debit Card"/>
    <x v="3"/>
    <n v="4"/>
    <x v="1"/>
  </r>
  <r>
    <s v="ORD100679"/>
    <d v="2025-01-08T00:00:00"/>
    <s v="Decathlon Bengaluru"/>
    <x v="4"/>
    <x v="2"/>
    <s v="CUST1747"/>
    <s v="Male"/>
    <x v="1"/>
    <x v="0"/>
    <x v="4"/>
    <s v="Football Boots"/>
    <x v="5"/>
    <n v="2"/>
    <n v="3636.22"/>
    <n v="0.2"/>
    <n v="5817.95"/>
    <n v="4201.58"/>
    <n v="1616.37"/>
    <s v="Cash"/>
    <x v="2"/>
    <n v="5"/>
    <x v="4"/>
  </r>
  <r>
    <s v="ORD100680"/>
    <d v="2025-12-06T00:00:00"/>
    <s v="Decathlon Chennai"/>
    <x v="3"/>
    <x v="2"/>
    <s v="CUST1597"/>
    <s v="Male"/>
    <x v="3"/>
    <x v="1"/>
    <x v="0"/>
    <s v="Running T-Shirt"/>
    <x v="6"/>
    <n v="1"/>
    <n v="1003.7"/>
    <n v="0.25"/>
    <n v="752.78"/>
    <n v="438.63"/>
    <n v="314.14999999999998"/>
    <s v="Credit Card"/>
    <x v="9"/>
    <n v="3"/>
    <x v="0"/>
  </r>
  <r>
    <s v="ORD100681"/>
    <d v="2025-10-21T00:00:00"/>
    <s v="Decathlon Delhi"/>
    <x v="9"/>
    <x v="0"/>
    <s v="CUST1198"/>
    <s v="Female"/>
    <x v="0"/>
    <x v="2"/>
    <x v="0"/>
    <s v="Fitness Band"/>
    <x v="7"/>
    <n v="4"/>
    <n v="2565.33"/>
    <n v="0"/>
    <n v="10261.32"/>
    <n v="6055.7"/>
    <n v="4205.62"/>
    <s v="Net Banking"/>
    <x v="3"/>
    <n v="5"/>
    <x v="9"/>
  </r>
  <r>
    <s v="ORD100682"/>
    <d v="2025-07-29T00:00:00"/>
    <s v="Decathlon Delhi"/>
    <x v="9"/>
    <x v="0"/>
    <s v="CUST1979"/>
    <s v="Female"/>
    <x v="0"/>
    <x v="2"/>
    <x v="2"/>
    <s v="Swimming Goggles"/>
    <x v="2"/>
    <n v="3"/>
    <n v="880.75"/>
    <n v="0.1"/>
    <n v="2378.0300000000002"/>
    <n v="1401.05"/>
    <n v="976.98"/>
    <s v="Debit Card"/>
    <x v="9"/>
    <n v="5"/>
    <x v="8"/>
  </r>
  <r>
    <s v="ORD100683"/>
    <d v="2025-11-15T00:00:00"/>
    <s v="Decathlon Bengaluru"/>
    <x v="4"/>
    <x v="2"/>
    <s v="CUST1900"/>
    <s v="Male"/>
    <x v="3"/>
    <x v="2"/>
    <x v="4"/>
    <s v="Football Boots"/>
    <x v="2"/>
    <n v="2"/>
    <n v="3637.76"/>
    <n v="0.1"/>
    <n v="6547.97"/>
    <n v="4162.4399999999996"/>
    <n v="2385.5300000000002"/>
    <s v="UPI"/>
    <x v="9"/>
    <n v="3"/>
    <x v="2"/>
  </r>
  <r>
    <s v="ORD100684"/>
    <d v="2025-06-27T00:00:00"/>
    <s v="Decathlon Gurugram"/>
    <x v="8"/>
    <x v="0"/>
    <s v="CUST1504"/>
    <s v="Male"/>
    <x v="1"/>
    <x v="2"/>
    <x v="4"/>
    <s v="Shin Guards"/>
    <x v="2"/>
    <n v="5"/>
    <n v="1025.1500000000001"/>
    <n v="0.25"/>
    <n v="3844.31"/>
    <n v="2419.6"/>
    <n v="1424.71"/>
    <s v="Debit Card"/>
    <x v="3"/>
    <n v="5"/>
    <x v="11"/>
  </r>
  <r>
    <s v="ORD100685"/>
    <d v="2025-02-06T00:00:00"/>
    <s v="Decathlon Noida"/>
    <x v="5"/>
    <x v="0"/>
    <s v="CUST1355"/>
    <s v="Male"/>
    <x v="1"/>
    <x v="2"/>
    <x v="5"/>
    <s v="Water Bottle"/>
    <x v="6"/>
    <n v="5"/>
    <n v="700.71"/>
    <n v="0.2"/>
    <n v="2802.84"/>
    <n v="1285.1300000000001"/>
    <n v="1517.71"/>
    <s v="UPI"/>
    <x v="2"/>
    <n v="5"/>
    <x v="6"/>
  </r>
  <r>
    <s v="ORD100686"/>
    <d v="2025-01-05T00:00:00"/>
    <s v="Decathlon Pune"/>
    <x v="1"/>
    <x v="1"/>
    <s v="CUST1639"/>
    <s v="Male"/>
    <x v="2"/>
    <x v="0"/>
    <x v="4"/>
    <s v="Football"/>
    <x v="4"/>
    <n v="1"/>
    <n v="1250.1099999999999"/>
    <n v="0.3"/>
    <n v="875.08"/>
    <n v="723.26"/>
    <n v="151.82"/>
    <s v="Credit Card"/>
    <x v="9"/>
    <n v="5"/>
    <x v="4"/>
  </r>
  <r>
    <s v="ORD100687"/>
    <d v="2025-08-07T00:00:00"/>
    <s v="Decathlon Mumbai"/>
    <x v="6"/>
    <x v="1"/>
    <s v="CUST1323"/>
    <s v="Female"/>
    <x v="3"/>
    <x v="0"/>
    <x v="0"/>
    <s v="Running Shoes"/>
    <x v="0"/>
    <n v="4"/>
    <n v="3853.03"/>
    <n v="0.15"/>
    <n v="13100.3"/>
    <n v="9141.08"/>
    <n v="3959.22"/>
    <s v="UPI"/>
    <x v="7"/>
    <n v="4"/>
    <x v="3"/>
  </r>
  <r>
    <s v="ORD100688"/>
    <d v="2025-04-18T00:00:00"/>
    <s v="Decathlon Mumbai"/>
    <x v="6"/>
    <x v="1"/>
    <s v="CUST1981"/>
    <s v="Male"/>
    <x v="3"/>
    <x v="1"/>
    <x v="1"/>
    <s v="Resistance Band"/>
    <x v="0"/>
    <n v="5"/>
    <n v="856.8"/>
    <n v="0"/>
    <n v="4284"/>
    <n v="1939.15"/>
    <n v="2344.85"/>
    <s v="Net Banking"/>
    <x v="9"/>
    <n v="3"/>
    <x v="5"/>
  </r>
  <r>
    <s v="ORD100689"/>
    <d v="2025-01-13T00:00:00"/>
    <s v="Decathlon Ahmedabad"/>
    <x v="2"/>
    <x v="1"/>
    <s v="CUST1913"/>
    <s v="Female"/>
    <x v="0"/>
    <x v="1"/>
    <x v="2"/>
    <s v="Swimming Goggles"/>
    <x v="1"/>
    <n v="5"/>
    <n v="880.49"/>
    <n v="0.1"/>
    <n v="3962.2"/>
    <n v="2241.7600000000002"/>
    <n v="1720.44"/>
    <s v="Credit Card"/>
    <x v="0"/>
    <n v="3"/>
    <x v="4"/>
  </r>
  <r>
    <s v="ORD100690"/>
    <d v="2025-07-25T00:00:00"/>
    <s v="Decathlon Noida"/>
    <x v="5"/>
    <x v="0"/>
    <s v="CUST1677"/>
    <s v="Female"/>
    <x v="1"/>
    <x v="2"/>
    <x v="1"/>
    <s v="Yoga Mat"/>
    <x v="2"/>
    <n v="3"/>
    <n v="1570.3"/>
    <n v="0.25"/>
    <n v="3533.17"/>
    <n v="2119.08"/>
    <n v="1414.09"/>
    <s v="Credit Card"/>
    <x v="5"/>
    <n v="4"/>
    <x v="8"/>
  </r>
  <r>
    <s v="ORD100691"/>
    <d v="2025-12-11T00:00:00"/>
    <s v="Decathlon Noida"/>
    <x v="5"/>
    <x v="0"/>
    <s v="CUST1685"/>
    <s v="Male"/>
    <x v="1"/>
    <x v="2"/>
    <x v="2"/>
    <s v="Swimsuit"/>
    <x v="2"/>
    <n v="4"/>
    <n v="1435.59"/>
    <n v="0"/>
    <n v="5742.36"/>
    <n v="3449.68"/>
    <n v="2292.6799999999998"/>
    <s v="Credit Card"/>
    <x v="8"/>
    <n v="4"/>
    <x v="0"/>
  </r>
  <r>
    <s v="ORD100692"/>
    <d v="2025-02-28T00:00:00"/>
    <s v="Decathlon Ahmedabad"/>
    <x v="2"/>
    <x v="1"/>
    <s v="CUST1965"/>
    <s v="Female"/>
    <x v="2"/>
    <x v="1"/>
    <x v="1"/>
    <s v="Yoga Block"/>
    <x v="5"/>
    <n v="1"/>
    <n v="578.91999999999996"/>
    <n v="0"/>
    <n v="578.91999999999996"/>
    <n v="253.84"/>
    <n v="325.08"/>
    <s v="Net Banking"/>
    <x v="7"/>
    <n v="3"/>
    <x v="6"/>
  </r>
  <r>
    <s v="ORD100693"/>
    <d v="2025-05-16T00:00:00"/>
    <s v="Decathlon Delhi"/>
    <x v="9"/>
    <x v="0"/>
    <s v="CUST1861"/>
    <s v="Female"/>
    <x v="3"/>
    <x v="0"/>
    <x v="4"/>
    <s v="Shin Guards"/>
    <x v="6"/>
    <n v="1"/>
    <n v="962.48"/>
    <n v="0"/>
    <n v="962.48"/>
    <n v="522.80999999999995"/>
    <n v="439.67"/>
    <s v="Net Banking"/>
    <x v="2"/>
    <n v="3"/>
    <x v="10"/>
  </r>
  <r>
    <s v="ORD100694"/>
    <d v="2025-05-19T00:00:00"/>
    <s v="Decathlon Pune"/>
    <x v="1"/>
    <x v="1"/>
    <s v="CUST1761"/>
    <s v="Male"/>
    <x v="0"/>
    <x v="0"/>
    <x v="1"/>
    <s v="Yoga Mat"/>
    <x v="5"/>
    <n v="5"/>
    <n v="1510.5"/>
    <n v="0.05"/>
    <n v="7174.88"/>
    <n v="3373.27"/>
    <n v="3801.61"/>
    <s v="Debit Card"/>
    <x v="7"/>
    <n v="3"/>
    <x v="10"/>
  </r>
  <r>
    <s v="ORD100695"/>
    <d v="2025-12-31T00:00:00"/>
    <s v="Decathlon Noida"/>
    <x v="5"/>
    <x v="0"/>
    <s v="CUST1675"/>
    <s v="Female"/>
    <x v="1"/>
    <x v="1"/>
    <x v="5"/>
    <s v="Trekking Shoes"/>
    <x v="4"/>
    <n v="2"/>
    <n v="5047.4799999999996"/>
    <n v="0"/>
    <n v="10094.959999999999"/>
    <n v="6456.49"/>
    <n v="3638.47"/>
    <s v="Credit Card"/>
    <x v="2"/>
    <n v="3"/>
    <x v="0"/>
  </r>
  <r>
    <s v="ORD100696"/>
    <d v="2025-12-06T00:00:00"/>
    <s v="Decathlon Bengaluru"/>
    <x v="4"/>
    <x v="2"/>
    <s v="CUST1980"/>
    <s v="Male"/>
    <x v="1"/>
    <x v="0"/>
    <x v="4"/>
    <s v="Football"/>
    <x v="7"/>
    <n v="4"/>
    <n v="1356.62"/>
    <n v="0.25"/>
    <n v="4069.86"/>
    <n v="2817.77"/>
    <n v="1252.0899999999999"/>
    <s v="Debit Card"/>
    <x v="3"/>
    <n v="3"/>
    <x v="0"/>
  </r>
  <r>
    <s v="ORD100697"/>
    <d v="2025-05-03T00:00:00"/>
    <s v="Decathlon Bengaluru"/>
    <x v="4"/>
    <x v="2"/>
    <s v="CUST1273"/>
    <s v="Male"/>
    <x v="3"/>
    <x v="2"/>
    <x v="2"/>
    <s v="Swimsuit"/>
    <x v="5"/>
    <n v="2"/>
    <n v="1562.83"/>
    <n v="0.3"/>
    <n v="2187.96"/>
    <n v="1698.56"/>
    <n v="489.4"/>
    <s v="Cash"/>
    <x v="9"/>
    <n v="3"/>
    <x v="10"/>
  </r>
  <r>
    <s v="ORD100698"/>
    <d v="2025-07-18T00:00:00"/>
    <s v="Decathlon Chennai"/>
    <x v="3"/>
    <x v="2"/>
    <s v="CUST1584"/>
    <s v="Male"/>
    <x v="3"/>
    <x v="2"/>
    <x v="5"/>
    <s v="Backpack"/>
    <x v="4"/>
    <n v="5"/>
    <n v="2991.57"/>
    <n v="0.25"/>
    <n v="11218.39"/>
    <n v="8585.6200000000008"/>
    <n v="2632.77"/>
    <s v="Credit Card"/>
    <x v="7"/>
    <n v="4"/>
    <x v="8"/>
  </r>
  <r>
    <s v="ORD100699"/>
    <d v="2025-07-01T00:00:00"/>
    <s v="Decathlon Gurugram"/>
    <x v="8"/>
    <x v="0"/>
    <s v="CUST1699"/>
    <s v="Female"/>
    <x v="3"/>
    <x v="2"/>
    <x v="0"/>
    <s v="Running T-Shirt"/>
    <x v="1"/>
    <n v="3"/>
    <n v="969.96"/>
    <n v="0.1"/>
    <n v="2618.89"/>
    <n v="1404.2"/>
    <n v="1214.69"/>
    <s v="UPI"/>
    <x v="6"/>
    <n v="3"/>
    <x v="8"/>
  </r>
  <r>
    <s v="ORD100700"/>
    <d v="2025-06-26T00:00:00"/>
    <s v="Decathlon Jaipur"/>
    <x v="0"/>
    <x v="0"/>
    <s v="CUST1138"/>
    <s v="Male"/>
    <x v="2"/>
    <x v="0"/>
    <x v="1"/>
    <s v="Yoga Mat"/>
    <x v="4"/>
    <n v="3"/>
    <n v="1518.63"/>
    <n v="0.2"/>
    <n v="3644.71"/>
    <n v="2075.98"/>
    <n v="1568.73"/>
    <s v="Net Banking"/>
    <x v="7"/>
    <n v="5"/>
    <x v="11"/>
  </r>
  <r>
    <s v="ORD100701"/>
    <d v="2025-11-12T00:00:00"/>
    <s v="Decathlon Gurugram"/>
    <x v="8"/>
    <x v="0"/>
    <s v="CUST1805"/>
    <s v="Male"/>
    <x v="2"/>
    <x v="0"/>
    <x v="3"/>
    <s v="Cycling Gloves"/>
    <x v="2"/>
    <n v="5"/>
    <n v="838.53"/>
    <n v="0.15"/>
    <n v="3563.75"/>
    <n v="1695.08"/>
    <n v="1868.67"/>
    <s v="Credit Card"/>
    <x v="5"/>
    <n v="5"/>
    <x v="2"/>
  </r>
  <r>
    <s v="ORD100702"/>
    <d v="2025-06-03T00:00:00"/>
    <s v="Decathlon Pune"/>
    <x v="1"/>
    <x v="1"/>
    <s v="CUST1995"/>
    <s v="Female"/>
    <x v="3"/>
    <x v="2"/>
    <x v="2"/>
    <s v="Swimming Goggles"/>
    <x v="4"/>
    <n v="4"/>
    <n v="862.94"/>
    <n v="0.15"/>
    <n v="2934"/>
    <n v="1886"/>
    <n v="1048"/>
    <s v="Credit Card"/>
    <x v="1"/>
    <n v="3"/>
    <x v="11"/>
  </r>
  <r>
    <s v="ORD100703"/>
    <d v="2025-09-15T00:00:00"/>
    <s v="Decathlon Delhi"/>
    <x v="9"/>
    <x v="0"/>
    <s v="CUST1955"/>
    <s v="Female"/>
    <x v="2"/>
    <x v="0"/>
    <x v="2"/>
    <s v="Swimsuit"/>
    <x v="3"/>
    <n v="2"/>
    <n v="1432.07"/>
    <n v="0.25"/>
    <n v="2148.11"/>
    <n v="1721"/>
    <n v="427.11"/>
    <s v="Credit Card"/>
    <x v="3"/>
    <n v="4"/>
    <x v="7"/>
  </r>
  <r>
    <s v="ORD100704"/>
    <d v="2025-04-25T00:00:00"/>
    <s v="Decathlon Delhi"/>
    <x v="9"/>
    <x v="0"/>
    <s v="CUST1955"/>
    <s v="Female"/>
    <x v="3"/>
    <x v="2"/>
    <x v="2"/>
    <s v="Swimsuit"/>
    <x v="2"/>
    <n v="1"/>
    <n v="1525.96"/>
    <n v="0.25"/>
    <n v="1144.47"/>
    <n v="809.48"/>
    <n v="334.99"/>
    <s v="Debit Card"/>
    <x v="0"/>
    <n v="4"/>
    <x v="5"/>
  </r>
  <r>
    <s v="ORD100705"/>
    <d v="2025-10-09T00:00:00"/>
    <s v="Decathlon Ahmedabad"/>
    <x v="2"/>
    <x v="1"/>
    <s v="CUST1874"/>
    <s v="Female"/>
    <x v="1"/>
    <x v="0"/>
    <x v="5"/>
    <s v="Backpack"/>
    <x v="1"/>
    <n v="5"/>
    <n v="2944.41"/>
    <n v="0.25"/>
    <n v="11041.54"/>
    <n v="8875.99"/>
    <n v="2165.5500000000002"/>
    <s v="Net Banking"/>
    <x v="6"/>
    <n v="5"/>
    <x v="9"/>
  </r>
  <r>
    <s v="ORD100706"/>
    <d v="2025-06-18T00:00:00"/>
    <s v="Decathlon Noida"/>
    <x v="5"/>
    <x v="0"/>
    <s v="CUST1671"/>
    <s v="Female"/>
    <x v="2"/>
    <x v="2"/>
    <x v="2"/>
    <s v="Swimsuit"/>
    <x v="6"/>
    <n v="5"/>
    <n v="1456.87"/>
    <n v="0.25"/>
    <n v="5463.26"/>
    <n v="4067.23"/>
    <n v="1396.03"/>
    <s v="Cash"/>
    <x v="1"/>
    <n v="5"/>
    <x v="11"/>
  </r>
  <r>
    <s v="ORD100707"/>
    <d v="2025-11-13T00:00:00"/>
    <s v="Decathlon Jaipur"/>
    <x v="0"/>
    <x v="0"/>
    <s v="CUST1400"/>
    <s v="Female"/>
    <x v="2"/>
    <x v="2"/>
    <x v="0"/>
    <s v="Running T-Shirt"/>
    <x v="0"/>
    <n v="1"/>
    <n v="1000.84"/>
    <n v="0.25"/>
    <n v="750.63"/>
    <n v="470.88"/>
    <n v="279.75"/>
    <s v="Credit Card"/>
    <x v="1"/>
    <n v="3"/>
    <x v="2"/>
  </r>
  <r>
    <s v="ORD100708"/>
    <d v="2025-03-14T00:00:00"/>
    <s v="Decathlon Noida"/>
    <x v="5"/>
    <x v="0"/>
    <s v="CUST1783"/>
    <s v="Female"/>
    <x v="3"/>
    <x v="1"/>
    <x v="0"/>
    <s v="Running T-Shirt"/>
    <x v="7"/>
    <n v="4"/>
    <n v="982.44"/>
    <n v="0.15"/>
    <n v="3340.3"/>
    <n v="1753"/>
    <n v="1587.3"/>
    <s v="Net Banking"/>
    <x v="7"/>
    <n v="4"/>
    <x v="1"/>
  </r>
  <r>
    <s v="ORD100709"/>
    <d v="2025-03-04T00:00:00"/>
    <s v="Decathlon Gurugram"/>
    <x v="8"/>
    <x v="0"/>
    <s v="CUST1834"/>
    <s v="Female"/>
    <x v="1"/>
    <x v="2"/>
    <x v="1"/>
    <s v="Yoga Block"/>
    <x v="0"/>
    <n v="3"/>
    <n v="598.19000000000005"/>
    <n v="0.25"/>
    <n v="1345.93"/>
    <n v="778.36"/>
    <n v="567.57000000000005"/>
    <s v="Debit Card"/>
    <x v="8"/>
    <n v="3"/>
    <x v="1"/>
  </r>
  <r>
    <s v="ORD100710"/>
    <d v="2025-08-08T00:00:00"/>
    <s v="Decathlon Delhi"/>
    <x v="9"/>
    <x v="0"/>
    <s v="CUST1927"/>
    <s v="Female"/>
    <x v="1"/>
    <x v="2"/>
    <x v="4"/>
    <s v="Shin Guards"/>
    <x v="4"/>
    <n v="4"/>
    <n v="1020.92"/>
    <n v="0.05"/>
    <n v="3879.5"/>
    <n v="1902.2"/>
    <n v="1977.3"/>
    <s v="Credit Card"/>
    <x v="4"/>
    <n v="3"/>
    <x v="3"/>
  </r>
  <r>
    <s v="ORD100711"/>
    <d v="2025-07-27T00:00:00"/>
    <s v="Decathlon Ahmedabad"/>
    <x v="2"/>
    <x v="1"/>
    <s v="CUST1942"/>
    <s v="Male"/>
    <x v="2"/>
    <x v="1"/>
    <x v="1"/>
    <s v="Yoga Block"/>
    <x v="7"/>
    <n v="2"/>
    <n v="593.42999999999995"/>
    <n v="0.3"/>
    <n v="830.8"/>
    <n v="515.72"/>
    <n v="315.08"/>
    <s v="Credit Card"/>
    <x v="2"/>
    <n v="5"/>
    <x v="8"/>
  </r>
  <r>
    <s v="ORD100712"/>
    <d v="2025-06-30T00:00:00"/>
    <s v="Decathlon Mumbai"/>
    <x v="6"/>
    <x v="1"/>
    <s v="CUST1403"/>
    <s v="Female"/>
    <x v="1"/>
    <x v="1"/>
    <x v="1"/>
    <s v="Yoga Mat"/>
    <x v="7"/>
    <n v="1"/>
    <n v="1549.14"/>
    <n v="0.25"/>
    <n v="1161.8599999999999"/>
    <n v="690.24"/>
    <n v="471.62"/>
    <s v="Credit Card"/>
    <x v="6"/>
    <n v="4"/>
    <x v="11"/>
  </r>
  <r>
    <s v="ORD100713"/>
    <d v="2025-09-11T00:00:00"/>
    <s v="Decathlon Ahmedabad"/>
    <x v="2"/>
    <x v="1"/>
    <s v="CUST1013"/>
    <s v="Female"/>
    <x v="3"/>
    <x v="1"/>
    <x v="2"/>
    <s v="Swim Cap"/>
    <x v="1"/>
    <n v="1"/>
    <n v="498.08"/>
    <n v="0.3"/>
    <n v="348.66"/>
    <n v="228.26"/>
    <n v="120.4"/>
    <s v="Credit Card"/>
    <x v="6"/>
    <n v="5"/>
    <x v="7"/>
  </r>
  <r>
    <s v="ORD100714"/>
    <d v="2025-03-09T00:00:00"/>
    <s v="Decathlon Chennai"/>
    <x v="3"/>
    <x v="2"/>
    <s v="CUST1476"/>
    <s v="Male"/>
    <x v="1"/>
    <x v="0"/>
    <x v="5"/>
    <s v="Trekking Shoes"/>
    <x v="7"/>
    <n v="3"/>
    <n v="5073.72"/>
    <n v="0.15"/>
    <n v="12937.99"/>
    <n v="9757.18"/>
    <n v="3180.81"/>
    <s v="UPI"/>
    <x v="6"/>
    <n v="4"/>
    <x v="1"/>
  </r>
  <r>
    <s v="ORD100715"/>
    <d v="2025-02-16T00:00:00"/>
    <s v="Decathlon Delhi"/>
    <x v="9"/>
    <x v="0"/>
    <s v="CUST1870"/>
    <s v="Female"/>
    <x v="0"/>
    <x v="1"/>
    <x v="3"/>
    <s v="Mountain Bike"/>
    <x v="7"/>
    <n v="1"/>
    <n v="25516.21"/>
    <n v="0"/>
    <n v="25516.21"/>
    <n v="18169.3"/>
    <n v="7346.91"/>
    <s v="Credit Card"/>
    <x v="0"/>
    <n v="4"/>
    <x v="6"/>
  </r>
  <r>
    <s v="ORD100716"/>
    <d v="2025-05-26T00:00:00"/>
    <s v="Decathlon Bengaluru"/>
    <x v="4"/>
    <x v="2"/>
    <s v="CUST1797"/>
    <s v="Female"/>
    <x v="2"/>
    <x v="2"/>
    <x v="2"/>
    <s v="Swim Cap"/>
    <x v="4"/>
    <n v="2"/>
    <n v="483.9"/>
    <n v="0.2"/>
    <n v="774.24"/>
    <n v="425.53"/>
    <n v="348.71"/>
    <s v="UPI"/>
    <x v="6"/>
    <n v="4"/>
    <x v="10"/>
  </r>
  <r>
    <s v="ORD100717"/>
    <d v="2025-03-26T00:00:00"/>
    <s v="Decathlon Gurugram"/>
    <x v="8"/>
    <x v="0"/>
    <s v="CUST1214"/>
    <s v="Female"/>
    <x v="0"/>
    <x v="0"/>
    <x v="3"/>
    <s v="Cycling Gloves"/>
    <x v="7"/>
    <n v="4"/>
    <n v="828.28"/>
    <n v="0.3"/>
    <n v="2319.1799999999998"/>
    <n v="1346.49"/>
    <n v="972.69"/>
    <s v="Cash"/>
    <x v="4"/>
    <n v="5"/>
    <x v="1"/>
  </r>
  <r>
    <s v="ORD100718"/>
    <d v="2025-09-19T00:00:00"/>
    <s v="Decathlon Ahmedabad"/>
    <x v="2"/>
    <x v="1"/>
    <s v="CUST1365"/>
    <s v="Female"/>
    <x v="2"/>
    <x v="0"/>
    <x v="4"/>
    <s v="Football Boots"/>
    <x v="5"/>
    <n v="4"/>
    <n v="3619.33"/>
    <n v="0.15"/>
    <n v="12305.72"/>
    <n v="8021.05"/>
    <n v="4284.67"/>
    <s v="Cash"/>
    <x v="8"/>
    <n v="5"/>
    <x v="7"/>
  </r>
  <r>
    <s v="ORD100719"/>
    <d v="2025-06-16T00:00:00"/>
    <s v="Decathlon Noida"/>
    <x v="5"/>
    <x v="0"/>
    <s v="CUST1045"/>
    <s v="Female"/>
    <x v="2"/>
    <x v="0"/>
    <x v="5"/>
    <s v="Trekking Shoes"/>
    <x v="5"/>
    <n v="2"/>
    <n v="5068.2299999999996"/>
    <n v="0.2"/>
    <n v="8109.17"/>
    <n v="6652.56"/>
    <n v="1456.61"/>
    <s v="Cash"/>
    <x v="6"/>
    <n v="3"/>
    <x v="11"/>
  </r>
  <r>
    <s v="ORD100720"/>
    <d v="2025-08-15T00:00:00"/>
    <s v="Decathlon Gurugram"/>
    <x v="8"/>
    <x v="0"/>
    <s v="CUST1075"/>
    <s v="Male"/>
    <x v="1"/>
    <x v="1"/>
    <x v="1"/>
    <s v="Yoga Mat"/>
    <x v="5"/>
    <n v="5"/>
    <n v="1443.91"/>
    <n v="0.1"/>
    <n v="6497.6"/>
    <n v="3519.74"/>
    <n v="2977.86"/>
    <s v="Cash"/>
    <x v="4"/>
    <n v="3"/>
    <x v="3"/>
  </r>
  <r>
    <s v="ORD100721"/>
    <d v="2025-03-28T00:00:00"/>
    <s v="Decathlon Jaipur"/>
    <x v="0"/>
    <x v="0"/>
    <s v="CUST1572"/>
    <s v="Male"/>
    <x v="2"/>
    <x v="2"/>
    <x v="4"/>
    <s v="Football Boots"/>
    <x v="6"/>
    <n v="4"/>
    <n v="3477.78"/>
    <n v="0.3"/>
    <n v="9737.7800000000007"/>
    <n v="8620.32"/>
    <n v="1117.46"/>
    <s v="UPI"/>
    <x v="2"/>
    <n v="5"/>
    <x v="1"/>
  </r>
  <r>
    <s v="ORD100722"/>
    <d v="2025-06-17T00:00:00"/>
    <s v="Decathlon Noida"/>
    <x v="5"/>
    <x v="0"/>
    <s v="CUST1918"/>
    <s v="Male"/>
    <x v="0"/>
    <x v="2"/>
    <x v="1"/>
    <s v="Yoga Mat"/>
    <x v="2"/>
    <n v="5"/>
    <n v="1463.3"/>
    <n v="0.1"/>
    <n v="6584.85"/>
    <n v="3368.16"/>
    <n v="3216.69"/>
    <s v="Cash"/>
    <x v="2"/>
    <n v="4"/>
    <x v="11"/>
  </r>
  <r>
    <s v="ORD100723"/>
    <d v="2025-02-13T00:00:00"/>
    <s v="Decathlon Delhi"/>
    <x v="9"/>
    <x v="0"/>
    <s v="CUST1297"/>
    <s v="Female"/>
    <x v="2"/>
    <x v="1"/>
    <x v="4"/>
    <s v="Shin Guards"/>
    <x v="6"/>
    <n v="4"/>
    <n v="1039.8699999999999"/>
    <n v="0.25"/>
    <n v="3119.61"/>
    <n v="1958.97"/>
    <n v="1160.6400000000001"/>
    <s v="Net Banking"/>
    <x v="5"/>
    <n v="4"/>
    <x v="6"/>
  </r>
  <r>
    <s v="ORD100724"/>
    <d v="2025-01-10T00:00:00"/>
    <s v="Decathlon Pune"/>
    <x v="1"/>
    <x v="1"/>
    <s v="CUST1989"/>
    <s v="Male"/>
    <x v="0"/>
    <x v="0"/>
    <x v="1"/>
    <s v="Yoga Mat"/>
    <x v="3"/>
    <n v="1"/>
    <n v="1462.03"/>
    <n v="0.05"/>
    <n v="1388.93"/>
    <n v="729.22"/>
    <n v="659.71"/>
    <s v="Credit Card"/>
    <x v="2"/>
    <n v="3"/>
    <x v="4"/>
  </r>
  <r>
    <s v="ORD100725"/>
    <d v="2025-06-29T00:00:00"/>
    <s v="Decathlon Hyderabad"/>
    <x v="7"/>
    <x v="2"/>
    <s v="CUST1096"/>
    <s v="Female"/>
    <x v="3"/>
    <x v="0"/>
    <x v="2"/>
    <s v="Swim Cap"/>
    <x v="5"/>
    <n v="1"/>
    <n v="476.55"/>
    <n v="0.3"/>
    <n v="333.58"/>
    <n v="222.94"/>
    <n v="110.64"/>
    <s v="Cash"/>
    <x v="0"/>
    <n v="5"/>
    <x v="11"/>
  </r>
  <r>
    <s v="ORD100726"/>
    <d v="2025-10-02T00:00:00"/>
    <s v="Decathlon Gurugram"/>
    <x v="8"/>
    <x v="0"/>
    <s v="CUST1615"/>
    <s v="Female"/>
    <x v="2"/>
    <x v="2"/>
    <x v="1"/>
    <s v="Yoga Block"/>
    <x v="5"/>
    <n v="4"/>
    <n v="585.97"/>
    <n v="0.15"/>
    <n v="1992.3"/>
    <n v="1011.06"/>
    <n v="981.24"/>
    <s v="UPI"/>
    <x v="9"/>
    <n v="3"/>
    <x v="9"/>
  </r>
  <r>
    <s v="ORD100727"/>
    <d v="2025-08-11T00:00:00"/>
    <s v="Decathlon Gurugram"/>
    <x v="8"/>
    <x v="0"/>
    <s v="CUST1103"/>
    <s v="Male"/>
    <x v="1"/>
    <x v="2"/>
    <x v="1"/>
    <s v="Yoga Block"/>
    <x v="3"/>
    <n v="1"/>
    <n v="579.95000000000005"/>
    <n v="0.1"/>
    <n v="521.96"/>
    <n v="270.35000000000002"/>
    <n v="251.61"/>
    <s v="Credit Card"/>
    <x v="5"/>
    <n v="5"/>
    <x v="3"/>
  </r>
  <r>
    <s v="ORD100728"/>
    <d v="2025-03-24T00:00:00"/>
    <s v="Decathlon Bengaluru"/>
    <x v="4"/>
    <x v="2"/>
    <s v="CUST1710"/>
    <s v="Female"/>
    <x v="1"/>
    <x v="0"/>
    <x v="2"/>
    <s v="Swim Cap"/>
    <x v="0"/>
    <n v="2"/>
    <n v="495.15"/>
    <n v="0.1"/>
    <n v="891.27"/>
    <n v="434.72"/>
    <n v="456.55"/>
    <s v="Credit Card"/>
    <x v="1"/>
    <n v="3"/>
    <x v="1"/>
  </r>
  <r>
    <s v="ORD100729"/>
    <d v="2025-03-26T00:00:00"/>
    <s v="Decathlon Gurugram"/>
    <x v="8"/>
    <x v="0"/>
    <s v="CUST1609"/>
    <s v="Female"/>
    <x v="3"/>
    <x v="1"/>
    <x v="4"/>
    <s v="Shin Guards"/>
    <x v="6"/>
    <n v="5"/>
    <n v="998.88"/>
    <n v="0.1"/>
    <n v="4494.96"/>
    <n v="2583.9699999999998"/>
    <n v="1910.99"/>
    <s v="Cash"/>
    <x v="8"/>
    <n v="4"/>
    <x v="1"/>
  </r>
  <r>
    <s v="ORD100730"/>
    <d v="2025-07-25T00:00:00"/>
    <s v="Decathlon Mumbai"/>
    <x v="6"/>
    <x v="1"/>
    <s v="CUST1127"/>
    <s v="Male"/>
    <x v="2"/>
    <x v="0"/>
    <x v="5"/>
    <s v="Trekking Shoes"/>
    <x v="5"/>
    <n v="2"/>
    <n v="4945.5600000000004"/>
    <n v="0.25"/>
    <n v="7418.34"/>
    <n v="6144.08"/>
    <n v="1274.26"/>
    <s v="Cash"/>
    <x v="2"/>
    <n v="3"/>
    <x v="8"/>
  </r>
  <r>
    <s v="ORD100731"/>
    <d v="2025-09-18T00:00:00"/>
    <s v="Decathlon Mumbai"/>
    <x v="6"/>
    <x v="1"/>
    <s v="CUST1088"/>
    <s v="Male"/>
    <x v="0"/>
    <x v="2"/>
    <x v="1"/>
    <s v="Yoga Block"/>
    <x v="0"/>
    <n v="3"/>
    <n v="618.65"/>
    <n v="0.2"/>
    <n v="1484.76"/>
    <n v="798.58"/>
    <n v="686.18"/>
    <s v="UPI"/>
    <x v="3"/>
    <n v="4"/>
    <x v="7"/>
  </r>
  <r>
    <s v="ORD100732"/>
    <d v="2025-12-22T00:00:00"/>
    <s v="Decathlon Jaipur"/>
    <x v="0"/>
    <x v="0"/>
    <s v="CUST1617"/>
    <s v="Female"/>
    <x v="1"/>
    <x v="0"/>
    <x v="5"/>
    <s v="Trekking Shoes"/>
    <x v="7"/>
    <n v="4"/>
    <n v="4799.33"/>
    <n v="0.1"/>
    <n v="17277.59"/>
    <n v="12654.06"/>
    <n v="4623.53"/>
    <s v="Credit Card"/>
    <x v="7"/>
    <n v="4"/>
    <x v="0"/>
  </r>
  <r>
    <s v="ORD100733"/>
    <d v="2025-03-26T00:00:00"/>
    <s v="Decathlon Hyderabad"/>
    <x v="7"/>
    <x v="2"/>
    <s v="CUST1912"/>
    <s v="Female"/>
    <x v="1"/>
    <x v="2"/>
    <x v="3"/>
    <s v="Cycling Gloves"/>
    <x v="7"/>
    <n v="2"/>
    <n v="780.47"/>
    <n v="0"/>
    <n v="1560.94"/>
    <n v="682.1"/>
    <n v="878.84"/>
    <s v="Cash"/>
    <x v="9"/>
    <n v="4"/>
    <x v="1"/>
  </r>
  <r>
    <s v="ORD100734"/>
    <d v="2025-12-18T00:00:00"/>
    <s v="Decathlon Jaipur"/>
    <x v="0"/>
    <x v="0"/>
    <s v="CUST1664"/>
    <s v="Female"/>
    <x v="3"/>
    <x v="0"/>
    <x v="1"/>
    <s v="Yoga Block"/>
    <x v="7"/>
    <n v="3"/>
    <n v="622.47"/>
    <n v="0.1"/>
    <n v="1680.67"/>
    <n v="756.11"/>
    <n v="924.56"/>
    <s v="Cash"/>
    <x v="0"/>
    <n v="3"/>
    <x v="0"/>
  </r>
  <r>
    <s v="ORD100735"/>
    <d v="2025-02-05T00:00:00"/>
    <s v="Decathlon Noida"/>
    <x v="5"/>
    <x v="0"/>
    <s v="CUST1859"/>
    <s v="Male"/>
    <x v="1"/>
    <x v="1"/>
    <x v="0"/>
    <s v="Fitness Band"/>
    <x v="7"/>
    <n v="4"/>
    <n v="2446.71"/>
    <n v="0.15"/>
    <n v="8318.81"/>
    <n v="6260.6"/>
    <n v="2058.21"/>
    <s v="UPI"/>
    <x v="3"/>
    <n v="3"/>
    <x v="6"/>
  </r>
  <r>
    <s v="ORD100736"/>
    <d v="2025-07-08T00:00:00"/>
    <s v="Decathlon Jaipur"/>
    <x v="0"/>
    <x v="0"/>
    <s v="CUST1724"/>
    <s v="Male"/>
    <x v="3"/>
    <x v="2"/>
    <x v="4"/>
    <s v="Shin Guards"/>
    <x v="0"/>
    <n v="5"/>
    <n v="954.86"/>
    <n v="0.25"/>
    <n v="3580.73"/>
    <n v="2388.98"/>
    <n v="1191.75"/>
    <s v="Net Banking"/>
    <x v="0"/>
    <n v="3"/>
    <x v="8"/>
  </r>
  <r>
    <s v="ORD100737"/>
    <d v="2025-01-09T00:00:00"/>
    <s v="Decathlon Mumbai"/>
    <x v="6"/>
    <x v="1"/>
    <s v="CUST1795"/>
    <s v="Female"/>
    <x v="3"/>
    <x v="1"/>
    <x v="1"/>
    <s v="Yoga Mat"/>
    <x v="3"/>
    <n v="1"/>
    <n v="1469.74"/>
    <n v="0"/>
    <n v="1469.74"/>
    <n v="689.99"/>
    <n v="779.75"/>
    <s v="Debit Card"/>
    <x v="7"/>
    <n v="5"/>
    <x v="4"/>
  </r>
  <r>
    <s v="ORD100738"/>
    <d v="2025-03-21T00:00:00"/>
    <s v="Decathlon Mumbai"/>
    <x v="6"/>
    <x v="1"/>
    <s v="CUST1531"/>
    <s v="Male"/>
    <x v="1"/>
    <x v="0"/>
    <x v="4"/>
    <s v="Football Boots"/>
    <x v="3"/>
    <n v="4"/>
    <n v="3339.56"/>
    <n v="0.1"/>
    <n v="12022.42"/>
    <n v="8774.65"/>
    <n v="3247.77"/>
    <s v="Credit Card"/>
    <x v="9"/>
    <n v="4"/>
    <x v="1"/>
  </r>
  <r>
    <s v="ORD100739"/>
    <d v="2025-01-07T00:00:00"/>
    <s v="Decathlon Delhi"/>
    <x v="9"/>
    <x v="0"/>
    <s v="CUST1174"/>
    <s v="Male"/>
    <x v="1"/>
    <x v="2"/>
    <x v="3"/>
    <s v="Cycling Gloves"/>
    <x v="6"/>
    <n v="3"/>
    <n v="798.59"/>
    <n v="0.2"/>
    <n v="1916.62"/>
    <n v="1064.3"/>
    <n v="852.32"/>
    <s v="Credit Card"/>
    <x v="0"/>
    <n v="4"/>
    <x v="4"/>
  </r>
  <r>
    <s v="ORD100740"/>
    <d v="2025-01-24T00:00:00"/>
    <s v="Decathlon Gurugram"/>
    <x v="8"/>
    <x v="0"/>
    <s v="CUST1880"/>
    <s v="Female"/>
    <x v="3"/>
    <x v="1"/>
    <x v="4"/>
    <s v="Football Boots"/>
    <x v="5"/>
    <n v="1"/>
    <n v="3411.78"/>
    <n v="0.15"/>
    <n v="2900.01"/>
    <n v="2176.71"/>
    <n v="723.3"/>
    <s v="Credit Card"/>
    <x v="0"/>
    <n v="5"/>
    <x v="4"/>
  </r>
  <r>
    <s v="ORD100741"/>
    <d v="2025-10-14T00:00:00"/>
    <s v="Decathlon Bengaluru"/>
    <x v="4"/>
    <x v="2"/>
    <s v="CUST1936"/>
    <s v="Male"/>
    <x v="3"/>
    <x v="2"/>
    <x v="0"/>
    <s v="Fitness Band"/>
    <x v="3"/>
    <n v="2"/>
    <n v="2577.2399999999998"/>
    <n v="0"/>
    <n v="5154.4799999999996"/>
    <n v="3126.78"/>
    <n v="2027.7"/>
    <s v="Credit Card"/>
    <x v="1"/>
    <n v="4"/>
    <x v="9"/>
  </r>
  <r>
    <s v="ORD100742"/>
    <d v="2025-08-31T00:00:00"/>
    <s v="Decathlon Chennai"/>
    <x v="3"/>
    <x v="2"/>
    <s v="CUST1627"/>
    <s v="Female"/>
    <x v="0"/>
    <x v="2"/>
    <x v="3"/>
    <s v="Helmet"/>
    <x v="3"/>
    <n v="2"/>
    <n v="1920.01"/>
    <n v="0.2"/>
    <n v="3072.02"/>
    <n v="2214.39"/>
    <n v="857.63"/>
    <s v="UPI"/>
    <x v="1"/>
    <n v="4"/>
    <x v="3"/>
  </r>
  <r>
    <s v="ORD100743"/>
    <d v="2025-11-21T00:00:00"/>
    <s v="Decathlon Noida"/>
    <x v="5"/>
    <x v="0"/>
    <s v="CUST1295"/>
    <s v="Male"/>
    <x v="3"/>
    <x v="0"/>
    <x v="0"/>
    <s v="Running T-Shirt"/>
    <x v="6"/>
    <n v="3"/>
    <n v="1013.53"/>
    <n v="0.1"/>
    <n v="2736.53"/>
    <n v="1396.58"/>
    <n v="1339.95"/>
    <s v="Credit Card"/>
    <x v="7"/>
    <n v="3"/>
    <x v="2"/>
  </r>
  <r>
    <s v="ORD100744"/>
    <d v="2025-05-06T00:00:00"/>
    <s v="Decathlon Jaipur"/>
    <x v="0"/>
    <x v="0"/>
    <s v="CUST1521"/>
    <s v="Male"/>
    <x v="0"/>
    <x v="1"/>
    <x v="3"/>
    <s v="Cycling Gloves"/>
    <x v="1"/>
    <n v="5"/>
    <n v="823.89"/>
    <n v="0.1"/>
    <n v="3707.51"/>
    <n v="1816.03"/>
    <n v="1891.48"/>
    <s v="Credit Card"/>
    <x v="0"/>
    <n v="3"/>
    <x v="10"/>
  </r>
  <r>
    <s v="ORD100745"/>
    <d v="2025-05-20T00:00:00"/>
    <s v="Decathlon Jaipur"/>
    <x v="0"/>
    <x v="0"/>
    <s v="CUST1255"/>
    <s v="Female"/>
    <x v="0"/>
    <x v="1"/>
    <x v="3"/>
    <s v="Cycling Gloves"/>
    <x v="1"/>
    <n v="3"/>
    <n v="804.87"/>
    <n v="0.15"/>
    <n v="2052.42"/>
    <n v="1020.73"/>
    <n v="1031.69"/>
    <s v="Net Banking"/>
    <x v="7"/>
    <n v="4"/>
    <x v="10"/>
  </r>
  <r>
    <s v="ORD100746"/>
    <d v="2025-08-22T00:00:00"/>
    <s v="Decathlon Gurugram"/>
    <x v="8"/>
    <x v="0"/>
    <s v="CUST1104"/>
    <s v="Female"/>
    <x v="2"/>
    <x v="2"/>
    <x v="1"/>
    <s v="Yoga Block"/>
    <x v="4"/>
    <n v="3"/>
    <n v="570.85"/>
    <n v="0.15"/>
    <n v="1455.67"/>
    <n v="760.19"/>
    <n v="695.48"/>
    <s v="Net Banking"/>
    <x v="9"/>
    <n v="4"/>
    <x v="3"/>
  </r>
  <r>
    <s v="ORD100747"/>
    <d v="2025-02-10T00:00:00"/>
    <s v="Decathlon Ahmedabad"/>
    <x v="2"/>
    <x v="1"/>
    <s v="CUST1865"/>
    <s v="Male"/>
    <x v="2"/>
    <x v="0"/>
    <x v="5"/>
    <s v="Trekking Shoes"/>
    <x v="7"/>
    <n v="3"/>
    <n v="4760.93"/>
    <n v="0.2"/>
    <n v="11426.23"/>
    <n v="9498.92"/>
    <n v="1927.31"/>
    <s v="Net Banking"/>
    <x v="0"/>
    <n v="5"/>
    <x v="6"/>
  </r>
  <r>
    <s v="ORD100748"/>
    <d v="2025-07-20T00:00:00"/>
    <s v="Decathlon Pune"/>
    <x v="1"/>
    <x v="1"/>
    <s v="CUST1035"/>
    <s v="Male"/>
    <x v="1"/>
    <x v="0"/>
    <x v="3"/>
    <s v="Helmet"/>
    <x v="1"/>
    <n v="5"/>
    <n v="1953.47"/>
    <n v="0.25"/>
    <n v="7325.51"/>
    <n v="5616.86"/>
    <n v="1708.65"/>
    <s v="UPI"/>
    <x v="9"/>
    <n v="3"/>
    <x v="8"/>
  </r>
  <r>
    <s v="ORD100749"/>
    <d v="2025-09-23T00:00:00"/>
    <s v="Decathlon Delhi"/>
    <x v="9"/>
    <x v="0"/>
    <s v="CUST1039"/>
    <s v="Female"/>
    <x v="2"/>
    <x v="2"/>
    <x v="1"/>
    <s v="Yoga Block"/>
    <x v="1"/>
    <n v="3"/>
    <n v="613"/>
    <n v="0.15"/>
    <n v="1563.15"/>
    <n v="807.27"/>
    <n v="755.88"/>
    <s v="UPI"/>
    <x v="6"/>
    <n v="4"/>
    <x v="7"/>
  </r>
  <r>
    <s v="ORD100750"/>
    <d v="2025-09-15T00:00:00"/>
    <s v="Decathlon Pune"/>
    <x v="1"/>
    <x v="1"/>
    <s v="CUST1628"/>
    <s v="Female"/>
    <x v="0"/>
    <x v="0"/>
    <x v="4"/>
    <s v="Shin Guards"/>
    <x v="5"/>
    <n v="3"/>
    <n v="1016.19"/>
    <n v="0.25"/>
    <n v="2286.4299999999998"/>
    <n v="1543.48"/>
    <n v="742.95"/>
    <s v="Net Banking"/>
    <x v="2"/>
    <n v="3"/>
    <x v="7"/>
  </r>
  <r>
    <s v="ORD100751"/>
    <d v="2025-12-25T00:00:00"/>
    <s v="Decathlon Delhi"/>
    <x v="9"/>
    <x v="0"/>
    <s v="CUST1453"/>
    <s v="Male"/>
    <x v="2"/>
    <x v="2"/>
    <x v="3"/>
    <s v="Cycling Gloves"/>
    <x v="4"/>
    <n v="3"/>
    <n v="782.2"/>
    <n v="0.1"/>
    <n v="2111.94"/>
    <n v="1085.26"/>
    <n v="1026.68"/>
    <s v="Debit Card"/>
    <x v="4"/>
    <n v="3"/>
    <x v="0"/>
  </r>
  <r>
    <s v="ORD100752"/>
    <d v="2025-02-28T00:00:00"/>
    <s v="Decathlon Noida"/>
    <x v="5"/>
    <x v="0"/>
    <s v="CUST1279"/>
    <s v="Male"/>
    <x v="0"/>
    <x v="2"/>
    <x v="3"/>
    <s v="Mountain Bike"/>
    <x v="2"/>
    <n v="2"/>
    <n v="24647.279999999999"/>
    <n v="0.25"/>
    <n v="36970.92"/>
    <n v="35782"/>
    <n v="1188.92"/>
    <s v="Cash"/>
    <x v="8"/>
    <n v="5"/>
    <x v="6"/>
  </r>
  <r>
    <s v="ORD100753"/>
    <d v="2025-07-27T00:00:00"/>
    <s v="Decathlon Gurugram"/>
    <x v="8"/>
    <x v="0"/>
    <s v="CUST1241"/>
    <s v="Male"/>
    <x v="1"/>
    <x v="1"/>
    <x v="1"/>
    <s v="Yoga Mat"/>
    <x v="2"/>
    <n v="4"/>
    <n v="1514.01"/>
    <n v="0.25"/>
    <n v="4542.03"/>
    <n v="2836.55"/>
    <n v="1705.48"/>
    <s v="Cash"/>
    <x v="5"/>
    <n v="4"/>
    <x v="8"/>
  </r>
  <r>
    <s v="ORD100754"/>
    <d v="2025-02-27T00:00:00"/>
    <s v="Decathlon Noida"/>
    <x v="5"/>
    <x v="0"/>
    <s v="CUST1679"/>
    <s v="Female"/>
    <x v="2"/>
    <x v="0"/>
    <x v="4"/>
    <s v="Football Boots"/>
    <x v="6"/>
    <n v="2"/>
    <n v="3402.18"/>
    <n v="0"/>
    <n v="6804.36"/>
    <n v="4127.25"/>
    <n v="2677.11"/>
    <s v="Debit Card"/>
    <x v="1"/>
    <n v="4"/>
    <x v="6"/>
  </r>
  <r>
    <s v="ORD100755"/>
    <d v="2025-10-14T00:00:00"/>
    <s v="Decathlon Chennai"/>
    <x v="3"/>
    <x v="2"/>
    <s v="CUST1958"/>
    <s v="Female"/>
    <x v="1"/>
    <x v="2"/>
    <x v="2"/>
    <s v="Swimming Goggles"/>
    <x v="3"/>
    <n v="1"/>
    <n v="907.21"/>
    <n v="0.15"/>
    <n v="771.13"/>
    <n v="449.77"/>
    <n v="321.36"/>
    <s v="Cash"/>
    <x v="2"/>
    <n v="3"/>
    <x v="9"/>
  </r>
  <r>
    <s v="ORD100756"/>
    <d v="2025-11-22T00:00:00"/>
    <s v="Decathlon Ahmedabad"/>
    <x v="2"/>
    <x v="1"/>
    <s v="CUST1482"/>
    <s v="Male"/>
    <x v="0"/>
    <x v="1"/>
    <x v="3"/>
    <s v="Helmet"/>
    <x v="6"/>
    <n v="5"/>
    <n v="2095.4299999999998"/>
    <n v="0.25"/>
    <n v="7857.86"/>
    <n v="5513.72"/>
    <n v="2344.14"/>
    <s v="Cash"/>
    <x v="1"/>
    <n v="5"/>
    <x v="2"/>
  </r>
  <r>
    <s v="ORD100757"/>
    <d v="2025-08-04T00:00:00"/>
    <s v="Decathlon Bengaluru"/>
    <x v="4"/>
    <x v="2"/>
    <s v="CUST1331"/>
    <s v="Female"/>
    <x v="2"/>
    <x v="0"/>
    <x v="3"/>
    <s v="Helmet"/>
    <x v="2"/>
    <n v="5"/>
    <n v="1906.95"/>
    <n v="0.25"/>
    <n v="7151.06"/>
    <n v="5253.68"/>
    <n v="1897.38"/>
    <s v="Credit Card"/>
    <x v="1"/>
    <n v="4"/>
    <x v="3"/>
  </r>
  <r>
    <s v="ORD100758"/>
    <d v="2025-02-22T00:00:00"/>
    <s v="Decathlon Ahmedabad"/>
    <x v="2"/>
    <x v="1"/>
    <s v="CUST1286"/>
    <s v="Male"/>
    <x v="1"/>
    <x v="0"/>
    <x v="5"/>
    <s v="Backpack"/>
    <x v="2"/>
    <n v="1"/>
    <n v="2937.06"/>
    <n v="0.2"/>
    <n v="2349.65"/>
    <n v="1752.8"/>
    <n v="596.85"/>
    <s v="Debit Card"/>
    <x v="0"/>
    <n v="5"/>
    <x v="6"/>
  </r>
  <r>
    <s v="ORD100759"/>
    <d v="2025-02-24T00:00:00"/>
    <s v="Decathlon Hyderabad"/>
    <x v="7"/>
    <x v="2"/>
    <s v="CUST1503"/>
    <s v="Male"/>
    <x v="2"/>
    <x v="0"/>
    <x v="0"/>
    <s v="Running T-Shirt"/>
    <x v="0"/>
    <n v="3"/>
    <n v="1004.92"/>
    <n v="0.15"/>
    <n v="2562.5500000000002"/>
    <n v="1409.68"/>
    <n v="1152.8699999999999"/>
    <s v="UPI"/>
    <x v="6"/>
    <n v="4"/>
    <x v="6"/>
  </r>
  <r>
    <s v="ORD100760"/>
    <d v="2025-01-01T00:00:00"/>
    <s v="Decathlon Hyderabad"/>
    <x v="7"/>
    <x v="2"/>
    <s v="CUST1576"/>
    <s v="Male"/>
    <x v="2"/>
    <x v="2"/>
    <x v="0"/>
    <s v="Fitness Band"/>
    <x v="3"/>
    <n v="2"/>
    <n v="2425.71"/>
    <n v="0"/>
    <n v="4851.42"/>
    <n v="3133.29"/>
    <n v="1718.13"/>
    <s v="Cash"/>
    <x v="3"/>
    <n v="4"/>
    <x v="4"/>
  </r>
  <r>
    <s v="ORD100761"/>
    <d v="2025-01-03T00:00:00"/>
    <s v="Decathlon Bengaluru"/>
    <x v="4"/>
    <x v="2"/>
    <s v="CUST1217"/>
    <s v="Male"/>
    <x v="0"/>
    <x v="0"/>
    <x v="3"/>
    <s v="Helmet"/>
    <x v="0"/>
    <n v="2"/>
    <n v="1966.53"/>
    <n v="0.25"/>
    <n v="2949.8"/>
    <n v="2129.5300000000002"/>
    <n v="820.27"/>
    <s v="Credit Card"/>
    <x v="6"/>
    <n v="3"/>
    <x v="4"/>
  </r>
  <r>
    <s v="ORD100762"/>
    <d v="2025-10-27T00:00:00"/>
    <s v="Decathlon Delhi"/>
    <x v="9"/>
    <x v="0"/>
    <s v="CUST1694"/>
    <s v="Female"/>
    <x v="2"/>
    <x v="2"/>
    <x v="2"/>
    <s v="Swim Cap"/>
    <x v="4"/>
    <n v="1"/>
    <n v="481.89"/>
    <n v="0.25"/>
    <n v="361.42"/>
    <n v="217.69"/>
    <n v="143.72999999999999"/>
    <s v="UPI"/>
    <x v="7"/>
    <n v="5"/>
    <x v="9"/>
  </r>
  <r>
    <s v="ORD100763"/>
    <d v="2025-04-02T00:00:00"/>
    <s v="Decathlon Chennai"/>
    <x v="3"/>
    <x v="2"/>
    <s v="CUST1998"/>
    <s v="Male"/>
    <x v="2"/>
    <x v="0"/>
    <x v="0"/>
    <s v="Fitness Band"/>
    <x v="6"/>
    <n v="3"/>
    <n v="2488.5300000000002"/>
    <n v="0.05"/>
    <n v="7092.31"/>
    <n v="4583.22"/>
    <n v="2509.09"/>
    <s v="Debit Card"/>
    <x v="7"/>
    <n v="4"/>
    <x v="5"/>
  </r>
  <r>
    <s v="ORD100764"/>
    <d v="2025-05-10T00:00:00"/>
    <s v="Decathlon Gurugram"/>
    <x v="8"/>
    <x v="0"/>
    <s v="CUST1622"/>
    <s v="Male"/>
    <x v="1"/>
    <x v="0"/>
    <x v="0"/>
    <s v="Fitness Band"/>
    <x v="4"/>
    <n v="3"/>
    <n v="2592.2800000000002"/>
    <n v="0.15"/>
    <n v="6610.31"/>
    <n v="4531.63"/>
    <n v="2078.6799999999998"/>
    <s v="Cash"/>
    <x v="5"/>
    <n v="5"/>
    <x v="10"/>
  </r>
  <r>
    <s v="ORD100765"/>
    <d v="2025-03-20T00:00:00"/>
    <s v="Decathlon Chennai"/>
    <x v="3"/>
    <x v="2"/>
    <s v="CUST1405"/>
    <s v="Female"/>
    <x v="3"/>
    <x v="0"/>
    <x v="0"/>
    <s v="Running Shoes"/>
    <x v="0"/>
    <n v="3"/>
    <n v="4155.25"/>
    <n v="0.3"/>
    <n v="8726.02"/>
    <n v="6740.4"/>
    <n v="1985.62"/>
    <s v="Cash"/>
    <x v="3"/>
    <n v="5"/>
    <x v="1"/>
  </r>
  <r>
    <s v="ORD100766"/>
    <d v="2025-11-12T00:00:00"/>
    <s v="Decathlon Delhi"/>
    <x v="9"/>
    <x v="0"/>
    <s v="CUST1242"/>
    <s v="Male"/>
    <x v="2"/>
    <x v="0"/>
    <x v="0"/>
    <s v="Fitness Band"/>
    <x v="0"/>
    <n v="2"/>
    <n v="2457.4699999999998"/>
    <n v="0.2"/>
    <n v="3931.95"/>
    <n v="3049.92"/>
    <n v="882.03"/>
    <s v="Cash"/>
    <x v="3"/>
    <n v="4"/>
    <x v="2"/>
  </r>
  <r>
    <s v="ORD100767"/>
    <d v="2025-12-16T00:00:00"/>
    <s v="Decathlon Chennai"/>
    <x v="3"/>
    <x v="2"/>
    <s v="CUST1698"/>
    <s v="Male"/>
    <x v="0"/>
    <x v="0"/>
    <x v="4"/>
    <s v="Football"/>
    <x v="0"/>
    <n v="5"/>
    <n v="1245.2"/>
    <n v="0.15"/>
    <n v="5292.1"/>
    <n v="3650.4"/>
    <n v="1641.7"/>
    <s v="Cash"/>
    <x v="7"/>
    <n v="4"/>
    <x v="0"/>
  </r>
  <r>
    <s v="ORD100768"/>
    <d v="2025-04-22T00:00:00"/>
    <s v="Decathlon Delhi"/>
    <x v="9"/>
    <x v="0"/>
    <s v="CUST1656"/>
    <s v="Female"/>
    <x v="0"/>
    <x v="0"/>
    <x v="0"/>
    <s v="Running Shoes"/>
    <x v="3"/>
    <n v="3"/>
    <n v="4157.57"/>
    <n v="0.3"/>
    <n v="8730.9"/>
    <n v="6659.85"/>
    <n v="2071.0500000000002"/>
    <s v="Net Banking"/>
    <x v="9"/>
    <n v="3"/>
    <x v="5"/>
  </r>
  <r>
    <s v="ORD100769"/>
    <d v="2025-06-15T00:00:00"/>
    <s v="Decathlon Jaipur"/>
    <x v="0"/>
    <x v="0"/>
    <s v="CUST1646"/>
    <s v="Female"/>
    <x v="3"/>
    <x v="2"/>
    <x v="5"/>
    <s v="Backpack"/>
    <x v="5"/>
    <n v="4"/>
    <n v="3080.82"/>
    <n v="0.25"/>
    <n v="9242.4599999999991"/>
    <n v="6846.71"/>
    <n v="2395.75"/>
    <s v="Debit Card"/>
    <x v="9"/>
    <n v="5"/>
    <x v="11"/>
  </r>
  <r>
    <s v="ORD100770"/>
    <d v="2025-10-29T00:00:00"/>
    <s v="Decathlon Jaipur"/>
    <x v="0"/>
    <x v="0"/>
    <s v="CUST1142"/>
    <s v="Male"/>
    <x v="3"/>
    <x v="1"/>
    <x v="3"/>
    <s v="Mountain Bike"/>
    <x v="3"/>
    <n v="5"/>
    <n v="25682.27"/>
    <n v="0.3"/>
    <n v="89887.94"/>
    <n v="91366.97"/>
    <n v="-1479.03"/>
    <s v="Debit Card"/>
    <x v="6"/>
    <n v="5"/>
    <x v="9"/>
  </r>
  <r>
    <s v="ORD100771"/>
    <d v="2025-04-03T00:00:00"/>
    <s v="Decathlon Jaipur"/>
    <x v="0"/>
    <x v="0"/>
    <s v="CUST1438"/>
    <s v="Female"/>
    <x v="1"/>
    <x v="2"/>
    <x v="0"/>
    <s v="Fitness Band"/>
    <x v="3"/>
    <n v="2"/>
    <n v="2555.6799999999998"/>
    <n v="0.25"/>
    <n v="3833.52"/>
    <n v="2898.83"/>
    <n v="934.69"/>
    <s v="Cash"/>
    <x v="4"/>
    <n v="5"/>
    <x v="5"/>
  </r>
  <r>
    <s v="ORD100772"/>
    <d v="2025-06-12T00:00:00"/>
    <s v="Decathlon Gurugram"/>
    <x v="8"/>
    <x v="0"/>
    <s v="CUST1709"/>
    <s v="Female"/>
    <x v="1"/>
    <x v="0"/>
    <x v="1"/>
    <s v="Yoga Mat"/>
    <x v="5"/>
    <n v="3"/>
    <n v="1572.91"/>
    <n v="0.15"/>
    <n v="4010.92"/>
    <n v="2024.97"/>
    <n v="1985.95"/>
    <s v="Cash"/>
    <x v="4"/>
    <n v="4"/>
    <x v="11"/>
  </r>
  <r>
    <s v="ORD100773"/>
    <d v="2025-04-12T00:00:00"/>
    <s v="Decathlon Hyderabad"/>
    <x v="7"/>
    <x v="2"/>
    <s v="CUST1735"/>
    <s v="Male"/>
    <x v="3"/>
    <x v="1"/>
    <x v="5"/>
    <s v="Water Bottle"/>
    <x v="6"/>
    <n v="4"/>
    <n v="667.71"/>
    <n v="0.3"/>
    <n v="1869.59"/>
    <n v="959.55"/>
    <n v="910.04"/>
    <s v="Net Banking"/>
    <x v="3"/>
    <n v="4"/>
    <x v="5"/>
  </r>
  <r>
    <s v="ORD100774"/>
    <d v="2025-06-08T00:00:00"/>
    <s v="Decathlon Jaipur"/>
    <x v="0"/>
    <x v="0"/>
    <s v="CUST1451"/>
    <s v="Female"/>
    <x v="0"/>
    <x v="2"/>
    <x v="3"/>
    <s v="Cycling Gloves"/>
    <x v="0"/>
    <n v="2"/>
    <n v="826.19"/>
    <n v="0.25"/>
    <n v="1239.29"/>
    <n v="669.28"/>
    <n v="570.01"/>
    <s v="Debit Card"/>
    <x v="7"/>
    <n v="4"/>
    <x v="11"/>
  </r>
  <r>
    <s v="ORD100775"/>
    <d v="2025-11-15T00:00:00"/>
    <s v="Decathlon Mumbai"/>
    <x v="6"/>
    <x v="1"/>
    <s v="CUST1077"/>
    <s v="Female"/>
    <x v="2"/>
    <x v="0"/>
    <x v="4"/>
    <s v="Football"/>
    <x v="7"/>
    <n v="3"/>
    <n v="1272.8399999999999"/>
    <n v="0.1"/>
    <n v="3436.67"/>
    <n v="2081.75"/>
    <n v="1354.92"/>
    <s v="Credit Card"/>
    <x v="8"/>
    <n v="5"/>
    <x v="2"/>
  </r>
  <r>
    <s v="ORD100776"/>
    <d v="2025-05-14T00:00:00"/>
    <s v="Decathlon Chennai"/>
    <x v="3"/>
    <x v="2"/>
    <s v="CUST1239"/>
    <s v="Female"/>
    <x v="0"/>
    <x v="1"/>
    <x v="2"/>
    <s v="Swimming Goggles"/>
    <x v="0"/>
    <n v="4"/>
    <n v="936.72"/>
    <n v="0.15"/>
    <n v="3184.85"/>
    <n v="1854.65"/>
    <n v="1330.2"/>
    <s v="Credit Card"/>
    <x v="3"/>
    <n v="4"/>
    <x v="10"/>
  </r>
  <r>
    <s v="ORD100777"/>
    <d v="2025-07-11T00:00:00"/>
    <s v="Decathlon Ahmedabad"/>
    <x v="2"/>
    <x v="1"/>
    <s v="CUST1204"/>
    <s v="Female"/>
    <x v="2"/>
    <x v="1"/>
    <x v="2"/>
    <s v="Swimsuit"/>
    <x v="6"/>
    <n v="1"/>
    <n v="1529.64"/>
    <n v="0.3"/>
    <n v="1070.75"/>
    <n v="881.17"/>
    <n v="189.58"/>
    <s v="Debit Card"/>
    <x v="2"/>
    <n v="5"/>
    <x v="8"/>
  </r>
  <r>
    <s v="ORD100778"/>
    <d v="2025-08-22T00:00:00"/>
    <s v="Decathlon Bengaluru"/>
    <x v="4"/>
    <x v="2"/>
    <s v="CUST1871"/>
    <s v="Female"/>
    <x v="2"/>
    <x v="1"/>
    <x v="1"/>
    <s v="Resistance Band"/>
    <x v="1"/>
    <n v="4"/>
    <n v="907.72"/>
    <n v="0.3"/>
    <n v="2541.62"/>
    <n v="1556.34"/>
    <n v="985.28"/>
    <s v="Debit Card"/>
    <x v="6"/>
    <n v="5"/>
    <x v="3"/>
  </r>
  <r>
    <s v="ORD100779"/>
    <d v="2025-04-18T00:00:00"/>
    <s v="Decathlon Gurugram"/>
    <x v="8"/>
    <x v="0"/>
    <s v="CUST1087"/>
    <s v="Female"/>
    <x v="3"/>
    <x v="2"/>
    <x v="1"/>
    <s v="Yoga Block"/>
    <x v="2"/>
    <n v="3"/>
    <n v="612.08000000000004"/>
    <n v="0"/>
    <n v="1836.24"/>
    <n v="795.17"/>
    <n v="1041.07"/>
    <s v="Net Banking"/>
    <x v="5"/>
    <n v="5"/>
    <x v="5"/>
  </r>
  <r>
    <s v="ORD100780"/>
    <d v="2025-08-14T00:00:00"/>
    <s v="Decathlon Gurugram"/>
    <x v="8"/>
    <x v="0"/>
    <s v="CUST1849"/>
    <s v="Female"/>
    <x v="1"/>
    <x v="0"/>
    <x v="5"/>
    <s v="Trekking Shoes"/>
    <x v="4"/>
    <n v="5"/>
    <n v="4873.76"/>
    <n v="0"/>
    <n v="24368.799999999999"/>
    <n v="15906.78"/>
    <n v="8462.02"/>
    <s v="UPI"/>
    <x v="0"/>
    <n v="5"/>
    <x v="3"/>
  </r>
  <r>
    <s v="ORD100781"/>
    <d v="2025-11-14T00:00:00"/>
    <s v="Decathlon Delhi"/>
    <x v="9"/>
    <x v="0"/>
    <s v="CUST1403"/>
    <s v="Female"/>
    <x v="3"/>
    <x v="2"/>
    <x v="3"/>
    <s v="Helmet"/>
    <x v="0"/>
    <n v="5"/>
    <n v="1977.13"/>
    <n v="0.15"/>
    <n v="8402.7999999999993"/>
    <n v="5250.89"/>
    <n v="3151.91"/>
    <s v="Debit Card"/>
    <x v="8"/>
    <n v="5"/>
    <x v="2"/>
  </r>
  <r>
    <s v="ORD100782"/>
    <d v="2025-12-27T00:00:00"/>
    <s v="Decathlon Pune"/>
    <x v="1"/>
    <x v="1"/>
    <s v="CUST1761"/>
    <s v="Female"/>
    <x v="3"/>
    <x v="2"/>
    <x v="2"/>
    <s v="Swim Cap"/>
    <x v="3"/>
    <n v="4"/>
    <n v="516.26"/>
    <n v="0"/>
    <n v="2065.04"/>
    <n v="921.19"/>
    <n v="1143.8499999999999"/>
    <s v="Net Banking"/>
    <x v="4"/>
    <n v="5"/>
    <x v="0"/>
  </r>
  <r>
    <s v="ORD100783"/>
    <d v="2025-10-04T00:00:00"/>
    <s v="Decathlon Ahmedabad"/>
    <x v="2"/>
    <x v="1"/>
    <s v="CUST1337"/>
    <s v="Female"/>
    <x v="0"/>
    <x v="1"/>
    <x v="1"/>
    <s v="Resistance Band"/>
    <x v="7"/>
    <n v="1"/>
    <n v="914.09"/>
    <n v="0.25"/>
    <n v="685.57"/>
    <n v="402.05"/>
    <n v="283.52"/>
    <s v="Net Banking"/>
    <x v="5"/>
    <n v="4"/>
    <x v="9"/>
  </r>
  <r>
    <s v="ORD100784"/>
    <d v="2025-07-20T00:00:00"/>
    <s v="Decathlon Ahmedabad"/>
    <x v="2"/>
    <x v="1"/>
    <s v="CUST1971"/>
    <s v="Female"/>
    <x v="3"/>
    <x v="0"/>
    <x v="2"/>
    <s v="Swimsuit"/>
    <x v="2"/>
    <n v="1"/>
    <n v="1434.25"/>
    <n v="0.15"/>
    <n v="1219.1099999999999"/>
    <n v="815.49"/>
    <n v="403.62"/>
    <s v="UPI"/>
    <x v="1"/>
    <n v="4"/>
    <x v="8"/>
  </r>
  <r>
    <s v="ORD100785"/>
    <d v="2025-01-10T00:00:00"/>
    <s v="Decathlon Delhi"/>
    <x v="9"/>
    <x v="0"/>
    <s v="CUST1924"/>
    <s v="Male"/>
    <x v="1"/>
    <x v="0"/>
    <x v="1"/>
    <s v="Resistance Band"/>
    <x v="4"/>
    <n v="2"/>
    <n v="902.42"/>
    <n v="0.3"/>
    <n v="1263.3900000000001"/>
    <n v="793.54"/>
    <n v="469.85"/>
    <s v="Debit Card"/>
    <x v="4"/>
    <n v="3"/>
    <x v="4"/>
  </r>
  <r>
    <s v="ORD100786"/>
    <d v="2025-12-21T00:00:00"/>
    <s v="Decathlon Gurugram"/>
    <x v="8"/>
    <x v="0"/>
    <s v="CUST1768"/>
    <s v="Male"/>
    <x v="2"/>
    <x v="2"/>
    <x v="3"/>
    <s v="Cycling Gloves"/>
    <x v="4"/>
    <n v="4"/>
    <n v="807.56"/>
    <n v="0.2"/>
    <n v="2584.19"/>
    <n v="1429.37"/>
    <n v="1154.82"/>
    <s v="Debit Card"/>
    <x v="6"/>
    <n v="5"/>
    <x v="0"/>
  </r>
  <r>
    <s v="ORD100787"/>
    <d v="2025-03-04T00:00:00"/>
    <s v="Decathlon Gurugram"/>
    <x v="8"/>
    <x v="0"/>
    <s v="CUST1094"/>
    <s v="Male"/>
    <x v="3"/>
    <x v="0"/>
    <x v="2"/>
    <s v="Swim Cap"/>
    <x v="5"/>
    <n v="4"/>
    <n v="521.55999999999995"/>
    <n v="0.25"/>
    <n v="1564.68"/>
    <n v="850.31"/>
    <n v="714.37"/>
    <s v="Net Banking"/>
    <x v="0"/>
    <n v="5"/>
    <x v="1"/>
  </r>
  <r>
    <s v="ORD100788"/>
    <d v="2025-06-24T00:00:00"/>
    <s v="Decathlon Chennai"/>
    <x v="3"/>
    <x v="2"/>
    <s v="CUST1165"/>
    <s v="Male"/>
    <x v="1"/>
    <x v="2"/>
    <x v="0"/>
    <s v="Running Shoes"/>
    <x v="3"/>
    <n v="5"/>
    <n v="3976.04"/>
    <n v="0.2"/>
    <n v="15904.16"/>
    <n v="11090.55"/>
    <n v="4813.6099999999997"/>
    <s v="Net Banking"/>
    <x v="1"/>
    <n v="5"/>
    <x v="11"/>
  </r>
  <r>
    <s v="ORD100789"/>
    <d v="2025-01-24T00:00:00"/>
    <s v="Decathlon Mumbai"/>
    <x v="6"/>
    <x v="1"/>
    <s v="CUST1467"/>
    <s v="Female"/>
    <x v="3"/>
    <x v="2"/>
    <x v="0"/>
    <s v="Fitness Band"/>
    <x v="5"/>
    <n v="1"/>
    <n v="2553.88"/>
    <n v="0.15"/>
    <n v="2170.8000000000002"/>
    <n v="1467.78"/>
    <n v="703.02"/>
    <s v="Debit Card"/>
    <x v="2"/>
    <n v="5"/>
    <x v="4"/>
  </r>
  <r>
    <s v="ORD100790"/>
    <d v="2025-09-21T00:00:00"/>
    <s v="Decathlon Hyderabad"/>
    <x v="7"/>
    <x v="2"/>
    <s v="CUST1876"/>
    <s v="Male"/>
    <x v="3"/>
    <x v="1"/>
    <x v="0"/>
    <s v="Running Shoes"/>
    <x v="1"/>
    <n v="5"/>
    <n v="4194.6499999999996"/>
    <n v="0.15"/>
    <n v="17827.259999999998"/>
    <n v="11397.5"/>
    <n v="6429.76"/>
    <s v="UPI"/>
    <x v="1"/>
    <n v="5"/>
    <x v="7"/>
  </r>
  <r>
    <s v="ORD100791"/>
    <d v="2025-06-09T00:00:00"/>
    <s v="Decathlon Chennai"/>
    <x v="3"/>
    <x v="2"/>
    <s v="CUST1347"/>
    <s v="Female"/>
    <x v="3"/>
    <x v="0"/>
    <x v="0"/>
    <s v="Running T-Shirt"/>
    <x v="2"/>
    <n v="2"/>
    <n v="998.14"/>
    <n v="0.1"/>
    <n v="1796.65"/>
    <n v="925.84"/>
    <n v="870.81"/>
    <s v="Credit Card"/>
    <x v="8"/>
    <n v="4"/>
    <x v="11"/>
  </r>
  <r>
    <s v="ORD100792"/>
    <d v="2025-01-10T00:00:00"/>
    <s v="Decathlon Mumbai"/>
    <x v="6"/>
    <x v="1"/>
    <s v="CUST1599"/>
    <s v="Male"/>
    <x v="0"/>
    <x v="0"/>
    <x v="0"/>
    <s v="Fitness Band"/>
    <x v="0"/>
    <n v="2"/>
    <n v="2623.08"/>
    <n v="0.1"/>
    <n v="4721.54"/>
    <n v="3117.02"/>
    <n v="1604.52"/>
    <s v="Credit Card"/>
    <x v="7"/>
    <n v="5"/>
    <x v="4"/>
  </r>
  <r>
    <s v="ORD100793"/>
    <d v="2025-03-01T00:00:00"/>
    <s v="Decathlon Ahmedabad"/>
    <x v="2"/>
    <x v="1"/>
    <s v="CUST1239"/>
    <s v="Female"/>
    <x v="1"/>
    <x v="1"/>
    <x v="5"/>
    <s v="Backpack"/>
    <x v="6"/>
    <n v="3"/>
    <n v="3146.4"/>
    <n v="0.2"/>
    <n v="7551.36"/>
    <n v="5097.13"/>
    <n v="2454.23"/>
    <s v="Cash"/>
    <x v="2"/>
    <n v="5"/>
    <x v="1"/>
  </r>
  <r>
    <s v="ORD100794"/>
    <d v="2025-10-22T00:00:00"/>
    <s v="Decathlon Chennai"/>
    <x v="3"/>
    <x v="2"/>
    <s v="CUST1897"/>
    <s v="Female"/>
    <x v="0"/>
    <x v="2"/>
    <x v="4"/>
    <s v="Shin Guards"/>
    <x v="2"/>
    <n v="1"/>
    <n v="954.58"/>
    <n v="0.3"/>
    <n v="668.21"/>
    <n v="502.01"/>
    <n v="166.2"/>
    <s v="Cash"/>
    <x v="2"/>
    <n v="5"/>
    <x v="9"/>
  </r>
  <r>
    <s v="ORD100795"/>
    <d v="2025-03-02T00:00:00"/>
    <s v="Decathlon Jaipur"/>
    <x v="0"/>
    <x v="0"/>
    <s v="CUST1160"/>
    <s v="Male"/>
    <x v="0"/>
    <x v="0"/>
    <x v="4"/>
    <s v="Football Boots"/>
    <x v="7"/>
    <n v="2"/>
    <n v="3331.81"/>
    <n v="0.05"/>
    <n v="6330.44"/>
    <n v="4391.4399999999996"/>
    <n v="1939"/>
    <s v="Net Banking"/>
    <x v="9"/>
    <n v="5"/>
    <x v="1"/>
  </r>
  <r>
    <s v="ORD100796"/>
    <d v="2025-08-03T00:00:00"/>
    <s v="Decathlon Pune"/>
    <x v="1"/>
    <x v="1"/>
    <s v="CUST1117"/>
    <s v="Female"/>
    <x v="3"/>
    <x v="2"/>
    <x v="4"/>
    <s v="Football Boots"/>
    <x v="7"/>
    <n v="1"/>
    <n v="3457.68"/>
    <n v="0.05"/>
    <n v="3284.8"/>
    <n v="2036.89"/>
    <n v="1247.9100000000001"/>
    <s v="Net Banking"/>
    <x v="2"/>
    <n v="3"/>
    <x v="3"/>
  </r>
  <r>
    <s v="ORD100797"/>
    <d v="2025-12-26T00:00:00"/>
    <s v="Decathlon Chennai"/>
    <x v="3"/>
    <x v="2"/>
    <s v="CUST1350"/>
    <s v="Female"/>
    <x v="3"/>
    <x v="1"/>
    <x v="3"/>
    <s v="Mountain Bike"/>
    <x v="1"/>
    <n v="1"/>
    <n v="23850.51"/>
    <n v="0.25"/>
    <n v="17887.88"/>
    <n v="18688.47"/>
    <n v="-800.59"/>
    <s v="Debit Card"/>
    <x v="8"/>
    <n v="4"/>
    <x v="0"/>
  </r>
  <r>
    <s v="ORD100798"/>
    <d v="2025-12-01T00:00:00"/>
    <s v="Decathlon Chennai"/>
    <x v="3"/>
    <x v="2"/>
    <s v="CUST1097"/>
    <s v="Male"/>
    <x v="0"/>
    <x v="1"/>
    <x v="1"/>
    <s v="Yoga Block"/>
    <x v="2"/>
    <n v="3"/>
    <n v="626.11"/>
    <n v="0.1"/>
    <n v="1690.5"/>
    <n v="766.34"/>
    <n v="924.16"/>
    <s v="UPI"/>
    <x v="4"/>
    <n v="5"/>
    <x v="0"/>
  </r>
  <r>
    <s v="ORD100799"/>
    <d v="2025-03-15T00:00:00"/>
    <s v="Decathlon Hyderabad"/>
    <x v="7"/>
    <x v="2"/>
    <s v="CUST1556"/>
    <s v="Female"/>
    <x v="3"/>
    <x v="2"/>
    <x v="5"/>
    <s v="Trekking Shoes"/>
    <x v="0"/>
    <n v="3"/>
    <n v="4764.41"/>
    <n v="0.05"/>
    <n v="13578.57"/>
    <n v="9269.16"/>
    <n v="4309.41"/>
    <s v="Credit Card"/>
    <x v="9"/>
    <n v="5"/>
    <x v="1"/>
  </r>
  <r>
    <s v="ORD100800"/>
    <d v="2025-12-21T00:00:00"/>
    <s v="Decathlon Hyderabad"/>
    <x v="7"/>
    <x v="2"/>
    <s v="CUST1020"/>
    <s v="Male"/>
    <x v="3"/>
    <x v="0"/>
    <x v="3"/>
    <s v="Cycling Gloves"/>
    <x v="2"/>
    <n v="5"/>
    <n v="781.17"/>
    <n v="0.25"/>
    <n v="2929.39"/>
    <n v="1811.44"/>
    <n v="1117.95"/>
    <s v="UPI"/>
    <x v="1"/>
    <n v="5"/>
    <x v="0"/>
  </r>
  <r>
    <s v="ORD100801"/>
    <d v="2025-10-06T00:00:00"/>
    <s v="Decathlon Chennai"/>
    <x v="3"/>
    <x v="2"/>
    <s v="CUST1166"/>
    <s v="Female"/>
    <x v="1"/>
    <x v="0"/>
    <x v="1"/>
    <s v="Yoga Mat"/>
    <x v="5"/>
    <n v="5"/>
    <n v="1457.99"/>
    <n v="0.05"/>
    <n v="6925.45"/>
    <n v="3430.81"/>
    <n v="3494.64"/>
    <s v="Cash"/>
    <x v="4"/>
    <n v="3"/>
    <x v="9"/>
  </r>
  <r>
    <s v="ORD100802"/>
    <d v="2025-09-19T00:00:00"/>
    <s v="Decathlon Gurugram"/>
    <x v="8"/>
    <x v="0"/>
    <s v="CUST1048"/>
    <s v="Male"/>
    <x v="0"/>
    <x v="0"/>
    <x v="5"/>
    <s v="Water Bottle"/>
    <x v="1"/>
    <n v="1"/>
    <n v="682.56"/>
    <n v="0.1"/>
    <n v="614.29999999999995"/>
    <n v="250.77"/>
    <n v="363.53"/>
    <s v="Cash"/>
    <x v="8"/>
    <n v="4"/>
    <x v="7"/>
  </r>
  <r>
    <s v="ORD100803"/>
    <d v="2025-06-29T00:00:00"/>
    <s v="Decathlon Chennai"/>
    <x v="3"/>
    <x v="2"/>
    <s v="CUST1704"/>
    <s v="Female"/>
    <x v="0"/>
    <x v="2"/>
    <x v="2"/>
    <s v="Swimming Goggles"/>
    <x v="4"/>
    <n v="3"/>
    <n v="927.56"/>
    <n v="0.3"/>
    <n v="1947.88"/>
    <n v="1360.47"/>
    <n v="587.41"/>
    <s v="Cash"/>
    <x v="2"/>
    <n v="3"/>
    <x v="11"/>
  </r>
  <r>
    <s v="ORD100804"/>
    <d v="2025-07-10T00:00:00"/>
    <s v="Decathlon Noida"/>
    <x v="5"/>
    <x v="0"/>
    <s v="CUST1681"/>
    <s v="Female"/>
    <x v="3"/>
    <x v="0"/>
    <x v="5"/>
    <s v="Trekking Shoes"/>
    <x v="2"/>
    <n v="4"/>
    <n v="4779.1499999999996"/>
    <n v="0.25"/>
    <n v="14337.45"/>
    <n v="13379.77"/>
    <n v="957.68"/>
    <s v="Debit Card"/>
    <x v="2"/>
    <n v="4"/>
    <x v="8"/>
  </r>
  <r>
    <s v="ORD100805"/>
    <d v="2025-06-01T00:00:00"/>
    <s v="Decathlon Pune"/>
    <x v="1"/>
    <x v="1"/>
    <s v="CUST1011"/>
    <s v="Male"/>
    <x v="2"/>
    <x v="2"/>
    <x v="3"/>
    <s v="Mountain Bike"/>
    <x v="3"/>
    <n v="1"/>
    <n v="25378.03"/>
    <n v="0.25"/>
    <n v="19033.52"/>
    <n v="17198.240000000002"/>
    <n v="1835.28"/>
    <s v="Credit Card"/>
    <x v="8"/>
    <n v="3"/>
    <x v="11"/>
  </r>
  <r>
    <s v="ORD100806"/>
    <d v="2025-11-10T00:00:00"/>
    <s v="Decathlon Bengaluru"/>
    <x v="4"/>
    <x v="2"/>
    <s v="CUST1205"/>
    <s v="Female"/>
    <x v="0"/>
    <x v="1"/>
    <x v="3"/>
    <s v="Helmet"/>
    <x v="5"/>
    <n v="2"/>
    <n v="2041.03"/>
    <n v="0"/>
    <n v="4082.06"/>
    <n v="2300.77"/>
    <n v="1781.29"/>
    <s v="Debit Card"/>
    <x v="4"/>
    <n v="5"/>
    <x v="2"/>
  </r>
  <r>
    <s v="ORD100807"/>
    <d v="2025-11-05T00:00:00"/>
    <s v="Decathlon Jaipur"/>
    <x v="0"/>
    <x v="0"/>
    <s v="CUST1783"/>
    <s v="Female"/>
    <x v="3"/>
    <x v="1"/>
    <x v="4"/>
    <s v="Shin Guards"/>
    <x v="7"/>
    <n v="1"/>
    <n v="993.67"/>
    <n v="0.15"/>
    <n v="844.62"/>
    <n v="500.1"/>
    <n v="344.52"/>
    <s v="Debit Card"/>
    <x v="3"/>
    <n v="5"/>
    <x v="2"/>
  </r>
  <r>
    <s v="ORD100808"/>
    <d v="2025-02-20T00:00:00"/>
    <s v="Decathlon Pune"/>
    <x v="1"/>
    <x v="1"/>
    <s v="CUST1823"/>
    <s v="Female"/>
    <x v="1"/>
    <x v="1"/>
    <x v="0"/>
    <s v="Running T-Shirt"/>
    <x v="4"/>
    <n v="4"/>
    <n v="967.3"/>
    <n v="0.3"/>
    <n v="2708.44"/>
    <n v="1865.08"/>
    <n v="843.36"/>
    <s v="UPI"/>
    <x v="9"/>
    <n v="3"/>
    <x v="6"/>
  </r>
  <r>
    <s v="ORD100809"/>
    <d v="2025-01-23T00:00:00"/>
    <s v="Decathlon Noida"/>
    <x v="5"/>
    <x v="0"/>
    <s v="CUST1724"/>
    <s v="Male"/>
    <x v="3"/>
    <x v="1"/>
    <x v="2"/>
    <s v="Swimming Goggles"/>
    <x v="7"/>
    <n v="2"/>
    <n v="935.34"/>
    <n v="0.05"/>
    <n v="1777.15"/>
    <n v="903.88"/>
    <n v="873.27"/>
    <s v="Debit Card"/>
    <x v="3"/>
    <n v="5"/>
    <x v="4"/>
  </r>
  <r>
    <s v="ORD100810"/>
    <d v="2025-10-29T00:00:00"/>
    <s v="Decathlon Delhi"/>
    <x v="9"/>
    <x v="0"/>
    <s v="CUST1765"/>
    <s v="Male"/>
    <x v="1"/>
    <x v="0"/>
    <x v="4"/>
    <s v="Football Boots"/>
    <x v="0"/>
    <n v="3"/>
    <n v="3510.88"/>
    <n v="0.05"/>
    <n v="10006.01"/>
    <n v="6367.03"/>
    <n v="3638.98"/>
    <s v="UPI"/>
    <x v="9"/>
    <n v="4"/>
    <x v="9"/>
  </r>
  <r>
    <s v="ORD100811"/>
    <d v="2025-02-04T00:00:00"/>
    <s v="Decathlon Chennai"/>
    <x v="3"/>
    <x v="2"/>
    <s v="CUST1238"/>
    <s v="Male"/>
    <x v="0"/>
    <x v="0"/>
    <x v="1"/>
    <s v="Yoga Mat"/>
    <x v="7"/>
    <n v="4"/>
    <n v="1456.07"/>
    <n v="0.2"/>
    <n v="4659.42"/>
    <n v="2863.89"/>
    <n v="1795.53"/>
    <s v="Cash"/>
    <x v="7"/>
    <n v="4"/>
    <x v="6"/>
  </r>
  <r>
    <s v="ORD100812"/>
    <d v="2025-02-05T00:00:00"/>
    <s v="Decathlon Ahmedabad"/>
    <x v="2"/>
    <x v="1"/>
    <s v="CUST1965"/>
    <s v="Male"/>
    <x v="2"/>
    <x v="2"/>
    <x v="4"/>
    <s v="Football Boots"/>
    <x v="5"/>
    <n v="1"/>
    <n v="3639.52"/>
    <n v="0.1"/>
    <n v="3275.57"/>
    <n v="2034.79"/>
    <n v="1240.78"/>
    <s v="Net Banking"/>
    <x v="8"/>
    <n v="5"/>
    <x v="6"/>
  </r>
  <r>
    <s v="ORD100813"/>
    <d v="2025-06-15T00:00:00"/>
    <s v="Decathlon Jaipur"/>
    <x v="0"/>
    <x v="0"/>
    <s v="CUST1570"/>
    <s v="Male"/>
    <x v="1"/>
    <x v="1"/>
    <x v="4"/>
    <s v="Shin Guards"/>
    <x v="3"/>
    <n v="1"/>
    <n v="967.82"/>
    <n v="0.3"/>
    <n v="677.47"/>
    <n v="522.08000000000004"/>
    <n v="155.38999999999999"/>
    <s v="UPI"/>
    <x v="5"/>
    <n v="3"/>
    <x v="11"/>
  </r>
  <r>
    <s v="ORD100814"/>
    <d v="2025-01-06T00:00:00"/>
    <s v="Decathlon Ahmedabad"/>
    <x v="2"/>
    <x v="1"/>
    <s v="CUST1144"/>
    <s v="Female"/>
    <x v="2"/>
    <x v="2"/>
    <x v="3"/>
    <s v="Helmet"/>
    <x v="6"/>
    <n v="2"/>
    <n v="2053.8200000000002"/>
    <n v="0.25"/>
    <n v="3080.73"/>
    <n v="2248.3000000000002"/>
    <n v="832.43"/>
    <s v="Debit Card"/>
    <x v="0"/>
    <n v="5"/>
    <x v="4"/>
  </r>
  <r>
    <s v="ORD100815"/>
    <d v="2025-08-29T00:00:00"/>
    <s v="Decathlon Chennai"/>
    <x v="3"/>
    <x v="2"/>
    <s v="CUST1126"/>
    <s v="Male"/>
    <x v="2"/>
    <x v="0"/>
    <x v="5"/>
    <s v="Trekking Shoes"/>
    <x v="4"/>
    <n v="2"/>
    <n v="4758.43"/>
    <n v="0"/>
    <n v="9516.86"/>
    <n v="6359.08"/>
    <n v="3157.78"/>
    <s v="Debit Card"/>
    <x v="2"/>
    <n v="3"/>
    <x v="3"/>
  </r>
  <r>
    <s v="ORD100816"/>
    <d v="2025-06-19T00:00:00"/>
    <s v="Decathlon Noida"/>
    <x v="5"/>
    <x v="0"/>
    <s v="CUST1832"/>
    <s v="Male"/>
    <x v="2"/>
    <x v="2"/>
    <x v="2"/>
    <s v="Swim Cap"/>
    <x v="6"/>
    <n v="5"/>
    <n v="508.3"/>
    <n v="0.05"/>
    <n v="2414.42"/>
    <n v="1146.8499999999999"/>
    <n v="1267.57"/>
    <s v="Net Banking"/>
    <x v="1"/>
    <n v="3"/>
    <x v="11"/>
  </r>
  <r>
    <s v="ORD100817"/>
    <d v="2025-11-01T00:00:00"/>
    <s v="Decathlon Ahmedabad"/>
    <x v="2"/>
    <x v="1"/>
    <s v="CUST1787"/>
    <s v="Male"/>
    <x v="2"/>
    <x v="2"/>
    <x v="3"/>
    <s v="Mountain Bike"/>
    <x v="6"/>
    <n v="1"/>
    <n v="26094.75"/>
    <n v="0.1"/>
    <n v="23485.279999999999"/>
    <n v="18417.650000000001"/>
    <n v="5067.63"/>
    <s v="Credit Card"/>
    <x v="6"/>
    <n v="5"/>
    <x v="2"/>
  </r>
  <r>
    <s v="ORD100818"/>
    <d v="2025-03-21T00:00:00"/>
    <s v="Decathlon Noida"/>
    <x v="5"/>
    <x v="0"/>
    <s v="CUST1517"/>
    <s v="Male"/>
    <x v="1"/>
    <x v="1"/>
    <x v="0"/>
    <s v="Fitness Band"/>
    <x v="2"/>
    <n v="5"/>
    <n v="2587.48"/>
    <n v="0"/>
    <n v="12937.4"/>
    <n v="7605.2"/>
    <n v="5332.2"/>
    <s v="Debit Card"/>
    <x v="6"/>
    <n v="3"/>
    <x v="1"/>
  </r>
  <r>
    <s v="ORD100819"/>
    <d v="2025-10-02T00:00:00"/>
    <s v="Decathlon Pune"/>
    <x v="1"/>
    <x v="1"/>
    <s v="CUST1447"/>
    <s v="Male"/>
    <x v="3"/>
    <x v="2"/>
    <x v="3"/>
    <s v="Cycling Gloves"/>
    <x v="4"/>
    <n v="5"/>
    <n v="809.82"/>
    <n v="0.25"/>
    <n v="3036.83"/>
    <n v="1722.19"/>
    <n v="1314.64"/>
    <s v="Debit Card"/>
    <x v="9"/>
    <n v="3"/>
    <x v="9"/>
  </r>
  <r>
    <s v="ORD100820"/>
    <d v="2025-10-29T00:00:00"/>
    <s v="Decathlon Gurugram"/>
    <x v="8"/>
    <x v="0"/>
    <s v="CUST1335"/>
    <s v="Female"/>
    <x v="1"/>
    <x v="2"/>
    <x v="1"/>
    <s v="Yoga Mat"/>
    <x v="6"/>
    <n v="1"/>
    <n v="1525.6"/>
    <n v="0.15"/>
    <n v="1296.76"/>
    <n v="678.49"/>
    <n v="618.27"/>
    <s v="UPI"/>
    <x v="6"/>
    <n v="4"/>
    <x v="9"/>
  </r>
  <r>
    <s v="ORD100821"/>
    <d v="2025-07-28T00:00:00"/>
    <s v="Decathlon Jaipur"/>
    <x v="0"/>
    <x v="0"/>
    <s v="CUST1753"/>
    <s v="Male"/>
    <x v="1"/>
    <x v="1"/>
    <x v="0"/>
    <s v="Running Shoes"/>
    <x v="1"/>
    <n v="4"/>
    <n v="3938.22"/>
    <n v="0.2"/>
    <n v="12602.3"/>
    <n v="8786.7000000000007"/>
    <n v="3815.6"/>
    <s v="Credit Card"/>
    <x v="7"/>
    <n v="3"/>
    <x v="8"/>
  </r>
  <r>
    <s v="ORD100822"/>
    <d v="2025-04-12T00:00:00"/>
    <s v="Decathlon Delhi"/>
    <x v="9"/>
    <x v="0"/>
    <s v="CUST1537"/>
    <s v="Male"/>
    <x v="2"/>
    <x v="2"/>
    <x v="1"/>
    <s v="Yoga Block"/>
    <x v="6"/>
    <n v="4"/>
    <n v="621.96"/>
    <n v="0.2"/>
    <n v="1990.27"/>
    <n v="1006.78"/>
    <n v="983.49"/>
    <s v="Net Banking"/>
    <x v="5"/>
    <n v="3"/>
    <x v="5"/>
  </r>
  <r>
    <s v="ORD100823"/>
    <d v="2025-08-19T00:00:00"/>
    <s v="Decathlon Mumbai"/>
    <x v="6"/>
    <x v="1"/>
    <s v="CUST1382"/>
    <s v="Male"/>
    <x v="0"/>
    <x v="1"/>
    <x v="5"/>
    <s v="Water Bottle"/>
    <x v="6"/>
    <n v="4"/>
    <n v="693.25"/>
    <n v="0.25"/>
    <n v="2079.75"/>
    <n v="959.78"/>
    <n v="1119.97"/>
    <s v="Cash"/>
    <x v="3"/>
    <n v="3"/>
    <x v="3"/>
  </r>
  <r>
    <s v="ORD100824"/>
    <d v="2025-07-14T00:00:00"/>
    <s v="Decathlon Delhi"/>
    <x v="9"/>
    <x v="0"/>
    <s v="CUST1959"/>
    <s v="Male"/>
    <x v="0"/>
    <x v="0"/>
    <x v="3"/>
    <s v="Helmet"/>
    <x v="1"/>
    <n v="4"/>
    <n v="1961.78"/>
    <n v="0.15"/>
    <n v="6670.05"/>
    <n v="4298.5"/>
    <n v="2371.5500000000002"/>
    <s v="Debit Card"/>
    <x v="7"/>
    <n v="4"/>
    <x v="8"/>
  </r>
  <r>
    <s v="ORD100825"/>
    <d v="2025-02-12T00:00:00"/>
    <s v="Decathlon Noida"/>
    <x v="5"/>
    <x v="0"/>
    <s v="CUST1797"/>
    <s v="Male"/>
    <x v="3"/>
    <x v="2"/>
    <x v="2"/>
    <s v="Swimsuit"/>
    <x v="1"/>
    <n v="4"/>
    <n v="1549.41"/>
    <n v="0"/>
    <n v="6197.64"/>
    <n v="3379.14"/>
    <n v="2818.5"/>
    <s v="UPI"/>
    <x v="6"/>
    <n v="4"/>
    <x v="6"/>
  </r>
  <r>
    <s v="ORD100826"/>
    <d v="2025-10-27T00:00:00"/>
    <s v="Decathlon Hyderabad"/>
    <x v="7"/>
    <x v="2"/>
    <s v="CUST1040"/>
    <s v="Male"/>
    <x v="3"/>
    <x v="0"/>
    <x v="5"/>
    <s v="Backpack"/>
    <x v="6"/>
    <n v="5"/>
    <n v="3095.5"/>
    <n v="0.2"/>
    <n v="12382"/>
    <n v="8231.89"/>
    <n v="4150.1099999999997"/>
    <s v="Debit Card"/>
    <x v="4"/>
    <n v="3"/>
    <x v="9"/>
  </r>
  <r>
    <s v="ORD100827"/>
    <d v="2025-06-07T00:00:00"/>
    <s v="Decathlon Noida"/>
    <x v="5"/>
    <x v="0"/>
    <s v="CUST1998"/>
    <s v="Male"/>
    <x v="3"/>
    <x v="1"/>
    <x v="3"/>
    <s v="Cycling Gloves"/>
    <x v="1"/>
    <n v="5"/>
    <n v="795.4"/>
    <n v="0.05"/>
    <n v="3778.15"/>
    <n v="1690.4"/>
    <n v="2087.75"/>
    <s v="Credit Card"/>
    <x v="3"/>
    <n v="3"/>
    <x v="11"/>
  </r>
  <r>
    <s v="ORD100828"/>
    <d v="2025-04-04T00:00:00"/>
    <s v="Decathlon Hyderabad"/>
    <x v="7"/>
    <x v="2"/>
    <s v="CUST1214"/>
    <s v="Female"/>
    <x v="2"/>
    <x v="1"/>
    <x v="4"/>
    <s v="Football"/>
    <x v="0"/>
    <n v="4"/>
    <n v="1358.11"/>
    <n v="0.3"/>
    <n v="3802.71"/>
    <n v="2860.92"/>
    <n v="941.79"/>
    <s v="Debit Card"/>
    <x v="2"/>
    <n v="3"/>
    <x v="5"/>
  </r>
  <r>
    <s v="ORD100829"/>
    <d v="2025-04-29T00:00:00"/>
    <s v="Decathlon Jaipur"/>
    <x v="0"/>
    <x v="0"/>
    <s v="CUST1921"/>
    <s v="Male"/>
    <x v="1"/>
    <x v="0"/>
    <x v="2"/>
    <s v="Swimsuit"/>
    <x v="6"/>
    <n v="3"/>
    <n v="1458.06"/>
    <n v="0.05"/>
    <n v="4155.47"/>
    <n v="2469.58"/>
    <n v="1685.89"/>
    <s v="Debit Card"/>
    <x v="0"/>
    <n v="5"/>
    <x v="5"/>
  </r>
  <r>
    <s v="ORD100830"/>
    <d v="2025-12-29T00:00:00"/>
    <s v="Decathlon Delhi"/>
    <x v="9"/>
    <x v="0"/>
    <s v="CUST1624"/>
    <s v="Male"/>
    <x v="3"/>
    <x v="1"/>
    <x v="5"/>
    <s v="Water Bottle"/>
    <x v="6"/>
    <n v="2"/>
    <n v="678.58"/>
    <n v="0.1"/>
    <n v="1221.44"/>
    <n v="496.44"/>
    <n v="725"/>
    <s v="Credit Card"/>
    <x v="1"/>
    <n v="4"/>
    <x v="0"/>
  </r>
  <r>
    <s v="ORD100831"/>
    <d v="2025-02-13T00:00:00"/>
    <s v="Decathlon Noida"/>
    <x v="5"/>
    <x v="0"/>
    <s v="CUST1067"/>
    <s v="Male"/>
    <x v="2"/>
    <x v="1"/>
    <x v="1"/>
    <s v="Yoga Block"/>
    <x v="0"/>
    <n v="2"/>
    <n v="579.65"/>
    <n v="0.05"/>
    <n v="1101.33"/>
    <n v="501.29"/>
    <n v="600.04"/>
    <s v="Net Banking"/>
    <x v="4"/>
    <n v="5"/>
    <x v="6"/>
  </r>
  <r>
    <s v="ORD100832"/>
    <d v="2025-08-18T00:00:00"/>
    <s v="Decathlon Chennai"/>
    <x v="3"/>
    <x v="2"/>
    <s v="CUST1526"/>
    <s v="Female"/>
    <x v="0"/>
    <x v="1"/>
    <x v="4"/>
    <s v="Football Boots"/>
    <x v="0"/>
    <n v="4"/>
    <n v="3413.35"/>
    <n v="0.1"/>
    <n v="12288.06"/>
    <n v="8641.14"/>
    <n v="3646.92"/>
    <s v="Credit Card"/>
    <x v="1"/>
    <n v="3"/>
    <x v="3"/>
  </r>
  <r>
    <s v="ORD100833"/>
    <d v="2025-10-19T00:00:00"/>
    <s v="Decathlon Mumbai"/>
    <x v="6"/>
    <x v="1"/>
    <s v="CUST1844"/>
    <s v="Female"/>
    <x v="1"/>
    <x v="2"/>
    <x v="0"/>
    <s v="Fitness Band"/>
    <x v="3"/>
    <n v="1"/>
    <n v="2465.66"/>
    <n v="0.1"/>
    <n v="2219.09"/>
    <n v="1431.05"/>
    <n v="788.04"/>
    <s v="Cash"/>
    <x v="5"/>
    <n v="5"/>
    <x v="9"/>
  </r>
  <r>
    <s v="ORD100834"/>
    <d v="2025-09-07T00:00:00"/>
    <s v="Decathlon Chennai"/>
    <x v="3"/>
    <x v="2"/>
    <s v="CUST1781"/>
    <s v="Male"/>
    <x v="3"/>
    <x v="2"/>
    <x v="5"/>
    <s v="Water Bottle"/>
    <x v="4"/>
    <n v="5"/>
    <n v="726.61"/>
    <n v="0.25"/>
    <n v="2724.79"/>
    <n v="1298.46"/>
    <n v="1426.33"/>
    <s v="UPI"/>
    <x v="3"/>
    <n v="4"/>
    <x v="7"/>
  </r>
  <r>
    <s v="ORD100835"/>
    <d v="2025-01-06T00:00:00"/>
    <s v="Decathlon Jaipur"/>
    <x v="0"/>
    <x v="0"/>
    <s v="CUST1890"/>
    <s v="Female"/>
    <x v="0"/>
    <x v="0"/>
    <x v="1"/>
    <s v="Yoga Block"/>
    <x v="5"/>
    <n v="2"/>
    <n v="578.47"/>
    <n v="0.2"/>
    <n v="925.55"/>
    <n v="541.19000000000005"/>
    <n v="384.36"/>
    <s v="Credit Card"/>
    <x v="3"/>
    <n v="3"/>
    <x v="4"/>
  </r>
  <r>
    <s v="ORD100836"/>
    <d v="2025-10-22T00:00:00"/>
    <s v="Decathlon Chennai"/>
    <x v="3"/>
    <x v="2"/>
    <s v="CUST1185"/>
    <s v="Male"/>
    <x v="0"/>
    <x v="0"/>
    <x v="3"/>
    <s v="Mountain Bike"/>
    <x v="6"/>
    <n v="4"/>
    <n v="25757.74"/>
    <n v="0.2"/>
    <n v="82424.77"/>
    <n v="71827.179999999993"/>
    <n v="10597.59"/>
    <s v="Debit Card"/>
    <x v="3"/>
    <n v="4"/>
    <x v="9"/>
  </r>
  <r>
    <s v="ORD100837"/>
    <d v="2025-02-20T00:00:00"/>
    <s v="Decathlon Mumbai"/>
    <x v="6"/>
    <x v="1"/>
    <s v="CUST1691"/>
    <s v="Male"/>
    <x v="1"/>
    <x v="2"/>
    <x v="4"/>
    <s v="Shin Guards"/>
    <x v="2"/>
    <n v="3"/>
    <n v="950.66"/>
    <n v="0"/>
    <n v="2851.98"/>
    <n v="1534.53"/>
    <n v="1317.45"/>
    <s v="Cash"/>
    <x v="4"/>
    <n v="5"/>
    <x v="6"/>
  </r>
  <r>
    <s v="ORD100838"/>
    <d v="2025-06-10T00:00:00"/>
    <s v="Decathlon Mumbai"/>
    <x v="6"/>
    <x v="1"/>
    <s v="CUST1268"/>
    <s v="Female"/>
    <x v="1"/>
    <x v="1"/>
    <x v="0"/>
    <s v="Running Shoes"/>
    <x v="3"/>
    <n v="1"/>
    <n v="3910.3"/>
    <n v="0.3"/>
    <n v="2737.21"/>
    <n v="2309.58"/>
    <n v="427.63"/>
    <s v="Cash"/>
    <x v="7"/>
    <n v="3"/>
    <x v="11"/>
  </r>
  <r>
    <s v="ORD100839"/>
    <d v="2025-09-02T00:00:00"/>
    <s v="Decathlon Hyderabad"/>
    <x v="7"/>
    <x v="2"/>
    <s v="CUST1994"/>
    <s v="Male"/>
    <x v="0"/>
    <x v="0"/>
    <x v="4"/>
    <s v="Football Boots"/>
    <x v="4"/>
    <n v="1"/>
    <n v="3539.05"/>
    <n v="0.3"/>
    <n v="2477.34"/>
    <n v="2159.75"/>
    <n v="317.58999999999997"/>
    <s v="Credit Card"/>
    <x v="6"/>
    <n v="3"/>
    <x v="7"/>
  </r>
  <r>
    <s v="ORD100840"/>
    <d v="2025-04-24T00:00:00"/>
    <s v="Decathlon Delhi"/>
    <x v="9"/>
    <x v="0"/>
    <s v="CUST1598"/>
    <s v="Male"/>
    <x v="2"/>
    <x v="2"/>
    <x v="5"/>
    <s v="Water Bottle"/>
    <x v="2"/>
    <n v="4"/>
    <n v="702.31"/>
    <n v="0"/>
    <n v="2809.24"/>
    <n v="1034.73"/>
    <n v="1774.51"/>
    <s v="Net Banking"/>
    <x v="9"/>
    <n v="4"/>
    <x v="5"/>
  </r>
  <r>
    <s v="ORD100841"/>
    <d v="2025-10-24T00:00:00"/>
    <s v="Decathlon Bengaluru"/>
    <x v="4"/>
    <x v="2"/>
    <s v="CUST1928"/>
    <s v="Female"/>
    <x v="1"/>
    <x v="0"/>
    <x v="4"/>
    <s v="Football Boots"/>
    <x v="5"/>
    <n v="4"/>
    <n v="3366.62"/>
    <n v="0.05"/>
    <n v="12793.16"/>
    <n v="8529.61"/>
    <n v="4263.55"/>
    <s v="Credit Card"/>
    <x v="3"/>
    <n v="3"/>
    <x v="9"/>
  </r>
  <r>
    <s v="ORD100842"/>
    <d v="2025-01-28T00:00:00"/>
    <s v="Decathlon Noida"/>
    <x v="5"/>
    <x v="0"/>
    <s v="CUST1290"/>
    <s v="Female"/>
    <x v="3"/>
    <x v="1"/>
    <x v="5"/>
    <s v="Backpack"/>
    <x v="6"/>
    <n v="1"/>
    <n v="2892.69"/>
    <n v="0"/>
    <n v="2892.69"/>
    <n v="1715.17"/>
    <n v="1177.52"/>
    <s v="UPI"/>
    <x v="4"/>
    <n v="3"/>
    <x v="4"/>
  </r>
  <r>
    <s v="ORD100843"/>
    <d v="2025-09-13T00:00:00"/>
    <s v="Decathlon Hyderabad"/>
    <x v="7"/>
    <x v="2"/>
    <s v="CUST1195"/>
    <s v="Female"/>
    <x v="2"/>
    <x v="0"/>
    <x v="2"/>
    <s v="Swimming Goggles"/>
    <x v="3"/>
    <n v="5"/>
    <n v="907.48"/>
    <n v="0"/>
    <n v="4537.3999999999996"/>
    <n v="2167.14"/>
    <n v="2370.2600000000002"/>
    <s v="UPI"/>
    <x v="0"/>
    <n v="5"/>
    <x v="7"/>
  </r>
  <r>
    <s v="ORD100844"/>
    <d v="2025-11-14T00:00:00"/>
    <s v="Decathlon Chennai"/>
    <x v="3"/>
    <x v="2"/>
    <s v="CUST1697"/>
    <s v="Female"/>
    <x v="0"/>
    <x v="2"/>
    <x v="2"/>
    <s v="Swimming Goggles"/>
    <x v="3"/>
    <n v="3"/>
    <n v="873.28"/>
    <n v="0.3"/>
    <n v="1833.89"/>
    <n v="1387.46"/>
    <n v="446.43"/>
    <s v="Net Banking"/>
    <x v="1"/>
    <n v="4"/>
    <x v="2"/>
  </r>
  <r>
    <s v="ORD100845"/>
    <d v="2025-02-10T00:00:00"/>
    <s v="Decathlon Noida"/>
    <x v="5"/>
    <x v="0"/>
    <s v="CUST1703"/>
    <s v="Female"/>
    <x v="0"/>
    <x v="1"/>
    <x v="5"/>
    <s v="Backpack"/>
    <x v="2"/>
    <n v="3"/>
    <n v="3132.1"/>
    <n v="0"/>
    <n v="9396.2999999999993"/>
    <n v="5204.25"/>
    <n v="4192.05"/>
    <s v="Debit Card"/>
    <x v="8"/>
    <n v="5"/>
    <x v="6"/>
  </r>
  <r>
    <s v="ORD100846"/>
    <d v="2025-12-19T00:00:00"/>
    <s v="Decathlon Bengaluru"/>
    <x v="4"/>
    <x v="2"/>
    <s v="CUST1922"/>
    <s v="Male"/>
    <x v="2"/>
    <x v="2"/>
    <x v="5"/>
    <s v="Trekking Shoes"/>
    <x v="4"/>
    <n v="4"/>
    <n v="4966.8900000000003"/>
    <n v="0.1"/>
    <n v="17880.8"/>
    <n v="12246.05"/>
    <n v="5634.75"/>
    <s v="UPI"/>
    <x v="1"/>
    <n v="4"/>
    <x v="0"/>
  </r>
  <r>
    <s v="ORD100847"/>
    <d v="2025-06-14T00:00:00"/>
    <s v="Decathlon Mumbai"/>
    <x v="6"/>
    <x v="1"/>
    <s v="CUST1517"/>
    <s v="Female"/>
    <x v="2"/>
    <x v="2"/>
    <x v="3"/>
    <s v="Helmet"/>
    <x v="5"/>
    <n v="1"/>
    <n v="1982.37"/>
    <n v="0.15"/>
    <n v="1685.01"/>
    <n v="1139.3699999999999"/>
    <n v="545.64"/>
    <s v="Debit Card"/>
    <x v="4"/>
    <n v="4"/>
    <x v="11"/>
  </r>
  <r>
    <s v="ORD100848"/>
    <d v="2025-03-02T00:00:00"/>
    <s v="Decathlon Delhi"/>
    <x v="9"/>
    <x v="0"/>
    <s v="CUST1261"/>
    <s v="Male"/>
    <x v="2"/>
    <x v="0"/>
    <x v="4"/>
    <s v="Football"/>
    <x v="0"/>
    <n v="3"/>
    <n v="1263.81"/>
    <n v="0.2"/>
    <n v="3033.14"/>
    <n v="2090.04"/>
    <n v="943.1"/>
    <s v="Net Banking"/>
    <x v="5"/>
    <n v="3"/>
    <x v="1"/>
  </r>
  <r>
    <s v="ORD100849"/>
    <d v="2025-07-15T00:00:00"/>
    <s v="Decathlon Delhi"/>
    <x v="9"/>
    <x v="0"/>
    <s v="CUST1468"/>
    <s v="Female"/>
    <x v="3"/>
    <x v="1"/>
    <x v="4"/>
    <s v="Football"/>
    <x v="4"/>
    <n v="2"/>
    <n v="1347"/>
    <n v="0"/>
    <n v="2694"/>
    <n v="1370.24"/>
    <n v="1323.76"/>
    <s v="Cash"/>
    <x v="0"/>
    <n v="3"/>
    <x v="8"/>
  </r>
  <r>
    <s v="ORD100850"/>
    <d v="2025-07-30T00:00:00"/>
    <s v="Decathlon Bengaluru"/>
    <x v="4"/>
    <x v="2"/>
    <s v="CUST1967"/>
    <s v="Male"/>
    <x v="3"/>
    <x v="1"/>
    <x v="1"/>
    <s v="Resistance Band"/>
    <x v="5"/>
    <n v="2"/>
    <n v="919.54"/>
    <n v="0.25"/>
    <n v="1379.31"/>
    <n v="826.18"/>
    <n v="553.13"/>
    <s v="Cash"/>
    <x v="6"/>
    <n v="3"/>
    <x v="8"/>
  </r>
  <r>
    <s v="ORD100851"/>
    <d v="2025-10-16T00:00:00"/>
    <s v="Decathlon Jaipur"/>
    <x v="0"/>
    <x v="0"/>
    <s v="CUST1146"/>
    <s v="Female"/>
    <x v="2"/>
    <x v="0"/>
    <x v="1"/>
    <s v="Resistance Band"/>
    <x v="6"/>
    <n v="5"/>
    <n v="890.33"/>
    <n v="0.05"/>
    <n v="4229.07"/>
    <n v="1967.11"/>
    <n v="2261.96"/>
    <s v="Debit Card"/>
    <x v="2"/>
    <n v="4"/>
    <x v="9"/>
  </r>
  <r>
    <s v="ORD100852"/>
    <d v="2025-07-19T00:00:00"/>
    <s v="Decathlon Gurugram"/>
    <x v="8"/>
    <x v="0"/>
    <s v="CUST1226"/>
    <s v="Female"/>
    <x v="0"/>
    <x v="0"/>
    <x v="4"/>
    <s v="Shin Guards"/>
    <x v="2"/>
    <n v="1"/>
    <n v="988.73"/>
    <n v="0.2"/>
    <n v="790.98"/>
    <n v="484.41"/>
    <n v="306.57"/>
    <s v="Credit Card"/>
    <x v="1"/>
    <n v="5"/>
    <x v="8"/>
  </r>
  <r>
    <s v="ORD100853"/>
    <d v="2025-05-23T00:00:00"/>
    <s v="Decathlon Ahmedabad"/>
    <x v="2"/>
    <x v="1"/>
    <s v="CUST1358"/>
    <s v="Male"/>
    <x v="3"/>
    <x v="2"/>
    <x v="1"/>
    <s v="Yoga Block"/>
    <x v="4"/>
    <n v="3"/>
    <n v="602.78"/>
    <n v="0.25"/>
    <n v="1356.25"/>
    <n v="761.56"/>
    <n v="594.69000000000005"/>
    <s v="Net Banking"/>
    <x v="0"/>
    <n v="4"/>
    <x v="10"/>
  </r>
  <r>
    <s v="ORD100854"/>
    <d v="2025-03-27T00:00:00"/>
    <s v="Decathlon Chennai"/>
    <x v="3"/>
    <x v="2"/>
    <s v="CUST1202"/>
    <s v="Female"/>
    <x v="2"/>
    <x v="2"/>
    <x v="3"/>
    <s v="Cycling Gloves"/>
    <x v="5"/>
    <n v="5"/>
    <n v="761.66"/>
    <n v="0.25"/>
    <n v="2856.22"/>
    <n v="1768.42"/>
    <n v="1087.8"/>
    <s v="Credit Card"/>
    <x v="4"/>
    <n v="3"/>
    <x v="1"/>
  </r>
  <r>
    <s v="ORD100855"/>
    <d v="2025-10-08T00:00:00"/>
    <s v="Decathlon Pune"/>
    <x v="1"/>
    <x v="1"/>
    <s v="CUST1056"/>
    <s v="Male"/>
    <x v="0"/>
    <x v="1"/>
    <x v="4"/>
    <s v="Football Boots"/>
    <x v="4"/>
    <n v="2"/>
    <n v="3504.23"/>
    <n v="0.15"/>
    <n v="5957.19"/>
    <n v="4388.82"/>
    <n v="1568.37"/>
    <s v="Cash"/>
    <x v="7"/>
    <n v="4"/>
    <x v="9"/>
  </r>
  <r>
    <s v="ORD100856"/>
    <d v="2025-04-16T00:00:00"/>
    <s v="Decathlon Ahmedabad"/>
    <x v="2"/>
    <x v="1"/>
    <s v="CUST1126"/>
    <s v="Male"/>
    <x v="3"/>
    <x v="2"/>
    <x v="3"/>
    <s v="Helmet"/>
    <x v="5"/>
    <n v="2"/>
    <n v="2004.71"/>
    <n v="0.05"/>
    <n v="3808.95"/>
    <n v="2295.4299999999998"/>
    <n v="1513.52"/>
    <s v="Credit Card"/>
    <x v="5"/>
    <n v="3"/>
    <x v="5"/>
  </r>
  <r>
    <s v="ORD100857"/>
    <d v="2025-12-03T00:00:00"/>
    <s v="Decathlon Mumbai"/>
    <x v="6"/>
    <x v="1"/>
    <s v="CUST1467"/>
    <s v="Male"/>
    <x v="2"/>
    <x v="0"/>
    <x v="4"/>
    <s v="Shin Guards"/>
    <x v="6"/>
    <n v="4"/>
    <n v="1020.25"/>
    <n v="0.25"/>
    <n v="3060.75"/>
    <n v="1937.75"/>
    <n v="1123"/>
    <s v="Cash"/>
    <x v="1"/>
    <n v="3"/>
    <x v="0"/>
  </r>
  <r>
    <s v="ORD100858"/>
    <d v="2025-01-28T00:00:00"/>
    <s v="Decathlon Hyderabad"/>
    <x v="7"/>
    <x v="2"/>
    <s v="CUST1485"/>
    <s v="Female"/>
    <x v="0"/>
    <x v="2"/>
    <x v="2"/>
    <s v="Swimming Goggles"/>
    <x v="2"/>
    <n v="3"/>
    <n v="938.6"/>
    <n v="0"/>
    <n v="2815.8"/>
    <n v="1372.5"/>
    <n v="1443.3"/>
    <s v="Cash"/>
    <x v="0"/>
    <n v="5"/>
    <x v="4"/>
  </r>
  <r>
    <s v="ORD100859"/>
    <d v="2025-08-16T00:00:00"/>
    <s v="Decathlon Delhi"/>
    <x v="9"/>
    <x v="0"/>
    <s v="CUST1040"/>
    <s v="Female"/>
    <x v="3"/>
    <x v="0"/>
    <x v="3"/>
    <s v="Cycling Gloves"/>
    <x v="2"/>
    <n v="2"/>
    <n v="765.58"/>
    <n v="0"/>
    <n v="1531.16"/>
    <n v="671.4"/>
    <n v="859.76"/>
    <s v="Cash"/>
    <x v="3"/>
    <n v="3"/>
    <x v="3"/>
  </r>
  <r>
    <s v="ORD100860"/>
    <d v="2025-12-05T00:00:00"/>
    <s v="Decathlon Hyderabad"/>
    <x v="7"/>
    <x v="2"/>
    <s v="CUST1214"/>
    <s v="Female"/>
    <x v="0"/>
    <x v="2"/>
    <x v="0"/>
    <s v="Running T-Shirt"/>
    <x v="5"/>
    <n v="4"/>
    <n v="981.21"/>
    <n v="0.15"/>
    <n v="3336.11"/>
    <n v="1847.55"/>
    <n v="1488.56"/>
    <s v="Credit Card"/>
    <x v="0"/>
    <n v="4"/>
    <x v="0"/>
  </r>
  <r>
    <s v="ORD100861"/>
    <d v="2025-11-20T00:00:00"/>
    <s v="Decathlon Gurugram"/>
    <x v="8"/>
    <x v="0"/>
    <s v="CUST1584"/>
    <s v="Male"/>
    <x v="2"/>
    <x v="2"/>
    <x v="2"/>
    <s v="Swimming Goggles"/>
    <x v="2"/>
    <n v="4"/>
    <n v="875.71"/>
    <n v="0.25"/>
    <n v="2627.13"/>
    <n v="1828.37"/>
    <n v="798.76"/>
    <s v="Credit Card"/>
    <x v="4"/>
    <n v="4"/>
    <x v="2"/>
  </r>
  <r>
    <s v="ORD100862"/>
    <d v="2025-05-07T00:00:00"/>
    <s v="Decathlon Noida"/>
    <x v="5"/>
    <x v="0"/>
    <s v="CUST1009"/>
    <s v="Female"/>
    <x v="3"/>
    <x v="2"/>
    <x v="3"/>
    <s v="Cycling Gloves"/>
    <x v="1"/>
    <n v="3"/>
    <n v="815.19"/>
    <n v="0.2"/>
    <n v="1956.46"/>
    <n v="1002.32"/>
    <n v="954.14"/>
    <s v="Debit Card"/>
    <x v="9"/>
    <n v="3"/>
    <x v="10"/>
  </r>
  <r>
    <s v="ORD100863"/>
    <d v="2025-01-20T00:00:00"/>
    <s v="Decathlon Jaipur"/>
    <x v="0"/>
    <x v="0"/>
    <s v="CUST1908"/>
    <s v="Male"/>
    <x v="1"/>
    <x v="0"/>
    <x v="4"/>
    <s v="Football Boots"/>
    <x v="5"/>
    <n v="3"/>
    <n v="3388.05"/>
    <n v="0.1"/>
    <n v="9147.74"/>
    <n v="6387.48"/>
    <n v="2760.26"/>
    <s v="UPI"/>
    <x v="9"/>
    <n v="5"/>
    <x v="4"/>
  </r>
  <r>
    <s v="ORD100864"/>
    <d v="2025-10-26T00:00:00"/>
    <s v="Decathlon Chennai"/>
    <x v="3"/>
    <x v="2"/>
    <s v="CUST1096"/>
    <s v="Male"/>
    <x v="1"/>
    <x v="0"/>
    <x v="1"/>
    <s v="Yoga Block"/>
    <x v="1"/>
    <n v="4"/>
    <n v="588.6"/>
    <n v="0.1"/>
    <n v="2118.96"/>
    <n v="1083.22"/>
    <n v="1035.74"/>
    <s v="UPI"/>
    <x v="9"/>
    <n v="3"/>
    <x v="9"/>
  </r>
  <r>
    <s v="ORD100865"/>
    <d v="2025-04-05T00:00:00"/>
    <s v="Decathlon Pune"/>
    <x v="1"/>
    <x v="1"/>
    <s v="CUST1061"/>
    <s v="Female"/>
    <x v="2"/>
    <x v="0"/>
    <x v="2"/>
    <s v="Swim Cap"/>
    <x v="7"/>
    <n v="4"/>
    <n v="504.34"/>
    <n v="0.15"/>
    <n v="1714.76"/>
    <n v="918.68"/>
    <n v="796.08"/>
    <s v="Cash"/>
    <x v="6"/>
    <n v="4"/>
    <x v="5"/>
  </r>
  <r>
    <s v="ORD100866"/>
    <d v="2025-10-28T00:00:00"/>
    <s v="Decathlon Delhi"/>
    <x v="9"/>
    <x v="0"/>
    <s v="CUST1448"/>
    <s v="Male"/>
    <x v="0"/>
    <x v="0"/>
    <x v="4"/>
    <s v="Football Boots"/>
    <x v="5"/>
    <n v="2"/>
    <n v="3618.61"/>
    <n v="0.05"/>
    <n v="6875.36"/>
    <n v="4317.26"/>
    <n v="2558.1"/>
    <s v="Net Banking"/>
    <x v="5"/>
    <n v="3"/>
    <x v="9"/>
  </r>
  <r>
    <s v="ORD100867"/>
    <d v="2025-04-22T00:00:00"/>
    <s v="Decathlon Gurugram"/>
    <x v="8"/>
    <x v="0"/>
    <s v="CUST1112"/>
    <s v="Male"/>
    <x v="2"/>
    <x v="0"/>
    <x v="2"/>
    <s v="Swim Cap"/>
    <x v="0"/>
    <n v="1"/>
    <n v="480.68"/>
    <n v="0"/>
    <n v="480.68"/>
    <n v="219.31"/>
    <n v="261.37"/>
    <s v="Credit Card"/>
    <x v="2"/>
    <n v="3"/>
    <x v="5"/>
  </r>
  <r>
    <s v="ORD100868"/>
    <d v="2025-03-17T00:00:00"/>
    <s v="Decathlon Bengaluru"/>
    <x v="4"/>
    <x v="2"/>
    <s v="CUST1926"/>
    <s v="Female"/>
    <x v="1"/>
    <x v="0"/>
    <x v="4"/>
    <s v="Football"/>
    <x v="0"/>
    <n v="4"/>
    <n v="1334.03"/>
    <n v="0.2"/>
    <n v="4268.8999999999996"/>
    <n v="2772.73"/>
    <n v="1496.17"/>
    <s v="Cash"/>
    <x v="8"/>
    <n v="3"/>
    <x v="1"/>
  </r>
  <r>
    <s v="ORD100869"/>
    <d v="2025-07-25T00:00:00"/>
    <s v="Decathlon Jaipur"/>
    <x v="0"/>
    <x v="0"/>
    <s v="CUST1640"/>
    <s v="Male"/>
    <x v="1"/>
    <x v="2"/>
    <x v="1"/>
    <s v="Resistance Band"/>
    <x v="5"/>
    <n v="1"/>
    <n v="901.36"/>
    <n v="0.05"/>
    <n v="856.29"/>
    <n v="405.02"/>
    <n v="451.27"/>
    <s v="UPI"/>
    <x v="8"/>
    <n v="3"/>
    <x v="8"/>
  </r>
  <r>
    <s v="ORD100870"/>
    <d v="2025-06-13T00:00:00"/>
    <s v="Decathlon Ahmedabad"/>
    <x v="2"/>
    <x v="1"/>
    <s v="CUST1672"/>
    <s v="Male"/>
    <x v="0"/>
    <x v="2"/>
    <x v="5"/>
    <s v="Backpack"/>
    <x v="3"/>
    <n v="5"/>
    <n v="3021.09"/>
    <n v="0.25"/>
    <n v="11329.09"/>
    <n v="8587.83"/>
    <n v="2741.26"/>
    <s v="UPI"/>
    <x v="3"/>
    <n v="4"/>
    <x v="11"/>
  </r>
  <r>
    <s v="ORD100871"/>
    <d v="2025-09-05T00:00:00"/>
    <s v="Decathlon Mumbai"/>
    <x v="6"/>
    <x v="1"/>
    <s v="CUST1005"/>
    <s v="Male"/>
    <x v="1"/>
    <x v="0"/>
    <x v="1"/>
    <s v="Yoga Block"/>
    <x v="3"/>
    <n v="1"/>
    <n v="622"/>
    <n v="0.15"/>
    <n v="528.70000000000005"/>
    <n v="250.16"/>
    <n v="278.54000000000002"/>
    <s v="UPI"/>
    <x v="8"/>
    <n v="5"/>
    <x v="7"/>
  </r>
  <r>
    <s v="ORD100872"/>
    <d v="2025-04-29T00:00:00"/>
    <s v="Decathlon Delhi"/>
    <x v="9"/>
    <x v="0"/>
    <s v="CUST1141"/>
    <s v="Male"/>
    <x v="2"/>
    <x v="2"/>
    <x v="4"/>
    <s v="Football Boots"/>
    <x v="1"/>
    <n v="1"/>
    <n v="3617.75"/>
    <n v="0.15"/>
    <n v="3075.09"/>
    <n v="2176.56"/>
    <n v="898.53"/>
    <s v="Cash"/>
    <x v="6"/>
    <n v="4"/>
    <x v="5"/>
  </r>
  <r>
    <s v="ORD100873"/>
    <d v="2025-11-04T00:00:00"/>
    <s v="Decathlon Jaipur"/>
    <x v="0"/>
    <x v="0"/>
    <s v="CUST1847"/>
    <s v="Male"/>
    <x v="2"/>
    <x v="0"/>
    <x v="3"/>
    <s v="Helmet"/>
    <x v="4"/>
    <n v="5"/>
    <n v="2047.27"/>
    <n v="0"/>
    <n v="10236.35"/>
    <n v="5272.32"/>
    <n v="4964.03"/>
    <s v="Net Banking"/>
    <x v="8"/>
    <n v="5"/>
    <x v="2"/>
  </r>
  <r>
    <s v="ORD100874"/>
    <d v="2025-11-27T00:00:00"/>
    <s v="Decathlon Noida"/>
    <x v="5"/>
    <x v="0"/>
    <s v="CUST1187"/>
    <s v="Male"/>
    <x v="2"/>
    <x v="1"/>
    <x v="5"/>
    <s v="Backpack"/>
    <x v="6"/>
    <n v="5"/>
    <n v="2934.86"/>
    <n v="0.3"/>
    <n v="10272.01"/>
    <n v="8173.44"/>
    <n v="2098.5700000000002"/>
    <s v="Credit Card"/>
    <x v="1"/>
    <n v="4"/>
    <x v="2"/>
  </r>
  <r>
    <s v="ORD100875"/>
    <d v="2025-03-17T00:00:00"/>
    <s v="Decathlon Chennai"/>
    <x v="3"/>
    <x v="2"/>
    <s v="CUST1576"/>
    <s v="Female"/>
    <x v="3"/>
    <x v="1"/>
    <x v="3"/>
    <s v="Cycling Gloves"/>
    <x v="7"/>
    <n v="1"/>
    <n v="837.52"/>
    <n v="0.25"/>
    <n v="628.14"/>
    <n v="333.18"/>
    <n v="294.95999999999998"/>
    <s v="Credit Card"/>
    <x v="1"/>
    <n v="5"/>
    <x v="1"/>
  </r>
  <r>
    <s v="ORD100876"/>
    <d v="2025-01-14T00:00:00"/>
    <s v="Decathlon Ahmedabad"/>
    <x v="2"/>
    <x v="1"/>
    <s v="CUST1429"/>
    <s v="Female"/>
    <x v="3"/>
    <x v="0"/>
    <x v="5"/>
    <s v="Trekking Shoes"/>
    <x v="1"/>
    <n v="4"/>
    <n v="4933.7700000000004"/>
    <n v="0.2"/>
    <n v="15788.06"/>
    <n v="12222.41"/>
    <n v="3565.65"/>
    <s v="UPI"/>
    <x v="6"/>
    <n v="4"/>
    <x v="4"/>
  </r>
  <r>
    <s v="ORD100877"/>
    <d v="2025-03-29T00:00:00"/>
    <s v="Decathlon Jaipur"/>
    <x v="0"/>
    <x v="0"/>
    <s v="CUST1321"/>
    <s v="Female"/>
    <x v="0"/>
    <x v="2"/>
    <x v="0"/>
    <s v="Fitness Band"/>
    <x v="0"/>
    <n v="3"/>
    <n v="2398.14"/>
    <n v="0"/>
    <n v="7194.42"/>
    <n v="4336.78"/>
    <n v="2857.64"/>
    <s v="UPI"/>
    <x v="5"/>
    <n v="4"/>
    <x v="1"/>
  </r>
  <r>
    <s v="ORD100878"/>
    <d v="2025-07-18T00:00:00"/>
    <s v="Decathlon Gurugram"/>
    <x v="8"/>
    <x v="0"/>
    <s v="CUST1022"/>
    <s v="Male"/>
    <x v="1"/>
    <x v="1"/>
    <x v="5"/>
    <s v="Trekking Shoes"/>
    <x v="3"/>
    <n v="5"/>
    <n v="5116.08"/>
    <n v="0.15"/>
    <n v="21743.34"/>
    <n v="15487.85"/>
    <n v="6255.49"/>
    <s v="Net Banking"/>
    <x v="8"/>
    <n v="4"/>
    <x v="8"/>
  </r>
  <r>
    <s v="ORD100879"/>
    <d v="2025-02-27T00:00:00"/>
    <s v="Decathlon Bengaluru"/>
    <x v="4"/>
    <x v="2"/>
    <s v="CUST1549"/>
    <s v="Female"/>
    <x v="0"/>
    <x v="2"/>
    <x v="1"/>
    <s v="Resistance Band"/>
    <x v="7"/>
    <n v="2"/>
    <n v="922.71"/>
    <n v="0.3"/>
    <n v="1291.79"/>
    <n v="803.3"/>
    <n v="488.49"/>
    <s v="Net Banking"/>
    <x v="6"/>
    <n v="5"/>
    <x v="6"/>
  </r>
  <r>
    <s v="ORD100880"/>
    <d v="2025-06-25T00:00:00"/>
    <s v="Decathlon Ahmedabad"/>
    <x v="2"/>
    <x v="1"/>
    <s v="CUST1516"/>
    <s v="Male"/>
    <x v="1"/>
    <x v="2"/>
    <x v="0"/>
    <s v="Running Shoes"/>
    <x v="4"/>
    <n v="5"/>
    <n v="4060.84"/>
    <n v="0.1"/>
    <n v="18273.78"/>
    <n v="11426.18"/>
    <n v="6847.6"/>
    <s v="Credit Card"/>
    <x v="1"/>
    <n v="4"/>
    <x v="11"/>
  </r>
  <r>
    <s v="ORD100881"/>
    <d v="2025-04-12T00:00:00"/>
    <s v="Decathlon Delhi"/>
    <x v="9"/>
    <x v="0"/>
    <s v="CUST1684"/>
    <s v="Female"/>
    <x v="2"/>
    <x v="0"/>
    <x v="4"/>
    <s v="Football"/>
    <x v="4"/>
    <n v="3"/>
    <n v="1349.35"/>
    <n v="0.25"/>
    <n v="3036.04"/>
    <n v="2015.09"/>
    <n v="1020.95"/>
    <s v="Credit Card"/>
    <x v="2"/>
    <n v="4"/>
    <x v="5"/>
  </r>
  <r>
    <s v="ORD100882"/>
    <d v="2025-02-24T00:00:00"/>
    <s v="Decathlon Noida"/>
    <x v="5"/>
    <x v="0"/>
    <s v="CUST1466"/>
    <s v="Female"/>
    <x v="3"/>
    <x v="1"/>
    <x v="3"/>
    <s v="Helmet"/>
    <x v="1"/>
    <n v="4"/>
    <n v="2043.16"/>
    <n v="0.2"/>
    <n v="6538.11"/>
    <n v="4407.87"/>
    <n v="2130.2399999999998"/>
    <s v="Cash"/>
    <x v="3"/>
    <n v="3"/>
    <x v="6"/>
  </r>
  <r>
    <s v="ORD100883"/>
    <d v="2025-11-18T00:00:00"/>
    <s v="Decathlon Jaipur"/>
    <x v="0"/>
    <x v="0"/>
    <s v="CUST1579"/>
    <s v="Female"/>
    <x v="1"/>
    <x v="2"/>
    <x v="3"/>
    <s v="Mountain Bike"/>
    <x v="6"/>
    <n v="4"/>
    <n v="24142.799999999999"/>
    <n v="0"/>
    <n v="96571.199999999997"/>
    <n v="75233.64"/>
    <n v="21337.56"/>
    <s v="Net Banking"/>
    <x v="2"/>
    <n v="4"/>
    <x v="2"/>
  </r>
  <r>
    <s v="ORD100884"/>
    <d v="2025-04-28T00:00:00"/>
    <s v="Decathlon Bengaluru"/>
    <x v="4"/>
    <x v="2"/>
    <s v="CUST1740"/>
    <s v="Male"/>
    <x v="3"/>
    <x v="1"/>
    <x v="3"/>
    <s v="Mountain Bike"/>
    <x v="6"/>
    <n v="3"/>
    <n v="24791.34"/>
    <n v="0.15"/>
    <n v="63217.919999999998"/>
    <n v="56220.17"/>
    <n v="6997.75"/>
    <s v="Debit Card"/>
    <x v="5"/>
    <n v="3"/>
    <x v="5"/>
  </r>
  <r>
    <s v="ORD100885"/>
    <d v="2025-09-10T00:00:00"/>
    <s v="Decathlon Ahmedabad"/>
    <x v="2"/>
    <x v="1"/>
    <s v="CUST1536"/>
    <s v="Male"/>
    <x v="0"/>
    <x v="0"/>
    <x v="1"/>
    <s v="Yoga Block"/>
    <x v="4"/>
    <n v="5"/>
    <n v="594.97"/>
    <n v="0.1"/>
    <n v="2677.37"/>
    <n v="1355.23"/>
    <n v="1322.14"/>
    <s v="Net Banking"/>
    <x v="9"/>
    <n v="4"/>
    <x v="7"/>
  </r>
  <r>
    <s v="ORD100886"/>
    <d v="2025-10-15T00:00:00"/>
    <s v="Decathlon Gurugram"/>
    <x v="8"/>
    <x v="0"/>
    <s v="CUST1410"/>
    <s v="Female"/>
    <x v="3"/>
    <x v="0"/>
    <x v="2"/>
    <s v="Swimming Goggles"/>
    <x v="3"/>
    <n v="1"/>
    <n v="862.73"/>
    <n v="0.25"/>
    <n v="647.04999999999995"/>
    <n v="469.53"/>
    <n v="177.52"/>
    <s v="UPI"/>
    <x v="3"/>
    <n v="3"/>
    <x v="9"/>
  </r>
  <r>
    <s v="ORD100887"/>
    <d v="2025-05-30T00:00:00"/>
    <s v="Decathlon Jaipur"/>
    <x v="0"/>
    <x v="0"/>
    <s v="CUST1782"/>
    <s v="Female"/>
    <x v="1"/>
    <x v="1"/>
    <x v="0"/>
    <s v="Fitness Band"/>
    <x v="2"/>
    <n v="4"/>
    <n v="2573.71"/>
    <n v="0.25"/>
    <n v="7721.13"/>
    <n v="6248.92"/>
    <n v="1472.21"/>
    <s v="Cash"/>
    <x v="6"/>
    <n v="3"/>
    <x v="10"/>
  </r>
  <r>
    <s v="ORD100888"/>
    <d v="2025-02-23T00:00:00"/>
    <s v="Decathlon Chennai"/>
    <x v="3"/>
    <x v="2"/>
    <s v="CUST1972"/>
    <s v="Male"/>
    <x v="0"/>
    <x v="0"/>
    <x v="4"/>
    <s v="Football"/>
    <x v="5"/>
    <n v="2"/>
    <n v="1244.21"/>
    <n v="0.25"/>
    <n v="1866.32"/>
    <n v="1365.38"/>
    <n v="500.94"/>
    <s v="UPI"/>
    <x v="7"/>
    <n v="5"/>
    <x v="6"/>
  </r>
  <r>
    <s v="ORD100889"/>
    <d v="2025-08-17T00:00:00"/>
    <s v="Decathlon Chennai"/>
    <x v="3"/>
    <x v="2"/>
    <s v="CUST1321"/>
    <s v="Female"/>
    <x v="0"/>
    <x v="2"/>
    <x v="4"/>
    <s v="Football"/>
    <x v="4"/>
    <n v="4"/>
    <n v="1281.7"/>
    <n v="0.3"/>
    <n v="3588.76"/>
    <n v="2929.83"/>
    <n v="658.93"/>
    <s v="Debit Card"/>
    <x v="7"/>
    <n v="4"/>
    <x v="3"/>
  </r>
  <r>
    <s v="ORD100890"/>
    <d v="2025-09-09T00:00:00"/>
    <s v="Decathlon Ahmedabad"/>
    <x v="2"/>
    <x v="1"/>
    <s v="CUST1179"/>
    <s v="Male"/>
    <x v="1"/>
    <x v="1"/>
    <x v="5"/>
    <s v="Backpack"/>
    <x v="3"/>
    <n v="5"/>
    <n v="2929.09"/>
    <n v="0"/>
    <n v="14645.45"/>
    <n v="8847.41"/>
    <n v="5798.04"/>
    <s v="UPI"/>
    <x v="5"/>
    <n v="4"/>
    <x v="7"/>
  </r>
  <r>
    <s v="ORD100891"/>
    <d v="2025-03-08T00:00:00"/>
    <s v="Decathlon Chennai"/>
    <x v="3"/>
    <x v="2"/>
    <s v="CUST1679"/>
    <s v="Male"/>
    <x v="2"/>
    <x v="0"/>
    <x v="4"/>
    <s v="Football"/>
    <x v="7"/>
    <n v="1"/>
    <n v="1358.39"/>
    <n v="0.2"/>
    <n v="1086.71"/>
    <n v="724.17"/>
    <n v="362.54"/>
    <s v="Cash"/>
    <x v="7"/>
    <n v="3"/>
    <x v="1"/>
  </r>
  <r>
    <s v="ORD100892"/>
    <d v="2025-12-10T00:00:00"/>
    <s v="Decathlon Chennai"/>
    <x v="3"/>
    <x v="2"/>
    <s v="CUST1116"/>
    <s v="Female"/>
    <x v="1"/>
    <x v="0"/>
    <x v="3"/>
    <s v="Helmet"/>
    <x v="3"/>
    <n v="1"/>
    <n v="1941.33"/>
    <n v="0.25"/>
    <n v="1456"/>
    <n v="1078.0999999999999"/>
    <n v="377.9"/>
    <s v="UPI"/>
    <x v="0"/>
    <n v="5"/>
    <x v="0"/>
  </r>
  <r>
    <s v="ORD100893"/>
    <d v="2025-09-06T00:00:00"/>
    <s v="Decathlon Delhi"/>
    <x v="9"/>
    <x v="0"/>
    <s v="CUST1462"/>
    <s v="Male"/>
    <x v="3"/>
    <x v="2"/>
    <x v="3"/>
    <s v="Helmet"/>
    <x v="4"/>
    <n v="2"/>
    <n v="1979.13"/>
    <n v="0.1"/>
    <n v="3562.43"/>
    <n v="2203.6"/>
    <n v="1358.83"/>
    <s v="UPI"/>
    <x v="8"/>
    <n v="5"/>
    <x v="7"/>
  </r>
  <r>
    <s v="ORD100894"/>
    <d v="2025-12-24T00:00:00"/>
    <s v="Decathlon Bengaluru"/>
    <x v="4"/>
    <x v="2"/>
    <s v="CUST1805"/>
    <s v="Male"/>
    <x v="2"/>
    <x v="0"/>
    <x v="4"/>
    <s v="Shin Guards"/>
    <x v="6"/>
    <n v="2"/>
    <n v="963.53"/>
    <n v="0"/>
    <n v="1927.06"/>
    <n v="1046.54"/>
    <n v="880.52"/>
    <s v="Credit Card"/>
    <x v="3"/>
    <n v="3"/>
    <x v="0"/>
  </r>
  <r>
    <s v="ORD100895"/>
    <d v="2025-07-25T00:00:00"/>
    <s v="Decathlon Pune"/>
    <x v="1"/>
    <x v="1"/>
    <s v="CUST1242"/>
    <s v="Male"/>
    <x v="2"/>
    <x v="0"/>
    <x v="0"/>
    <s v="Running Shoes"/>
    <x v="1"/>
    <n v="4"/>
    <n v="4055.64"/>
    <n v="0.15"/>
    <n v="13789.18"/>
    <n v="9047.69"/>
    <n v="4741.49"/>
    <s v="Credit Card"/>
    <x v="3"/>
    <n v="3"/>
    <x v="8"/>
  </r>
  <r>
    <s v="ORD100896"/>
    <d v="2025-05-03T00:00:00"/>
    <s v="Decathlon Bengaluru"/>
    <x v="4"/>
    <x v="2"/>
    <s v="CUST1434"/>
    <s v="Male"/>
    <x v="3"/>
    <x v="1"/>
    <x v="1"/>
    <s v="Yoga Mat"/>
    <x v="6"/>
    <n v="1"/>
    <n v="1459.77"/>
    <n v="0.3"/>
    <n v="1021.84"/>
    <n v="665.04"/>
    <n v="356.8"/>
    <s v="UPI"/>
    <x v="4"/>
    <n v="5"/>
    <x v="10"/>
  </r>
  <r>
    <s v="ORD100897"/>
    <d v="2025-03-08T00:00:00"/>
    <s v="Decathlon Jaipur"/>
    <x v="0"/>
    <x v="0"/>
    <s v="CUST1670"/>
    <s v="Male"/>
    <x v="1"/>
    <x v="2"/>
    <x v="5"/>
    <s v="Water Bottle"/>
    <x v="1"/>
    <n v="4"/>
    <n v="703.79"/>
    <n v="0.2"/>
    <n v="2252.13"/>
    <n v="966.6"/>
    <n v="1285.53"/>
    <s v="Net Banking"/>
    <x v="8"/>
    <n v="3"/>
    <x v="1"/>
  </r>
  <r>
    <s v="ORD100898"/>
    <d v="2025-02-14T00:00:00"/>
    <s v="Decathlon Chennai"/>
    <x v="3"/>
    <x v="2"/>
    <s v="CUST1603"/>
    <s v="Female"/>
    <x v="0"/>
    <x v="0"/>
    <x v="1"/>
    <s v="Yoga Block"/>
    <x v="7"/>
    <n v="4"/>
    <n v="586.5"/>
    <n v="0.05"/>
    <n v="2228.6999999999998"/>
    <n v="1004.24"/>
    <n v="1224.46"/>
    <s v="Debit Card"/>
    <x v="0"/>
    <n v="3"/>
    <x v="6"/>
  </r>
  <r>
    <s v="ORD100899"/>
    <d v="2025-01-08T00:00:00"/>
    <s v="Decathlon Bengaluru"/>
    <x v="4"/>
    <x v="2"/>
    <s v="CUST1281"/>
    <s v="Male"/>
    <x v="2"/>
    <x v="2"/>
    <x v="5"/>
    <s v="Backpack"/>
    <x v="4"/>
    <n v="3"/>
    <n v="3045.31"/>
    <n v="0.1"/>
    <n v="8222.34"/>
    <n v="4990.79"/>
    <n v="3231.55"/>
    <s v="Cash"/>
    <x v="4"/>
    <n v="4"/>
    <x v="4"/>
  </r>
  <r>
    <s v="ORD100900"/>
    <d v="2025-11-15T00:00:00"/>
    <s v="Decathlon Chennai"/>
    <x v="3"/>
    <x v="2"/>
    <s v="CUST1728"/>
    <s v="Male"/>
    <x v="3"/>
    <x v="1"/>
    <x v="5"/>
    <s v="Trekking Shoes"/>
    <x v="5"/>
    <n v="5"/>
    <n v="5134.51"/>
    <n v="0.2"/>
    <n v="20538.04"/>
    <n v="16128.82"/>
    <n v="4409.22"/>
    <s v="Credit Card"/>
    <x v="1"/>
    <n v="4"/>
    <x v="2"/>
  </r>
  <r>
    <s v="ORD100901"/>
    <d v="2025-08-22T00:00:00"/>
    <s v="Decathlon Jaipur"/>
    <x v="0"/>
    <x v="0"/>
    <s v="CUST1270"/>
    <s v="Female"/>
    <x v="3"/>
    <x v="1"/>
    <x v="4"/>
    <s v="Shin Guards"/>
    <x v="1"/>
    <n v="1"/>
    <n v="966.03"/>
    <n v="0.2"/>
    <n v="772.82"/>
    <n v="508.51"/>
    <n v="264.31"/>
    <s v="UPI"/>
    <x v="5"/>
    <n v="4"/>
    <x v="3"/>
  </r>
  <r>
    <s v="ORD100902"/>
    <d v="2025-03-11T00:00:00"/>
    <s v="Decathlon Gurugram"/>
    <x v="8"/>
    <x v="0"/>
    <s v="CUST1178"/>
    <s v="Male"/>
    <x v="3"/>
    <x v="2"/>
    <x v="3"/>
    <s v="Mountain Bike"/>
    <x v="1"/>
    <n v="1"/>
    <n v="25285.63"/>
    <n v="0.25"/>
    <n v="18964.22"/>
    <n v="18268.38"/>
    <n v="695.84"/>
    <s v="Net Banking"/>
    <x v="7"/>
    <n v="5"/>
    <x v="1"/>
  </r>
  <r>
    <s v="ORD100903"/>
    <d v="2025-01-02T00:00:00"/>
    <s v="Decathlon Bengaluru"/>
    <x v="4"/>
    <x v="2"/>
    <s v="CUST1747"/>
    <s v="Female"/>
    <x v="0"/>
    <x v="2"/>
    <x v="0"/>
    <s v="Running Shoes"/>
    <x v="5"/>
    <n v="3"/>
    <n v="4081.4"/>
    <n v="0.2"/>
    <n v="9795.36"/>
    <n v="6719.35"/>
    <n v="3076.01"/>
    <s v="Net Banking"/>
    <x v="2"/>
    <n v="5"/>
    <x v="4"/>
  </r>
  <r>
    <s v="ORD100904"/>
    <d v="2025-09-29T00:00:00"/>
    <s v="Decathlon Bengaluru"/>
    <x v="4"/>
    <x v="2"/>
    <s v="CUST1338"/>
    <s v="Female"/>
    <x v="2"/>
    <x v="1"/>
    <x v="2"/>
    <s v="Swimsuit"/>
    <x v="3"/>
    <n v="3"/>
    <n v="1476.2"/>
    <n v="0.1"/>
    <n v="3985.74"/>
    <n v="2484.56"/>
    <n v="1501.18"/>
    <s v="Debit Card"/>
    <x v="4"/>
    <n v="5"/>
    <x v="7"/>
  </r>
  <r>
    <s v="ORD100905"/>
    <d v="2025-04-14T00:00:00"/>
    <s v="Decathlon Mumbai"/>
    <x v="6"/>
    <x v="1"/>
    <s v="CUST1881"/>
    <s v="Female"/>
    <x v="1"/>
    <x v="1"/>
    <x v="0"/>
    <s v="Running Shoes"/>
    <x v="5"/>
    <n v="2"/>
    <n v="3866.01"/>
    <n v="0.1"/>
    <n v="6958.82"/>
    <n v="4180.78"/>
    <n v="2778.04"/>
    <s v="Cash"/>
    <x v="1"/>
    <n v="4"/>
    <x v="5"/>
  </r>
  <r>
    <s v="ORD100906"/>
    <d v="2025-12-15T00:00:00"/>
    <s v="Decathlon Chennai"/>
    <x v="3"/>
    <x v="2"/>
    <s v="CUST1014"/>
    <s v="Female"/>
    <x v="1"/>
    <x v="1"/>
    <x v="3"/>
    <s v="Cycling Gloves"/>
    <x v="2"/>
    <n v="1"/>
    <n v="774.61"/>
    <n v="0.3"/>
    <n v="542.23"/>
    <n v="338.63"/>
    <n v="203.6"/>
    <s v="Credit Card"/>
    <x v="7"/>
    <n v="5"/>
    <x v="0"/>
  </r>
  <r>
    <s v="ORD100907"/>
    <d v="2025-04-06T00:00:00"/>
    <s v="Decathlon Bengaluru"/>
    <x v="4"/>
    <x v="2"/>
    <s v="CUST1599"/>
    <s v="Female"/>
    <x v="3"/>
    <x v="0"/>
    <x v="4"/>
    <s v="Shin Guards"/>
    <x v="1"/>
    <n v="2"/>
    <n v="979.36"/>
    <n v="0"/>
    <n v="1958.72"/>
    <n v="1014.74"/>
    <n v="943.98"/>
    <s v="Credit Card"/>
    <x v="3"/>
    <n v="3"/>
    <x v="5"/>
  </r>
  <r>
    <s v="ORD100908"/>
    <d v="2025-10-24T00:00:00"/>
    <s v="Decathlon Chennai"/>
    <x v="3"/>
    <x v="2"/>
    <s v="CUST1335"/>
    <s v="Female"/>
    <x v="3"/>
    <x v="1"/>
    <x v="5"/>
    <s v="Trekking Shoes"/>
    <x v="1"/>
    <n v="3"/>
    <n v="5030.0200000000004"/>
    <n v="0.25"/>
    <n v="11317.55"/>
    <n v="9702.7000000000007"/>
    <n v="1614.85"/>
    <s v="Net Banking"/>
    <x v="3"/>
    <n v="5"/>
    <x v="9"/>
  </r>
  <r>
    <s v="ORD100909"/>
    <d v="2025-03-04T00:00:00"/>
    <s v="Decathlon Jaipur"/>
    <x v="0"/>
    <x v="0"/>
    <s v="CUST1442"/>
    <s v="Male"/>
    <x v="2"/>
    <x v="2"/>
    <x v="2"/>
    <s v="Swimsuit"/>
    <x v="2"/>
    <n v="3"/>
    <n v="1471.12"/>
    <n v="0.15"/>
    <n v="3751.36"/>
    <n v="2427.98"/>
    <n v="1323.38"/>
    <s v="Credit Card"/>
    <x v="4"/>
    <n v="3"/>
    <x v="1"/>
  </r>
  <r>
    <s v="ORD100910"/>
    <d v="2025-06-10T00:00:00"/>
    <s v="Decathlon Bengaluru"/>
    <x v="4"/>
    <x v="2"/>
    <s v="CUST1472"/>
    <s v="Female"/>
    <x v="1"/>
    <x v="2"/>
    <x v="1"/>
    <s v="Yoga Block"/>
    <x v="3"/>
    <n v="4"/>
    <n v="613.58000000000004"/>
    <n v="0.2"/>
    <n v="1963.46"/>
    <n v="1031.48"/>
    <n v="931.98"/>
    <s v="Credit Card"/>
    <x v="4"/>
    <n v="5"/>
    <x v="11"/>
  </r>
  <r>
    <s v="ORD100911"/>
    <d v="2025-05-10T00:00:00"/>
    <s v="Decathlon Noida"/>
    <x v="5"/>
    <x v="0"/>
    <s v="CUST1789"/>
    <s v="Female"/>
    <x v="1"/>
    <x v="1"/>
    <x v="4"/>
    <s v="Football Boots"/>
    <x v="1"/>
    <n v="5"/>
    <n v="3410.91"/>
    <n v="0.05"/>
    <n v="16201.82"/>
    <n v="10346.16"/>
    <n v="5855.66"/>
    <s v="UPI"/>
    <x v="3"/>
    <n v="3"/>
    <x v="10"/>
  </r>
  <r>
    <s v="ORD100912"/>
    <d v="2025-12-21T00:00:00"/>
    <s v="Decathlon Bengaluru"/>
    <x v="4"/>
    <x v="2"/>
    <s v="CUST1852"/>
    <s v="Female"/>
    <x v="3"/>
    <x v="1"/>
    <x v="1"/>
    <s v="Yoga Block"/>
    <x v="0"/>
    <n v="4"/>
    <n v="582.95000000000005"/>
    <n v="0.15"/>
    <n v="1982.03"/>
    <n v="1055.98"/>
    <n v="926.05"/>
    <s v="UPI"/>
    <x v="1"/>
    <n v="3"/>
    <x v="0"/>
  </r>
  <r>
    <s v="ORD100913"/>
    <d v="2025-10-01T00:00:00"/>
    <s v="Decathlon Bengaluru"/>
    <x v="4"/>
    <x v="2"/>
    <s v="CUST1718"/>
    <s v="Female"/>
    <x v="0"/>
    <x v="0"/>
    <x v="1"/>
    <s v="Yoga Block"/>
    <x v="4"/>
    <n v="3"/>
    <n v="616.46"/>
    <n v="0.1"/>
    <n v="1664.44"/>
    <n v="769.15"/>
    <n v="895.29"/>
    <s v="Cash"/>
    <x v="7"/>
    <n v="5"/>
    <x v="9"/>
  </r>
  <r>
    <s v="ORD100914"/>
    <d v="2025-12-06T00:00:00"/>
    <s v="Decathlon Mumbai"/>
    <x v="6"/>
    <x v="1"/>
    <s v="CUST1352"/>
    <s v="Female"/>
    <x v="3"/>
    <x v="0"/>
    <x v="3"/>
    <s v="Cycling Gloves"/>
    <x v="3"/>
    <n v="2"/>
    <n v="833.75"/>
    <n v="0.25"/>
    <n v="1250.6199999999999"/>
    <n v="698.49"/>
    <n v="552.13"/>
    <s v="UPI"/>
    <x v="8"/>
    <n v="5"/>
    <x v="0"/>
  </r>
  <r>
    <s v="ORD100915"/>
    <d v="2025-05-17T00:00:00"/>
    <s v="Decathlon Gurugram"/>
    <x v="8"/>
    <x v="0"/>
    <s v="CUST1832"/>
    <s v="Male"/>
    <x v="2"/>
    <x v="1"/>
    <x v="3"/>
    <s v="Cycling Gloves"/>
    <x v="6"/>
    <n v="4"/>
    <n v="761.07"/>
    <n v="0.1"/>
    <n v="2739.85"/>
    <n v="1453.72"/>
    <n v="1286.1300000000001"/>
    <s v="UPI"/>
    <x v="8"/>
    <n v="4"/>
    <x v="10"/>
  </r>
  <r>
    <s v="ORD100916"/>
    <d v="2025-09-09T00:00:00"/>
    <s v="Decathlon Jaipur"/>
    <x v="0"/>
    <x v="0"/>
    <s v="CUST1411"/>
    <s v="Female"/>
    <x v="0"/>
    <x v="2"/>
    <x v="4"/>
    <s v="Football"/>
    <x v="0"/>
    <n v="3"/>
    <n v="1322.99"/>
    <n v="0.1"/>
    <n v="3572.07"/>
    <n v="2082.64"/>
    <n v="1489.43"/>
    <s v="Credit Card"/>
    <x v="7"/>
    <n v="4"/>
    <x v="7"/>
  </r>
  <r>
    <s v="ORD100917"/>
    <d v="2025-06-12T00:00:00"/>
    <s v="Decathlon Jaipur"/>
    <x v="0"/>
    <x v="0"/>
    <s v="CUST1705"/>
    <s v="Male"/>
    <x v="3"/>
    <x v="0"/>
    <x v="1"/>
    <s v="Yoga Block"/>
    <x v="6"/>
    <n v="1"/>
    <n v="618.09"/>
    <n v="0.2"/>
    <n v="494.47"/>
    <n v="266.38"/>
    <n v="228.09"/>
    <s v="Cash"/>
    <x v="2"/>
    <n v="3"/>
    <x v="11"/>
  </r>
  <r>
    <s v="ORD100918"/>
    <d v="2025-09-05T00:00:00"/>
    <s v="Decathlon Chennai"/>
    <x v="3"/>
    <x v="2"/>
    <s v="CUST1316"/>
    <s v="Female"/>
    <x v="0"/>
    <x v="1"/>
    <x v="4"/>
    <s v="Shin Guards"/>
    <x v="0"/>
    <n v="5"/>
    <n v="961.13"/>
    <n v="0.3"/>
    <n v="3363.95"/>
    <n v="2450.9299999999998"/>
    <n v="913.02"/>
    <s v="Cash"/>
    <x v="3"/>
    <n v="3"/>
    <x v="7"/>
  </r>
  <r>
    <s v="ORD100919"/>
    <d v="2025-08-15T00:00:00"/>
    <s v="Decathlon Gurugram"/>
    <x v="8"/>
    <x v="0"/>
    <s v="CUST1306"/>
    <s v="Male"/>
    <x v="3"/>
    <x v="2"/>
    <x v="3"/>
    <s v="Helmet"/>
    <x v="6"/>
    <n v="3"/>
    <n v="2029.81"/>
    <n v="0.15"/>
    <n v="5176.0200000000004"/>
    <n v="3151.63"/>
    <n v="2024.39"/>
    <s v="Cash"/>
    <x v="0"/>
    <n v="5"/>
    <x v="3"/>
  </r>
  <r>
    <s v="ORD100920"/>
    <d v="2025-12-17T00:00:00"/>
    <s v="Decathlon Pune"/>
    <x v="1"/>
    <x v="1"/>
    <s v="CUST1319"/>
    <s v="Female"/>
    <x v="1"/>
    <x v="2"/>
    <x v="0"/>
    <s v="Running T-Shirt"/>
    <x v="3"/>
    <n v="5"/>
    <n v="1042.54"/>
    <n v="0.3"/>
    <n v="3648.89"/>
    <n v="2150.19"/>
    <n v="1498.7"/>
    <s v="Cash"/>
    <x v="4"/>
    <n v="3"/>
    <x v="0"/>
  </r>
  <r>
    <s v="ORD100921"/>
    <d v="2025-04-09T00:00:00"/>
    <s v="Decathlon Mumbai"/>
    <x v="6"/>
    <x v="1"/>
    <s v="CUST1669"/>
    <s v="Female"/>
    <x v="0"/>
    <x v="1"/>
    <x v="3"/>
    <s v="Helmet"/>
    <x v="4"/>
    <n v="3"/>
    <n v="1906.48"/>
    <n v="0"/>
    <n v="5719.44"/>
    <n v="3434.04"/>
    <n v="2285.4"/>
    <s v="Debit Card"/>
    <x v="7"/>
    <n v="3"/>
    <x v="5"/>
  </r>
  <r>
    <s v="ORD100922"/>
    <d v="2025-04-29T00:00:00"/>
    <s v="Decathlon Mumbai"/>
    <x v="6"/>
    <x v="1"/>
    <s v="CUST1173"/>
    <s v="Male"/>
    <x v="1"/>
    <x v="1"/>
    <x v="2"/>
    <s v="Swimsuit"/>
    <x v="3"/>
    <n v="2"/>
    <n v="1563"/>
    <n v="0.25"/>
    <n v="2344.5"/>
    <n v="1751.52"/>
    <n v="592.98"/>
    <s v="Credit Card"/>
    <x v="0"/>
    <n v="5"/>
    <x v="5"/>
  </r>
  <r>
    <s v="ORD100923"/>
    <d v="2025-04-06T00:00:00"/>
    <s v="Decathlon Chennai"/>
    <x v="3"/>
    <x v="2"/>
    <s v="CUST1171"/>
    <s v="Female"/>
    <x v="2"/>
    <x v="0"/>
    <x v="4"/>
    <s v="Football Boots"/>
    <x v="5"/>
    <n v="2"/>
    <n v="3648.61"/>
    <n v="0.1"/>
    <n v="6567.5"/>
    <n v="4076.93"/>
    <n v="2490.5700000000002"/>
    <s v="UPI"/>
    <x v="4"/>
    <n v="4"/>
    <x v="5"/>
  </r>
  <r>
    <s v="ORD100924"/>
    <d v="2025-06-10T00:00:00"/>
    <s v="Decathlon Noida"/>
    <x v="5"/>
    <x v="0"/>
    <s v="CUST1307"/>
    <s v="Female"/>
    <x v="1"/>
    <x v="0"/>
    <x v="0"/>
    <s v="Running T-Shirt"/>
    <x v="5"/>
    <n v="2"/>
    <n v="978.6"/>
    <n v="0.1"/>
    <n v="1761.48"/>
    <n v="893.31"/>
    <n v="868.17"/>
    <s v="Debit Card"/>
    <x v="9"/>
    <n v="5"/>
    <x v="11"/>
  </r>
  <r>
    <s v="ORD100925"/>
    <d v="2025-10-17T00:00:00"/>
    <s v="Decathlon Hyderabad"/>
    <x v="7"/>
    <x v="2"/>
    <s v="CUST1214"/>
    <s v="Female"/>
    <x v="2"/>
    <x v="2"/>
    <x v="3"/>
    <s v="Helmet"/>
    <x v="1"/>
    <n v="1"/>
    <n v="1903.11"/>
    <n v="0.1"/>
    <n v="1712.8"/>
    <n v="1133.8599999999999"/>
    <n v="578.94000000000005"/>
    <s v="Debit Card"/>
    <x v="3"/>
    <n v="4"/>
    <x v="9"/>
  </r>
  <r>
    <s v="ORD100926"/>
    <d v="2025-12-20T00:00:00"/>
    <s v="Decathlon Noida"/>
    <x v="5"/>
    <x v="0"/>
    <s v="CUST1038"/>
    <s v="Male"/>
    <x v="3"/>
    <x v="1"/>
    <x v="4"/>
    <s v="Football Boots"/>
    <x v="1"/>
    <n v="5"/>
    <n v="3662.82"/>
    <n v="0.3"/>
    <n v="12819.87"/>
    <n v="10895.66"/>
    <n v="1924.21"/>
    <s v="UPI"/>
    <x v="6"/>
    <n v="4"/>
    <x v="0"/>
  </r>
  <r>
    <s v="ORD100927"/>
    <d v="2025-09-15T00:00:00"/>
    <s v="Decathlon Hyderabad"/>
    <x v="7"/>
    <x v="2"/>
    <s v="CUST1733"/>
    <s v="Female"/>
    <x v="3"/>
    <x v="2"/>
    <x v="4"/>
    <s v="Football"/>
    <x v="2"/>
    <n v="2"/>
    <n v="1272.56"/>
    <n v="0.05"/>
    <n v="2417.86"/>
    <n v="1447.86"/>
    <n v="970"/>
    <s v="Credit Card"/>
    <x v="7"/>
    <n v="3"/>
    <x v="7"/>
  </r>
  <r>
    <s v="ORD100928"/>
    <d v="2025-03-03T00:00:00"/>
    <s v="Decathlon Chennai"/>
    <x v="3"/>
    <x v="2"/>
    <s v="CUST1694"/>
    <s v="Male"/>
    <x v="2"/>
    <x v="2"/>
    <x v="3"/>
    <s v="Cycling Gloves"/>
    <x v="0"/>
    <n v="4"/>
    <n v="833.7"/>
    <n v="0.05"/>
    <n v="3168.06"/>
    <n v="1388.68"/>
    <n v="1779.38"/>
    <s v="Debit Card"/>
    <x v="4"/>
    <n v="5"/>
    <x v="1"/>
  </r>
  <r>
    <s v="ORD100929"/>
    <d v="2025-02-22T00:00:00"/>
    <s v="Decathlon Mumbai"/>
    <x v="6"/>
    <x v="1"/>
    <s v="CUST1984"/>
    <s v="Female"/>
    <x v="3"/>
    <x v="0"/>
    <x v="5"/>
    <s v="Backpack"/>
    <x v="3"/>
    <n v="1"/>
    <n v="3123.55"/>
    <n v="0.1"/>
    <n v="2811.2"/>
    <n v="1639.22"/>
    <n v="1171.98"/>
    <s v="Debit Card"/>
    <x v="1"/>
    <n v="3"/>
    <x v="6"/>
  </r>
  <r>
    <s v="ORD100930"/>
    <d v="2025-02-14T00:00:00"/>
    <s v="Decathlon Hyderabad"/>
    <x v="7"/>
    <x v="2"/>
    <s v="CUST1865"/>
    <s v="Female"/>
    <x v="0"/>
    <x v="1"/>
    <x v="3"/>
    <s v="Mountain Bike"/>
    <x v="7"/>
    <n v="3"/>
    <n v="24961.63"/>
    <n v="0.15"/>
    <n v="63652.160000000003"/>
    <n v="54257.13"/>
    <n v="9395.0300000000007"/>
    <s v="Debit Card"/>
    <x v="7"/>
    <n v="4"/>
    <x v="6"/>
  </r>
  <r>
    <s v="ORD100931"/>
    <d v="2025-09-14T00:00:00"/>
    <s v="Decathlon Chennai"/>
    <x v="3"/>
    <x v="2"/>
    <s v="CUST1578"/>
    <s v="Male"/>
    <x v="1"/>
    <x v="1"/>
    <x v="4"/>
    <s v="Football Boots"/>
    <x v="3"/>
    <n v="2"/>
    <n v="3459.41"/>
    <n v="0.1"/>
    <n v="6226.94"/>
    <n v="4266.2"/>
    <n v="1960.74"/>
    <s v="Debit Card"/>
    <x v="9"/>
    <n v="4"/>
    <x v="7"/>
  </r>
  <r>
    <s v="ORD100932"/>
    <d v="2025-01-06T00:00:00"/>
    <s v="Decathlon Mumbai"/>
    <x v="6"/>
    <x v="1"/>
    <s v="CUST1756"/>
    <s v="Female"/>
    <x v="2"/>
    <x v="0"/>
    <x v="3"/>
    <s v="Mountain Bike"/>
    <x v="7"/>
    <n v="4"/>
    <n v="25040.61"/>
    <n v="0.2"/>
    <n v="80129.95"/>
    <n v="74234.67"/>
    <n v="5895.28"/>
    <s v="Cash"/>
    <x v="1"/>
    <n v="4"/>
    <x v="4"/>
  </r>
  <r>
    <s v="ORD100933"/>
    <d v="2025-07-18T00:00:00"/>
    <s v="Decathlon Bengaluru"/>
    <x v="4"/>
    <x v="2"/>
    <s v="CUST1343"/>
    <s v="Female"/>
    <x v="3"/>
    <x v="0"/>
    <x v="2"/>
    <s v="Swimming Goggles"/>
    <x v="5"/>
    <n v="2"/>
    <n v="882.38"/>
    <n v="0.05"/>
    <n v="1676.52"/>
    <n v="924.53"/>
    <n v="751.99"/>
    <s v="Credit Card"/>
    <x v="6"/>
    <n v="5"/>
    <x v="8"/>
  </r>
  <r>
    <s v="ORD100934"/>
    <d v="2025-08-09T00:00:00"/>
    <s v="Decathlon Gurugram"/>
    <x v="8"/>
    <x v="0"/>
    <s v="CUST1381"/>
    <s v="Male"/>
    <x v="0"/>
    <x v="1"/>
    <x v="5"/>
    <s v="Water Bottle"/>
    <x v="4"/>
    <n v="2"/>
    <n v="696.34"/>
    <n v="0.3"/>
    <n v="974.88"/>
    <n v="491.33"/>
    <n v="483.55"/>
    <s v="UPI"/>
    <x v="4"/>
    <n v="4"/>
    <x v="3"/>
  </r>
  <r>
    <s v="ORD100935"/>
    <d v="2025-01-24T00:00:00"/>
    <s v="Decathlon Noida"/>
    <x v="5"/>
    <x v="0"/>
    <s v="CUST1195"/>
    <s v="Male"/>
    <x v="2"/>
    <x v="1"/>
    <x v="2"/>
    <s v="Swimsuit"/>
    <x v="7"/>
    <n v="4"/>
    <n v="1487.79"/>
    <n v="0.05"/>
    <n v="5653.6"/>
    <n v="3453.54"/>
    <n v="2200.06"/>
    <s v="UPI"/>
    <x v="4"/>
    <n v="4"/>
    <x v="4"/>
  </r>
  <r>
    <s v="ORD100936"/>
    <d v="2025-02-20T00:00:00"/>
    <s v="Decathlon Ahmedabad"/>
    <x v="2"/>
    <x v="1"/>
    <s v="CUST1006"/>
    <s v="Male"/>
    <x v="1"/>
    <x v="0"/>
    <x v="0"/>
    <s v="Fitness Band"/>
    <x v="5"/>
    <n v="5"/>
    <n v="2617.69"/>
    <n v="0.25"/>
    <n v="9816.34"/>
    <n v="7165.95"/>
    <n v="2650.39"/>
    <s v="UPI"/>
    <x v="6"/>
    <n v="3"/>
    <x v="6"/>
  </r>
  <r>
    <s v="ORD100937"/>
    <d v="2025-06-29T00:00:00"/>
    <s v="Decathlon Delhi"/>
    <x v="9"/>
    <x v="0"/>
    <s v="CUST1180"/>
    <s v="Male"/>
    <x v="1"/>
    <x v="0"/>
    <x v="0"/>
    <s v="Running Shoes"/>
    <x v="3"/>
    <n v="4"/>
    <n v="3839.1"/>
    <n v="0.3"/>
    <n v="10749.48"/>
    <n v="9162.35"/>
    <n v="1587.13"/>
    <s v="Net Banking"/>
    <x v="8"/>
    <n v="5"/>
    <x v="11"/>
  </r>
  <r>
    <s v="ORD100938"/>
    <d v="2025-11-24T00:00:00"/>
    <s v="Decathlon Bengaluru"/>
    <x v="4"/>
    <x v="2"/>
    <s v="CUST1820"/>
    <s v="Female"/>
    <x v="1"/>
    <x v="0"/>
    <x v="3"/>
    <s v="Helmet"/>
    <x v="5"/>
    <n v="5"/>
    <n v="1998.32"/>
    <n v="0.25"/>
    <n v="7493.7"/>
    <n v="5658.84"/>
    <n v="1834.86"/>
    <s v="Cash"/>
    <x v="0"/>
    <n v="3"/>
    <x v="2"/>
  </r>
  <r>
    <s v="ORD100939"/>
    <d v="2025-09-16T00:00:00"/>
    <s v="Decathlon Noida"/>
    <x v="5"/>
    <x v="0"/>
    <s v="CUST1086"/>
    <s v="Female"/>
    <x v="3"/>
    <x v="1"/>
    <x v="0"/>
    <s v="Running Shoes"/>
    <x v="7"/>
    <n v="2"/>
    <n v="3968.75"/>
    <n v="0.1"/>
    <n v="7143.75"/>
    <n v="4409.1400000000003"/>
    <n v="2734.61"/>
    <s v="Net Banking"/>
    <x v="9"/>
    <n v="3"/>
    <x v="7"/>
  </r>
  <r>
    <s v="ORD100940"/>
    <d v="2025-12-20T00:00:00"/>
    <s v="Decathlon Noida"/>
    <x v="5"/>
    <x v="0"/>
    <s v="CUST1939"/>
    <s v="Female"/>
    <x v="1"/>
    <x v="2"/>
    <x v="3"/>
    <s v="Mountain Bike"/>
    <x v="6"/>
    <n v="5"/>
    <n v="24188.81"/>
    <n v="0"/>
    <n v="120944.05"/>
    <n v="94448.61"/>
    <n v="26495.439999999999"/>
    <s v="UPI"/>
    <x v="2"/>
    <n v="3"/>
    <x v="0"/>
  </r>
  <r>
    <s v="ORD100941"/>
    <d v="2025-04-16T00:00:00"/>
    <s v="Decathlon Gurugram"/>
    <x v="8"/>
    <x v="0"/>
    <s v="CUST1025"/>
    <s v="Male"/>
    <x v="2"/>
    <x v="2"/>
    <x v="2"/>
    <s v="Swimming Goggles"/>
    <x v="6"/>
    <n v="1"/>
    <n v="933.14"/>
    <n v="0.25"/>
    <n v="699.86"/>
    <n v="450.47"/>
    <n v="249.39"/>
    <s v="Cash"/>
    <x v="4"/>
    <n v="4"/>
    <x v="5"/>
  </r>
  <r>
    <s v="ORD100942"/>
    <d v="2025-05-24T00:00:00"/>
    <s v="Decathlon Bengaluru"/>
    <x v="4"/>
    <x v="2"/>
    <s v="CUST1694"/>
    <s v="Female"/>
    <x v="1"/>
    <x v="0"/>
    <x v="1"/>
    <s v="Yoga Block"/>
    <x v="0"/>
    <n v="2"/>
    <n v="624.33000000000004"/>
    <n v="0.2"/>
    <n v="998.93"/>
    <n v="524.54"/>
    <n v="474.39"/>
    <s v="UPI"/>
    <x v="6"/>
    <n v="4"/>
    <x v="10"/>
  </r>
  <r>
    <s v="ORD100943"/>
    <d v="2025-01-30T00:00:00"/>
    <s v="Decathlon Jaipur"/>
    <x v="0"/>
    <x v="0"/>
    <s v="CUST1920"/>
    <s v="Female"/>
    <x v="1"/>
    <x v="1"/>
    <x v="3"/>
    <s v="Cycling Gloves"/>
    <x v="4"/>
    <n v="5"/>
    <n v="791.81"/>
    <n v="0.2"/>
    <n v="3167.24"/>
    <n v="1765.81"/>
    <n v="1401.43"/>
    <s v="Cash"/>
    <x v="9"/>
    <n v="3"/>
    <x v="4"/>
  </r>
  <r>
    <s v="ORD100944"/>
    <d v="2025-05-15T00:00:00"/>
    <s v="Decathlon Gurugram"/>
    <x v="8"/>
    <x v="0"/>
    <s v="CUST1967"/>
    <s v="Female"/>
    <x v="3"/>
    <x v="2"/>
    <x v="0"/>
    <s v="Running Shoes"/>
    <x v="6"/>
    <n v="3"/>
    <n v="3936.31"/>
    <n v="0.2"/>
    <n v="9447.14"/>
    <n v="6494.38"/>
    <n v="2952.76"/>
    <s v="Credit Card"/>
    <x v="1"/>
    <n v="4"/>
    <x v="10"/>
  </r>
  <r>
    <s v="ORD100945"/>
    <d v="2025-12-01T00:00:00"/>
    <s v="Decathlon Ahmedabad"/>
    <x v="2"/>
    <x v="1"/>
    <s v="CUST1749"/>
    <s v="Male"/>
    <x v="3"/>
    <x v="2"/>
    <x v="5"/>
    <s v="Trekking Shoes"/>
    <x v="7"/>
    <n v="5"/>
    <n v="4760.97"/>
    <n v="0.1"/>
    <n v="21424.37"/>
    <n v="16088.03"/>
    <n v="5336.34"/>
    <s v="UPI"/>
    <x v="1"/>
    <n v="5"/>
    <x v="0"/>
  </r>
  <r>
    <s v="ORD100946"/>
    <d v="2025-08-20T00:00:00"/>
    <s v="Decathlon Mumbai"/>
    <x v="6"/>
    <x v="1"/>
    <s v="CUST1027"/>
    <s v="Female"/>
    <x v="1"/>
    <x v="0"/>
    <x v="4"/>
    <s v="Football Boots"/>
    <x v="0"/>
    <n v="4"/>
    <n v="3671.01"/>
    <n v="0.3"/>
    <n v="10278.83"/>
    <n v="8478.1299999999992"/>
    <n v="1800.7"/>
    <s v="UPI"/>
    <x v="5"/>
    <n v="4"/>
    <x v="3"/>
  </r>
  <r>
    <s v="ORD100947"/>
    <d v="2025-04-26T00:00:00"/>
    <s v="Decathlon Chennai"/>
    <x v="3"/>
    <x v="2"/>
    <s v="CUST1838"/>
    <s v="Female"/>
    <x v="1"/>
    <x v="2"/>
    <x v="5"/>
    <s v="Trekking Shoes"/>
    <x v="5"/>
    <n v="3"/>
    <n v="4990.95"/>
    <n v="0.25"/>
    <n v="11229.64"/>
    <n v="9345.02"/>
    <n v="1884.62"/>
    <s v="Net Banking"/>
    <x v="4"/>
    <n v="5"/>
    <x v="5"/>
  </r>
  <r>
    <s v="ORD100948"/>
    <d v="2025-03-03T00:00:00"/>
    <s v="Decathlon Gurugram"/>
    <x v="8"/>
    <x v="0"/>
    <s v="CUST1323"/>
    <s v="Female"/>
    <x v="1"/>
    <x v="2"/>
    <x v="0"/>
    <s v="Fitness Band"/>
    <x v="6"/>
    <n v="1"/>
    <n v="2441.77"/>
    <n v="0"/>
    <n v="2441.77"/>
    <n v="1428.07"/>
    <n v="1013.7"/>
    <s v="Cash"/>
    <x v="3"/>
    <n v="3"/>
    <x v="1"/>
  </r>
  <r>
    <s v="ORD100949"/>
    <d v="2025-02-06T00:00:00"/>
    <s v="Decathlon Jaipur"/>
    <x v="0"/>
    <x v="0"/>
    <s v="CUST1270"/>
    <s v="Male"/>
    <x v="2"/>
    <x v="1"/>
    <x v="2"/>
    <s v="Swimsuit"/>
    <x v="5"/>
    <n v="2"/>
    <n v="1469.34"/>
    <n v="0.25"/>
    <n v="2204.0100000000002"/>
    <n v="1747.63"/>
    <n v="456.38"/>
    <s v="Cash"/>
    <x v="0"/>
    <n v="3"/>
    <x v="6"/>
  </r>
  <r>
    <s v="ORD100950"/>
    <d v="2025-11-23T00:00:00"/>
    <s v="Decathlon Jaipur"/>
    <x v="0"/>
    <x v="0"/>
    <s v="CUST1463"/>
    <s v="Female"/>
    <x v="3"/>
    <x v="1"/>
    <x v="1"/>
    <s v="Yoga Mat"/>
    <x v="4"/>
    <n v="2"/>
    <n v="1464.2"/>
    <n v="0.05"/>
    <n v="2781.98"/>
    <n v="1388.5"/>
    <n v="1393.48"/>
    <s v="Debit Card"/>
    <x v="0"/>
    <n v="5"/>
    <x v="2"/>
  </r>
  <r>
    <s v="ORD100951"/>
    <d v="2025-10-31T00:00:00"/>
    <s v="Decathlon Chennai"/>
    <x v="3"/>
    <x v="2"/>
    <s v="CUST1373"/>
    <s v="Female"/>
    <x v="0"/>
    <x v="0"/>
    <x v="1"/>
    <s v="Yoga Mat"/>
    <x v="3"/>
    <n v="3"/>
    <n v="1533.86"/>
    <n v="0.15"/>
    <n v="3911.34"/>
    <n v="2004.67"/>
    <n v="1906.67"/>
    <s v="UPI"/>
    <x v="4"/>
    <n v="3"/>
    <x v="9"/>
  </r>
  <r>
    <s v="ORD100952"/>
    <d v="2025-12-24T00:00:00"/>
    <s v="Decathlon Ahmedabad"/>
    <x v="2"/>
    <x v="1"/>
    <s v="CUST1245"/>
    <s v="Female"/>
    <x v="1"/>
    <x v="0"/>
    <x v="4"/>
    <s v="Shin Guards"/>
    <x v="2"/>
    <n v="1"/>
    <n v="987.58"/>
    <n v="0.3"/>
    <n v="691.31"/>
    <n v="494.43"/>
    <n v="196.88"/>
    <s v="Cash"/>
    <x v="4"/>
    <n v="5"/>
    <x v="0"/>
  </r>
  <r>
    <s v="ORD100953"/>
    <d v="2025-07-04T00:00:00"/>
    <s v="Decathlon Chennai"/>
    <x v="3"/>
    <x v="2"/>
    <s v="CUST1003"/>
    <s v="Female"/>
    <x v="1"/>
    <x v="1"/>
    <x v="0"/>
    <s v="Running Shoes"/>
    <x v="1"/>
    <n v="1"/>
    <n v="4183.3500000000004"/>
    <n v="0.2"/>
    <n v="3346.68"/>
    <n v="2260.77"/>
    <n v="1085.9100000000001"/>
    <s v="Credit Card"/>
    <x v="4"/>
    <n v="3"/>
    <x v="8"/>
  </r>
  <r>
    <s v="ORD100954"/>
    <d v="2025-12-01T00:00:00"/>
    <s v="Decathlon Bengaluru"/>
    <x v="4"/>
    <x v="2"/>
    <s v="CUST1463"/>
    <s v="Male"/>
    <x v="3"/>
    <x v="1"/>
    <x v="1"/>
    <s v="Yoga Block"/>
    <x v="0"/>
    <n v="1"/>
    <n v="599.11"/>
    <n v="0.05"/>
    <n v="569.15"/>
    <n v="272.22000000000003"/>
    <n v="296.93"/>
    <s v="Credit Card"/>
    <x v="2"/>
    <n v="4"/>
    <x v="0"/>
  </r>
  <r>
    <s v="ORD100955"/>
    <d v="2025-05-07T00:00:00"/>
    <s v="Decathlon Noida"/>
    <x v="5"/>
    <x v="0"/>
    <s v="CUST1463"/>
    <s v="Male"/>
    <x v="0"/>
    <x v="1"/>
    <x v="3"/>
    <s v="Cycling Gloves"/>
    <x v="1"/>
    <n v="5"/>
    <n v="800.03"/>
    <n v="0.2"/>
    <n v="3200.12"/>
    <n v="1669.39"/>
    <n v="1530.73"/>
    <s v="UPI"/>
    <x v="8"/>
    <n v="5"/>
    <x v="10"/>
  </r>
  <r>
    <s v="ORD100956"/>
    <d v="2025-12-17T00:00:00"/>
    <s v="Decathlon Gurugram"/>
    <x v="8"/>
    <x v="0"/>
    <s v="CUST1204"/>
    <s v="Male"/>
    <x v="1"/>
    <x v="1"/>
    <x v="5"/>
    <s v="Backpack"/>
    <x v="1"/>
    <n v="1"/>
    <n v="3018.97"/>
    <n v="0.25"/>
    <n v="2264.23"/>
    <n v="1752.49"/>
    <n v="511.74"/>
    <s v="Debit Card"/>
    <x v="0"/>
    <n v="3"/>
    <x v="0"/>
  </r>
  <r>
    <s v="ORD100957"/>
    <d v="2025-12-03T00:00:00"/>
    <s v="Decathlon Ahmedabad"/>
    <x v="2"/>
    <x v="1"/>
    <s v="CUST1011"/>
    <s v="Female"/>
    <x v="2"/>
    <x v="0"/>
    <x v="5"/>
    <s v="Backpack"/>
    <x v="6"/>
    <n v="2"/>
    <n v="2897.28"/>
    <n v="0.15"/>
    <n v="4925.38"/>
    <n v="3295.45"/>
    <n v="1629.93"/>
    <s v="Debit Card"/>
    <x v="9"/>
    <n v="5"/>
    <x v="0"/>
  </r>
  <r>
    <s v="ORD100958"/>
    <d v="2025-11-03T00:00:00"/>
    <s v="Decathlon Bengaluru"/>
    <x v="4"/>
    <x v="2"/>
    <s v="CUST1386"/>
    <s v="Female"/>
    <x v="1"/>
    <x v="1"/>
    <x v="3"/>
    <s v="Helmet"/>
    <x v="0"/>
    <n v="4"/>
    <n v="1910.37"/>
    <n v="0.1"/>
    <n v="6877.33"/>
    <n v="4439.83"/>
    <n v="2437.5"/>
    <s v="Cash"/>
    <x v="4"/>
    <n v="3"/>
    <x v="2"/>
  </r>
  <r>
    <s v="ORD100959"/>
    <d v="2025-03-24T00:00:00"/>
    <s v="Decathlon Pune"/>
    <x v="1"/>
    <x v="1"/>
    <s v="CUST1969"/>
    <s v="Female"/>
    <x v="2"/>
    <x v="2"/>
    <x v="4"/>
    <s v="Football Boots"/>
    <x v="7"/>
    <n v="5"/>
    <n v="3331.09"/>
    <n v="0.15"/>
    <n v="14157.13"/>
    <n v="10188.43"/>
    <n v="3968.7"/>
    <s v="Net Banking"/>
    <x v="2"/>
    <n v="4"/>
    <x v="1"/>
  </r>
  <r>
    <s v="ORD100960"/>
    <d v="2025-05-23T00:00:00"/>
    <s v="Decathlon Noida"/>
    <x v="5"/>
    <x v="0"/>
    <s v="CUST1780"/>
    <s v="Male"/>
    <x v="0"/>
    <x v="0"/>
    <x v="5"/>
    <s v="Water Bottle"/>
    <x v="2"/>
    <n v="2"/>
    <n v="705.51"/>
    <n v="0"/>
    <n v="1411.02"/>
    <n v="491.75"/>
    <n v="919.27"/>
    <s v="Net Banking"/>
    <x v="7"/>
    <n v="3"/>
    <x v="10"/>
  </r>
  <r>
    <s v="ORD100961"/>
    <d v="2025-04-18T00:00:00"/>
    <s v="Decathlon Mumbai"/>
    <x v="6"/>
    <x v="1"/>
    <s v="CUST1047"/>
    <s v="Female"/>
    <x v="1"/>
    <x v="1"/>
    <x v="4"/>
    <s v="Shin Guards"/>
    <x v="7"/>
    <n v="3"/>
    <n v="986.57"/>
    <n v="0.25"/>
    <n v="2219.7800000000002"/>
    <n v="1511.21"/>
    <n v="708.57"/>
    <s v="Net Banking"/>
    <x v="7"/>
    <n v="3"/>
    <x v="5"/>
  </r>
  <r>
    <s v="ORD100962"/>
    <d v="2025-06-02T00:00:00"/>
    <s v="Decathlon Mumbai"/>
    <x v="6"/>
    <x v="1"/>
    <s v="CUST1298"/>
    <s v="Female"/>
    <x v="3"/>
    <x v="1"/>
    <x v="3"/>
    <s v="Helmet"/>
    <x v="1"/>
    <n v="3"/>
    <n v="1958.9"/>
    <n v="0.05"/>
    <n v="5582.87"/>
    <n v="3334.61"/>
    <n v="2248.2600000000002"/>
    <s v="Cash"/>
    <x v="4"/>
    <n v="3"/>
    <x v="11"/>
  </r>
  <r>
    <s v="ORD100963"/>
    <d v="2025-05-14T00:00:00"/>
    <s v="Decathlon Noida"/>
    <x v="5"/>
    <x v="0"/>
    <s v="CUST1877"/>
    <s v="Female"/>
    <x v="1"/>
    <x v="0"/>
    <x v="3"/>
    <s v="Mountain Bike"/>
    <x v="0"/>
    <n v="5"/>
    <n v="24936.65"/>
    <n v="0.25"/>
    <n v="93512.44"/>
    <n v="93668.53"/>
    <n v="-156.09"/>
    <s v="Net Banking"/>
    <x v="3"/>
    <n v="4"/>
    <x v="10"/>
  </r>
  <r>
    <s v="ORD100964"/>
    <d v="2025-05-08T00:00:00"/>
    <s v="Decathlon Delhi"/>
    <x v="9"/>
    <x v="0"/>
    <s v="CUST1195"/>
    <s v="Female"/>
    <x v="2"/>
    <x v="0"/>
    <x v="1"/>
    <s v="Yoga Block"/>
    <x v="5"/>
    <n v="5"/>
    <n v="617.83000000000004"/>
    <n v="0.15"/>
    <n v="2625.78"/>
    <n v="1298.2"/>
    <n v="1327.58"/>
    <s v="Debit Card"/>
    <x v="2"/>
    <n v="3"/>
    <x v="10"/>
  </r>
  <r>
    <s v="ORD100965"/>
    <d v="2025-07-03T00:00:00"/>
    <s v="Decathlon Pune"/>
    <x v="1"/>
    <x v="1"/>
    <s v="CUST1202"/>
    <s v="Female"/>
    <x v="0"/>
    <x v="2"/>
    <x v="2"/>
    <s v="Swimsuit"/>
    <x v="0"/>
    <n v="4"/>
    <n v="1547.73"/>
    <n v="0"/>
    <n v="6190.92"/>
    <n v="3462.11"/>
    <n v="2728.81"/>
    <s v="Credit Card"/>
    <x v="2"/>
    <n v="4"/>
    <x v="8"/>
  </r>
  <r>
    <s v="ORD100966"/>
    <d v="2025-02-19T00:00:00"/>
    <s v="Decathlon Hyderabad"/>
    <x v="7"/>
    <x v="2"/>
    <s v="CUST1465"/>
    <s v="Female"/>
    <x v="0"/>
    <x v="1"/>
    <x v="2"/>
    <s v="Swimming Goggles"/>
    <x v="3"/>
    <n v="2"/>
    <n v="916.07"/>
    <n v="0"/>
    <n v="1832.14"/>
    <n v="905.24"/>
    <n v="926.9"/>
    <s v="Credit Card"/>
    <x v="1"/>
    <n v="4"/>
    <x v="6"/>
  </r>
  <r>
    <s v="ORD100967"/>
    <d v="2025-07-16T00:00:00"/>
    <s v="Decathlon Pune"/>
    <x v="1"/>
    <x v="1"/>
    <s v="CUST1168"/>
    <s v="Female"/>
    <x v="0"/>
    <x v="2"/>
    <x v="2"/>
    <s v="Swim Cap"/>
    <x v="1"/>
    <n v="2"/>
    <n v="479.45"/>
    <n v="0.05"/>
    <n v="910.95"/>
    <n v="432.57"/>
    <n v="478.38"/>
    <s v="Cash"/>
    <x v="0"/>
    <n v="3"/>
    <x v="8"/>
  </r>
  <r>
    <s v="ORD100968"/>
    <d v="2025-12-04T00:00:00"/>
    <s v="Decathlon Jaipur"/>
    <x v="0"/>
    <x v="0"/>
    <s v="CUST1690"/>
    <s v="Male"/>
    <x v="3"/>
    <x v="2"/>
    <x v="1"/>
    <s v="Yoga Block"/>
    <x v="7"/>
    <n v="5"/>
    <n v="576.98"/>
    <n v="0.25"/>
    <n v="2163.6799999999998"/>
    <n v="1364.05"/>
    <n v="799.63"/>
    <s v="Net Banking"/>
    <x v="6"/>
    <n v="4"/>
    <x v="0"/>
  </r>
  <r>
    <s v="ORD100969"/>
    <d v="2025-08-25T00:00:00"/>
    <s v="Decathlon Chennai"/>
    <x v="3"/>
    <x v="2"/>
    <s v="CUST1272"/>
    <s v="Female"/>
    <x v="2"/>
    <x v="2"/>
    <x v="5"/>
    <s v="Water Bottle"/>
    <x v="1"/>
    <n v="4"/>
    <n v="720.7"/>
    <n v="0.05"/>
    <n v="2738.66"/>
    <n v="1023.14"/>
    <n v="1715.52"/>
    <s v="UPI"/>
    <x v="7"/>
    <n v="5"/>
    <x v="3"/>
  </r>
  <r>
    <s v="ORD100970"/>
    <d v="2025-12-13T00:00:00"/>
    <s v="Decathlon Ahmedabad"/>
    <x v="2"/>
    <x v="1"/>
    <s v="CUST1510"/>
    <s v="Male"/>
    <x v="2"/>
    <x v="1"/>
    <x v="2"/>
    <s v="Swim Cap"/>
    <x v="5"/>
    <n v="2"/>
    <n v="518.63"/>
    <n v="0"/>
    <n v="1037.26"/>
    <n v="448.92"/>
    <n v="588.34"/>
    <s v="UPI"/>
    <x v="1"/>
    <n v="4"/>
    <x v="0"/>
  </r>
  <r>
    <s v="ORD100971"/>
    <d v="2025-08-03T00:00:00"/>
    <s v="Decathlon Ahmedabad"/>
    <x v="2"/>
    <x v="1"/>
    <s v="CUST1695"/>
    <s v="Male"/>
    <x v="3"/>
    <x v="1"/>
    <x v="3"/>
    <s v="Mountain Bike"/>
    <x v="7"/>
    <n v="2"/>
    <n v="26111.200000000001"/>
    <n v="0.3"/>
    <n v="36555.68"/>
    <n v="34378.300000000003"/>
    <n v="2177.38"/>
    <s v="Debit Card"/>
    <x v="4"/>
    <n v="4"/>
    <x v="3"/>
  </r>
  <r>
    <s v="ORD100972"/>
    <d v="2025-02-18T00:00:00"/>
    <s v="Decathlon Hyderabad"/>
    <x v="7"/>
    <x v="2"/>
    <s v="CUST1423"/>
    <s v="Male"/>
    <x v="2"/>
    <x v="1"/>
    <x v="4"/>
    <s v="Football"/>
    <x v="0"/>
    <n v="5"/>
    <n v="1323.3"/>
    <n v="0.25"/>
    <n v="4962.38"/>
    <n v="3522.86"/>
    <n v="1439.52"/>
    <s v="Credit Card"/>
    <x v="9"/>
    <n v="4"/>
    <x v="6"/>
  </r>
  <r>
    <s v="ORD100973"/>
    <d v="2025-11-29T00:00:00"/>
    <s v="Decathlon Mumbai"/>
    <x v="6"/>
    <x v="1"/>
    <s v="CUST1414"/>
    <s v="Female"/>
    <x v="2"/>
    <x v="1"/>
    <x v="0"/>
    <s v="Fitness Band"/>
    <x v="4"/>
    <n v="3"/>
    <n v="2523.9699999999998"/>
    <n v="0.2"/>
    <n v="6057.53"/>
    <n v="4682.74"/>
    <n v="1374.79"/>
    <s v="Credit Card"/>
    <x v="6"/>
    <n v="3"/>
    <x v="2"/>
  </r>
  <r>
    <s v="ORD100974"/>
    <d v="2025-09-23T00:00:00"/>
    <s v="Decathlon Noida"/>
    <x v="5"/>
    <x v="0"/>
    <s v="CUST1345"/>
    <s v="Male"/>
    <x v="1"/>
    <x v="1"/>
    <x v="1"/>
    <s v="Yoga Block"/>
    <x v="2"/>
    <n v="2"/>
    <n v="589.45000000000005"/>
    <n v="0.3"/>
    <n v="825.23"/>
    <n v="520.11"/>
    <n v="305.12"/>
    <s v="Credit Card"/>
    <x v="2"/>
    <n v="3"/>
    <x v="7"/>
  </r>
  <r>
    <s v="ORD100975"/>
    <d v="2025-12-20T00:00:00"/>
    <s v="Decathlon Pune"/>
    <x v="1"/>
    <x v="1"/>
    <s v="CUST1915"/>
    <s v="Female"/>
    <x v="3"/>
    <x v="2"/>
    <x v="0"/>
    <s v="Running Shoes"/>
    <x v="5"/>
    <n v="1"/>
    <n v="3837.76"/>
    <n v="0.1"/>
    <n v="3453.98"/>
    <n v="2151.4"/>
    <n v="1302.58"/>
    <s v="Cash"/>
    <x v="4"/>
    <n v="5"/>
    <x v="0"/>
  </r>
  <r>
    <s v="ORD100976"/>
    <d v="2025-06-30T00:00:00"/>
    <s v="Decathlon Jaipur"/>
    <x v="0"/>
    <x v="0"/>
    <s v="CUST1802"/>
    <s v="Male"/>
    <x v="2"/>
    <x v="0"/>
    <x v="1"/>
    <s v="Yoga Mat"/>
    <x v="7"/>
    <n v="3"/>
    <n v="1542.94"/>
    <n v="0.15"/>
    <n v="3934.5"/>
    <n v="2151.2800000000002"/>
    <n v="1783.22"/>
    <s v="Credit Card"/>
    <x v="9"/>
    <n v="5"/>
    <x v="11"/>
  </r>
  <r>
    <s v="ORD100977"/>
    <d v="2025-07-09T00:00:00"/>
    <s v="Decathlon Delhi"/>
    <x v="9"/>
    <x v="0"/>
    <s v="CUST1459"/>
    <s v="Female"/>
    <x v="2"/>
    <x v="0"/>
    <x v="4"/>
    <s v="Football Boots"/>
    <x v="5"/>
    <n v="2"/>
    <n v="3535.53"/>
    <n v="0.1"/>
    <n v="6363.95"/>
    <n v="4054.41"/>
    <n v="2309.54"/>
    <s v="Debit Card"/>
    <x v="3"/>
    <n v="5"/>
    <x v="8"/>
  </r>
  <r>
    <s v="ORD100978"/>
    <d v="2025-07-08T00:00:00"/>
    <s v="Decathlon Ahmedabad"/>
    <x v="2"/>
    <x v="1"/>
    <s v="CUST1652"/>
    <s v="Male"/>
    <x v="1"/>
    <x v="0"/>
    <x v="1"/>
    <s v="Yoga Mat"/>
    <x v="3"/>
    <n v="2"/>
    <n v="1442.16"/>
    <n v="0"/>
    <n v="2884.32"/>
    <n v="1370.22"/>
    <n v="1514.1"/>
    <s v="Credit Card"/>
    <x v="6"/>
    <n v="3"/>
    <x v="8"/>
  </r>
  <r>
    <s v="ORD100979"/>
    <d v="2025-02-25T00:00:00"/>
    <s v="Decathlon Pune"/>
    <x v="1"/>
    <x v="1"/>
    <s v="CUST1219"/>
    <s v="Female"/>
    <x v="1"/>
    <x v="0"/>
    <x v="0"/>
    <s v="Running Shoes"/>
    <x v="4"/>
    <n v="1"/>
    <n v="3888.74"/>
    <n v="0.3"/>
    <n v="2722.12"/>
    <n v="2275.0300000000002"/>
    <n v="447.09"/>
    <s v="Credit Card"/>
    <x v="9"/>
    <n v="4"/>
    <x v="6"/>
  </r>
  <r>
    <s v="ORD100980"/>
    <d v="2025-03-19T00:00:00"/>
    <s v="Decathlon Hyderabad"/>
    <x v="7"/>
    <x v="2"/>
    <s v="CUST1097"/>
    <s v="Female"/>
    <x v="1"/>
    <x v="2"/>
    <x v="0"/>
    <s v="Fitness Band"/>
    <x v="0"/>
    <n v="2"/>
    <n v="2387.3200000000002"/>
    <n v="0"/>
    <n v="4774.6400000000003"/>
    <n v="2959.41"/>
    <n v="1815.23"/>
    <s v="UPI"/>
    <x v="1"/>
    <n v="3"/>
    <x v="1"/>
  </r>
  <r>
    <s v="ORD100981"/>
    <d v="2025-07-12T00:00:00"/>
    <s v="Decathlon Pune"/>
    <x v="1"/>
    <x v="1"/>
    <s v="CUST1838"/>
    <s v="Female"/>
    <x v="3"/>
    <x v="0"/>
    <x v="2"/>
    <s v="Swimming Goggles"/>
    <x v="0"/>
    <n v="5"/>
    <n v="860.69"/>
    <n v="0.2"/>
    <n v="3442.76"/>
    <n v="2277.5100000000002"/>
    <n v="1165.25"/>
    <s v="UPI"/>
    <x v="6"/>
    <n v="4"/>
    <x v="8"/>
  </r>
  <r>
    <s v="ORD100982"/>
    <d v="2025-02-11T00:00:00"/>
    <s v="Decathlon Gurugram"/>
    <x v="8"/>
    <x v="0"/>
    <s v="CUST1149"/>
    <s v="Female"/>
    <x v="2"/>
    <x v="2"/>
    <x v="2"/>
    <s v="Swimming Goggles"/>
    <x v="6"/>
    <n v="5"/>
    <n v="915.28"/>
    <n v="0.1"/>
    <n v="4118.76"/>
    <n v="2336.7199999999998"/>
    <n v="1782.04"/>
    <s v="Cash"/>
    <x v="8"/>
    <n v="3"/>
    <x v="6"/>
  </r>
  <r>
    <s v="ORD100983"/>
    <d v="2025-05-13T00:00:00"/>
    <s v="Decathlon Jaipur"/>
    <x v="0"/>
    <x v="0"/>
    <s v="CUST1811"/>
    <s v="Male"/>
    <x v="1"/>
    <x v="1"/>
    <x v="5"/>
    <s v="Trekking Shoes"/>
    <x v="7"/>
    <n v="4"/>
    <n v="4922.08"/>
    <n v="0.05"/>
    <n v="18703.900000000001"/>
    <n v="12935.66"/>
    <n v="5768.24"/>
    <s v="UPI"/>
    <x v="3"/>
    <n v="3"/>
    <x v="10"/>
  </r>
  <r>
    <s v="ORD100984"/>
    <d v="2025-02-14T00:00:00"/>
    <s v="Decathlon Bengaluru"/>
    <x v="4"/>
    <x v="2"/>
    <s v="CUST1784"/>
    <s v="Male"/>
    <x v="3"/>
    <x v="2"/>
    <x v="3"/>
    <s v="Cycling Gloves"/>
    <x v="7"/>
    <n v="4"/>
    <n v="779.21"/>
    <n v="0"/>
    <n v="3116.84"/>
    <n v="1412.52"/>
    <n v="1704.32"/>
    <s v="Cash"/>
    <x v="4"/>
    <n v="3"/>
    <x v="6"/>
  </r>
  <r>
    <s v="ORD100985"/>
    <d v="2025-08-10T00:00:00"/>
    <s v="Decathlon Chennai"/>
    <x v="3"/>
    <x v="2"/>
    <s v="CUST1492"/>
    <s v="Female"/>
    <x v="0"/>
    <x v="1"/>
    <x v="4"/>
    <s v="Football"/>
    <x v="0"/>
    <n v="1"/>
    <n v="1338.29"/>
    <n v="0.25"/>
    <n v="1003.72"/>
    <n v="667.9"/>
    <n v="335.82"/>
    <s v="Cash"/>
    <x v="9"/>
    <n v="3"/>
    <x v="3"/>
  </r>
  <r>
    <s v="ORD100986"/>
    <d v="2025-01-05T00:00:00"/>
    <s v="Decathlon Hyderabad"/>
    <x v="7"/>
    <x v="2"/>
    <s v="CUST1859"/>
    <s v="Male"/>
    <x v="0"/>
    <x v="0"/>
    <x v="0"/>
    <s v="Running T-Shirt"/>
    <x v="0"/>
    <n v="3"/>
    <n v="1028.01"/>
    <n v="0.2"/>
    <n v="2467.2199999999998"/>
    <n v="1389.08"/>
    <n v="1078.1400000000001"/>
    <s v="UPI"/>
    <x v="0"/>
    <n v="4"/>
    <x v="4"/>
  </r>
  <r>
    <s v="ORD100987"/>
    <d v="2025-03-18T00:00:00"/>
    <s v="Decathlon Gurugram"/>
    <x v="8"/>
    <x v="0"/>
    <s v="CUST1878"/>
    <s v="Male"/>
    <x v="3"/>
    <x v="2"/>
    <x v="0"/>
    <s v="Running T-Shirt"/>
    <x v="7"/>
    <n v="1"/>
    <n v="1030.2"/>
    <n v="0.15"/>
    <n v="875.67"/>
    <n v="446.16"/>
    <n v="429.51"/>
    <s v="Net Banking"/>
    <x v="9"/>
    <n v="5"/>
    <x v="1"/>
  </r>
  <r>
    <s v="ORD100988"/>
    <d v="2025-03-10T00:00:00"/>
    <s v="Decathlon Jaipur"/>
    <x v="0"/>
    <x v="0"/>
    <s v="CUST1057"/>
    <s v="Female"/>
    <x v="0"/>
    <x v="1"/>
    <x v="1"/>
    <s v="Yoga Block"/>
    <x v="1"/>
    <n v="2"/>
    <n v="604"/>
    <n v="0.25"/>
    <n v="906"/>
    <n v="494.62"/>
    <n v="411.38"/>
    <s v="Credit Card"/>
    <x v="9"/>
    <n v="3"/>
    <x v="1"/>
  </r>
  <r>
    <s v="ORD100989"/>
    <d v="2025-02-01T00:00:00"/>
    <s v="Decathlon Chennai"/>
    <x v="3"/>
    <x v="2"/>
    <s v="CUST1789"/>
    <s v="Female"/>
    <x v="1"/>
    <x v="2"/>
    <x v="5"/>
    <s v="Trekking Shoes"/>
    <x v="5"/>
    <n v="5"/>
    <n v="4766.2700000000004"/>
    <n v="0"/>
    <n v="23831.35"/>
    <n v="15321.92"/>
    <n v="8509.43"/>
    <s v="Debit Card"/>
    <x v="7"/>
    <n v="3"/>
    <x v="6"/>
  </r>
  <r>
    <s v="ORD100990"/>
    <d v="2025-11-12T00:00:00"/>
    <s v="Decathlon Delhi"/>
    <x v="9"/>
    <x v="0"/>
    <s v="CUST1943"/>
    <s v="Male"/>
    <x v="2"/>
    <x v="2"/>
    <x v="1"/>
    <s v="Resistance Band"/>
    <x v="2"/>
    <n v="5"/>
    <n v="892.36"/>
    <n v="0.15"/>
    <n v="3792.53"/>
    <n v="2008.12"/>
    <n v="1784.41"/>
    <s v="UPI"/>
    <x v="5"/>
    <n v="5"/>
    <x v="2"/>
  </r>
  <r>
    <s v="ORD100991"/>
    <d v="2025-05-23T00:00:00"/>
    <s v="Decathlon Ahmedabad"/>
    <x v="2"/>
    <x v="1"/>
    <s v="CUST1105"/>
    <s v="Female"/>
    <x v="0"/>
    <x v="0"/>
    <x v="1"/>
    <s v="Yoga Block"/>
    <x v="6"/>
    <n v="2"/>
    <n v="603.17999999999995"/>
    <n v="0.3"/>
    <n v="844.45"/>
    <n v="526.21"/>
    <n v="318.24"/>
    <s v="Cash"/>
    <x v="5"/>
    <n v="3"/>
    <x v="10"/>
  </r>
  <r>
    <s v="ORD100992"/>
    <d v="2025-12-16T00:00:00"/>
    <s v="Decathlon Bengaluru"/>
    <x v="4"/>
    <x v="2"/>
    <s v="CUST1563"/>
    <s v="Female"/>
    <x v="3"/>
    <x v="1"/>
    <x v="4"/>
    <s v="Football"/>
    <x v="1"/>
    <n v="4"/>
    <n v="1251.77"/>
    <n v="0.2"/>
    <n v="4005.66"/>
    <n v="2708.75"/>
    <n v="1296.9100000000001"/>
    <s v="UPI"/>
    <x v="9"/>
    <n v="3"/>
    <x v="0"/>
  </r>
  <r>
    <s v="ORD100993"/>
    <d v="2025-03-12T00:00:00"/>
    <s v="Decathlon Pune"/>
    <x v="1"/>
    <x v="1"/>
    <s v="CUST1002"/>
    <s v="Male"/>
    <x v="2"/>
    <x v="1"/>
    <x v="1"/>
    <s v="Resistance Band"/>
    <x v="1"/>
    <n v="2"/>
    <n v="922.29"/>
    <n v="0.3"/>
    <n v="1291.21"/>
    <n v="779.35"/>
    <n v="511.86"/>
    <s v="Cash"/>
    <x v="5"/>
    <n v="5"/>
    <x v="1"/>
  </r>
  <r>
    <s v="ORD100994"/>
    <d v="2025-09-24T00:00:00"/>
    <s v="Decathlon Noida"/>
    <x v="5"/>
    <x v="0"/>
    <s v="CUST1298"/>
    <s v="Female"/>
    <x v="0"/>
    <x v="1"/>
    <x v="5"/>
    <s v="Water Bottle"/>
    <x v="1"/>
    <n v="5"/>
    <n v="696.93"/>
    <n v="0.1"/>
    <n v="3136.18"/>
    <n v="1297.26"/>
    <n v="1838.92"/>
    <s v="Debit Card"/>
    <x v="0"/>
    <n v="4"/>
    <x v="7"/>
  </r>
  <r>
    <s v="ORD100995"/>
    <d v="2025-07-20T00:00:00"/>
    <s v="Decathlon Pune"/>
    <x v="1"/>
    <x v="1"/>
    <s v="CUST1138"/>
    <s v="Male"/>
    <x v="3"/>
    <x v="2"/>
    <x v="0"/>
    <s v="Running T-Shirt"/>
    <x v="4"/>
    <n v="2"/>
    <n v="1014.98"/>
    <n v="0.25"/>
    <n v="1522.47"/>
    <n v="862.48"/>
    <n v="659.99"/>
    <s v="Net Banking"/>
    <x v="2"/>
    <n v="4"/>
    <x v="8"/>
  </r>
  <r>
    <s v="ORD100996"/>
    <d v="2025-04-24T00:00:00"/>
    <s v="Decathlon Pune"/>
    <x v="1"/>
    <x v="1"/>
    <s v="CUST1537"/>
    <s v="Male"/>
    <x v="2"/>
    <x v="2"/>
    <x v="5"/>
    <s v="Water Bottle"/>
    <x v="6"/>
    <n v="5"/>
    <n v="708.75"/>
    <n v="0.15"/>
    <n v="3012.19"/>
    <n v="1299.04"/>
    <n v="1713.15"/>
    <s v="UPI"/>
    <x v="6"/>
    <n v="4"/>
    <x v="5"/>
  </r>
  <r>
    <s v="ORD100997"/>
    <d v="2025-06-16T00:00:00"/>
    <s v="Decathlon Noida"/>
    <x v="5"/>
    <x v="0"/>
    <s v="CUST1651"/>
    <s v="Female"/>
    <x v="2"/>
    <x v="0"/>
    <x v="3"/>
    <s v="Helmet"/>
    <x v="0"/>
    <n v="2"/>
    <n v="1984.45"/>
    <n v="0.05"/>
    <n v="3770.45"/>
    <n v="2133.36"/>
    <n v="1637.09"/>
    <s v="UPI"/>
    <x v="4"/>
    <n v="4"/>
    <x v="11"/>
  </r>
  <r>
    <s v="ORD100998"/>
    <d v="2025-04-15T00:00:00"/>
    <s v="Decathlon Bengaluru"/>
    <x v="4"/>
    <x v="2"/>
    <s v="CUST1596"/>
    <s v="Female"/>
    <x v="3"/>
    <x v="2"/>
    <x v="4"/>
    <s v="Football Boots"/>
    <x v="3"/>
    <n v="3"/>
    <n v="3504.18"/>
    <n v="0.05"/>
    <n v="9986.91"/>
    <n v="6149.14"/>
    <n v="3837.77"/>
    <s v="Net Banking"/>
    <x v="6"/>
    <n v="3"/>
    <x v="5"/>
  </r>
  <r>
    <s v="ORD100999"/>
    <d v="2025-06-25T00:00:00"/>
    <s v="Decathlon Ahmedabad"/>
    <x v="2"/>
    <x v="1"/>
    <s v="CUST1085"/>
    <s v="Male"/>
    <x v="2"/>
    <x v="1"/>
    <x v="5"/>
    <s v="Trekking Shoes"/>
    <x v="6"/>
    <n v="1"/>
    <n v="5087.6400000000003"/>
    <n v="0.25"/>
    <n v="3815.73"/>
    <n v="3251.71"/>
    <n v="564.02"/>
    <s v="UPI"/>
    <x v="3"/>
    <n v="3"/>
    <x v="11"/>
  </r>
  <r>
    <s v="ORD101000"/>
    <d v="2025-02-18T00:00:00"/>
    <s v="Decathlon Ahmedabad"/>
    <x v="2"/>
    <x v="1"/>
    <s v="CUST1219"/>
    <s v="Female"/>
    <x v="0"/>
    <x v="2"/>
    <x v="3"/>
    <s v="Helmet"/>
    <x v="6"/>
    <n v="4"/>
    <n v="2008.82"/>
    <n v="0"/>
    <n v="8035.28"/>
    <n v="4372.99"/>
    <n v="3662.29"/>
    <s v="Debit Card"/>
    <x v="3"/>
    <n v="3"/>
    <x v="6"/>
  </r>
  <r>
    <s v="ORD101001"/>
    <d v="2025-09-11T00:00:00"/>
    <s v="Decathlon Mumbai"/>
    <x v="6"/>
    <x v="1"/>
    <s v="CUST1575"/>
    <s v="Female"/>
    <x v="1"/>
    <x v="0"/>
    <x v="5"/>
    <s v="Trekking Shoes"/>
    <x v="7"/>
    <n v="3"/>
    <n v="4892.16"/>
    <n v="0.3"/>
    <n v="10273.540000000001"/>
    <n v="9914.67"/>
    <n v="358.87"/>
    <s v="Cash"/>
    <x v="1"/>
    <n v="4"/>
    <x v="7"/>
  </r>
  <r>
    <s v="ORD101002"/>
    <d v="2025-11-20T00:00:00"/>
    <s v="Decathlon Bengaluru"/>
    <x v="4"/>
    <x v="2"/>
    <s v="CUST1192"/>
    <s v="Female"/>
    <x v="1"/>
    <x v="0"/>
    <x v="0"/>
    <s v="Running T-Shirt"/>
    <x v="7"/>
    <n v="3"/>
    <n v="1043.26"/>
    <n v="0.2"/>
    <n v="2503.8200000000002"/>
    <n v="1401.38"/>
    <n v="1102.44"/>
    <s v="UPI"/>
    <x v="2"/>
    <n v="4"/>
    <x v="2"/>
  </r>
  <r>
    <s v="ORD101003"/>
    <d v="2025-02-14T00:00:00"/>
    <s v="Decathlon Delhi"/>
    <x v="9"/>
    <x v="0"/>
    <s v="CUST1412"/>
    <s v="Male"/>
    <x v="2"/>
    <x v="0"/>
    <x v="0"/>
    <s v="Fitness Band"/>
    <x v="3"/>
    <n v="3"/>
    <n v="2606.92"/>
    <n v="0.3"/>
    <n v="5474.53"/>
    <n v="4711.83"/>
    <n v="762.7"/>
    <s v="UPI"/>
    <x v="2"/>
    <n v="3"/>
    <x v="6"/>
  </r>
  <r>
    <s v="ORD101004"/>
    <d v="2025-03-06T00:00:00"/>
    <s v="Decathlon Jaipur"/>
    <x v="0"/>
    <x v="0"/>
    <s v="CUST1429"/>
    <s v="Female"/>
    <x v="0"/>
    <x v="0"/>
    <x v="0"/>
    <s v="Fitness Band"/>
    <x v="5"/>
    <n v="5"/>
    <n v="2529.31"/>
    <n v="0"/>
    <n v="12646.55"/>
    <n v="7676.36"/>
    <n v="4970.1899999999996"/>
    <s v="UPI"/>
    <x v="7"/>
    <n v="5"/>
    <x v="1"/>
  </r>
  <r>
    <s v="ORD101005"/>
    <d v="2025-02-26T00:00:00"/>
    <s v="Decathlon Delhi"/>
    <x v="9"/>
    <x v="0"/>
    <s v="CUST1216"/>
    <s v="Female"/>
    <x v="3"/>
    <x v="1"/>
    <x v="2"/>
    <s v="Swimming Goggles"/>
    <x v="7"/>
    <n v="4"/>
    <n v="903.2"/>
    <n v="0"/>
    <n v="3612.8"/>
    <n v="1804.16"/>
    <n v="1808.64"/>
    <s v="UPI"/>
    <x v="1"/>
    <n v="5"/>
    <x v="6"/>
  </r>
  <r>
    <s v="ORD101006"/>
    <d v="2025-02-04T00:00:00"/>
    <s v="Decathlon Pune"/>
    <x v="1"/>
    <x v="1"/>
    <s v="CUST1601"/>
    <s v="Male"/>
    <x v="2"/>
    <x v="0"/>
    <x v="4"/>
    <s v="Football Boots"/>
    <x v="2"/>
    <n v="4"/>
    <n v="3652.64"/>
    <n v="0.3"/>
    <n v="10227.39"/>
    <n v="8465.99"/>
    <n v="1761.4"/>
    <s v="Credit Card"/>
    <x v="1"/>
    <n v="3"/>
    <x v="6"/>
  </r>
  <r>
    <s v="ORD101007"/>
    <d v="2025-09-21T00:00:00"/>
    <s v="Decathlon Delhi"/>
    <x v="9"/>
    <x v="0"/>
    <s v="CUST1796"/>
    <s v="Male"/>
    <x v="2"/>
    <x v="0"/>
    <x v="1"/>
    <s v="Yoga Mat"/>
    <x v="5"/>
    <n v="3"/>
    <n v="1456.57"/>
    <n v="0.2"/>
    <n v="3495.77"/>
    <n v="2155.5"/>
    <n v="1340.27"/>
    <s v="Net Banking"/>
    <x v="5"/>
    <n v="5"/>
    <x v="7"/>
  </r>
  <r>
    <s v="ORD101008"/>
    <d v="2025-08-17T00:00:00"/>
    <s v="Decathlon Pune"/>
    <x v="1"/>
    <x v="1"/>
    <s v="CUST1891"/>
    <s v="Male"/>
    <x v="3"/>
    <x v="2"/>
    <x v="1"/>
    <s v="Resistance Band"/>
    <x v="5"/>
    <n v="5"/>
    <n v="932.72"/>
    <n v="0"/>
    <n v="4663.6000000000004"/>
    <n v="2029.6"/>
    <n v="2634"/>
    <s v="Net Banking"/>
    <x v="3"/>
    <n v="5"/>
    <x v="3"/>
  </r>
  <r>
    <s v="ORD101009"/>
    <d v="2025-06-02T00:00:00"/>
    <s v="Decathlon Mumbai"/>
    <x v="6"/>
    <x v="1"/>
    <s v="CUST1086"/>
    <s v="Female"/>
    <x v="3"/>
    <x v="1"/>
    <x v="3"/>
    <s v="Mountain Bike"/>
    <x v="5"/>
    <n v="3"/>
    <n v="25746.17"/>
    <n v="0.1"/>
    <n v="69514.66"/>
    <n v="54423.68"/>
    <n v="15090.98"/>
    <s v="Net Banking"/>
    <x v="3"/>
    <n v="4"/>
    <x v="11"/>
  </r>
  <r>
    <s v="ORD101010"/>
    <d v="2025-07-01T00:00:00"/>
    <s v="Decathlon Gurugram"/>
    <x v="8"/>
    <x v="0"/>
    <s v="CUST1152"/>
    <s v="Male"/>
    <x v="1"/>
    <x v="2"/>
    <x v="1"/>
    <s v="Resistance Band"/>
    <x v="5"/>
    <n v="1"/>
    <n v="862.93"/>
    <n v="0.2"/>
    <n v="690.34"/>
    <n v="415.2"/>
    <n v="275.14"/>
    <s v="UPI"/>
    <x v="2"/>
    <n v="5"/>
    <x v="8"/>
  </r>
  <r>
    <s v="ORD101011"/>
    <d v="2025-05-05T00:00:00"/>
    <s v="Decathlon Hyderabad"/>
    <x v="7"/>
    <x v="2"/>
    <s v="CUST1562"/>
    <s v="Female"/>
    <x v="1"/>
    <x v="0"/>
    <x v="1"/>
    <s v="Resistance Band"/>
    <x v="4"/>
    <n v="2"/>
    <n v="909.41"/>
    <n v="0.1"/>
    <n v="1636.94"/>
    <n v="787.14"/>
    <n v="849.8"/>
    <s v="Debit Card"/>
    <x v="5"/>
    <n v="4"/>
    <x v="10"/>
  </r>
  <r>
    <s v="ORD101012"/>
    <d v="2025-12-03T00:00:00"/>
    <s v="Decathlon Gurugram"/>
    <x v="8"/>
    <x v="0"/>
    <s v="CUST1989"/>
    <s v="Female"/>
    <x v="3"/>
    <x v="0"/>
    <x v="3"/>
    <s v="Mountain Bike"/>
    <x v="4"/>
    <n v="1"/>
    <n v="24465.69"/>
    <n v="0.25"/>
    <n v="18349.27"/>
    <n v="18447.05"/>
    <n v="-97.78"/>
    <s v="Net Banking"/>
    <x v="3"/>
    <n v="5"/>
    <x v="0"/>
  </r>
  <r>
    <s v="ORD101013"/>
    <d v="2025-11-10T00:00:00"/>
    <s v="Decathlon Hyderabad"/>
    <x v="7"/>
    <x v="2"/>
    <s v="CUST1348"/>
    <s v="Female"/>
    <x v="2"/>
    <x v="2"/>
    <x v="1"/>
    <s v="Yoga Mat"/>
    <x v="5"/>
    <n v="1"/>
    <n v="1514.49"/>
    <n v="0.25"/>
    <n v="1135.8699999999999"/>
    <n v="677.37"/>
    <n v="458.5"/>
    <s v="Debit Card"/>
    <x v="3"/>
    <n v="5"/>
    <x v="2"/>
  </r>
  <r>
    <s v="ORD101014"/>
    <d v="2025-08-11T00:00:00"/>
    <s v="Decathlon Jaipur"/>
    <x v="0"/>
    <x v="0"/>
    <s v="CUST1882"/>
    <s v="Female"/>
    <x v="0"/>
    <x v="2"/>
    <x v="1"/>
    <s v="Yoga Block"/>
    <x v="7"/>
    <n v="2"/>
    <n v="579.77"/>
    <n v="0.25"/>
    <n v="869.65"/>
    <n v="508"/>
    <n v="361.65"/>
    <s v="UPI"/>
    <x v="5"/>
    <n v="3"/>
    <x v="3"/>
  </r>
  <r>
    <s v="ORD101015"/>
    <d v="2025-03-15T00:00:00"/>
    <s v="Decathlon Pune"/>
    <x v="1"/>
    <x v="1"/>
    <s v="CUST1884"/>
    <s v="Female"/>
    <x v="0"/>
    <x v="0"/>
    <x v="4"/>
    <s v="Shin Guards"/>
    <x v="0"/>
    <n v="1"/>
    <n v="974.97"/>
    <n v="0.15"/>
    <n v="828.72"/>
    <n v="523.57000000000005"/>
    <n v="305.14999999999998"/>
    <s v="Net Banking"/>
    <x v="6"/>
    <n v="5"/>
    <x v="1"/>
  </r>
  <r>
    <s v="ORD101016"/>
    <d v="2025-03-03T00:00:00"/>
    <s v="Decathlon Jaipur"/>
    <x v="0"/>
    <x v="0"/>
    <s v="CUST1954"/>
    <s v="Male"/>
    <x v="3"/>
    <x v="2"/>
    <x v="1"/>
    <s v="Yoga Mat"/>
    <x v="5"/>
    <n v="5"/>
    <n v="1473.5"/>
    <n v="0.1"/>
    <n v="6630.75"/>
    <n v="3512.39"/>
    <n v="3118.36"/>
    <s v="Debit Card"/>
    <x v="8"/>
    <n v="4"/>
    <x v="1"/>
  </r>
  <r>
    <s v="ORD101017"/>
    <d v="2025-09-20T00:00:00"/>
    <s v="Decathlon Ahmedabad"/>
    <x v="2"/>
    <x v="1"/>
    <s v="CUST1420"/>
    <s v="Male"/>
    <x v="0"/>
    <x v="1"/>
    <x v="0"/>
    <s v="Fitness Band"/>
    <x v="4"/>
    <n v="3"/>
    <n v="2385.36"/>
    <n v="0.15"/>
    <n v="6082.67"/>
    <n v="4332.04"/>
    <n v="1750.63"/>
    <s v="Net Banking"/>
    <x v="7"/>
    <n v="3"/>
    <x v="7"/>
  </r>
  <r>
    <s v="ORD101018"/>
    <d v="2025-10-06T00:00:00"/>
    <s v="Decathlon Chennai"/>
    <x v="3"/>
    <x v="2"/>
    <s v="CUST1525"/>
    <s v="Female"/>
    <x v="2"/>
    <x v="2"/>
    <x v="1"/>
    <s v="Yoga Mat"/>
    <x v="0"/>
    <n v="1"/>
    <n v="1550.51"/>
    <n v="0.15"/>
    <n v="1317.93"/>
    <n v="669.28"/>
    <n v="648.65"/>
    <s v="Debit Card"/>
    <x v="6"/>
    <n v="3"/>
    <x v="9"/>
  </r>
  <r>
    <s v="ORD101019"/>
    <d v="2025-05-29T00:00:00"/>
    <s v="Decathlon Jaipur"/>
    <x v="0"/>
    <x v="0"/>
    <s v="CUST1786"/>
    <s v="Female"/>
    <x v="0"/>
    <x v="1"/>
    <x v="2"/>
    <s v="Swimming Goggles"/>
    <x v="5"/>
    <n v="1"/>
    <n v="906.33"/>
    <n v="0.25"/>
    <n v="679.75"/>
    <n v="427.57"/>
    <n v="252.18"/>
    <s v="Credit Card"/>
    <x v="0"/>
    <n v="5"/>
    <x v="10"/>
  </r>
  <r>
    <s v="ORD101020"/>
    <d v="2025-02-09T00:00:00"/>
    <s v="Decathlon Delhi"/>
    <x v="9"/>
    <x v="0"/>
    <s v="CUST1757"/>
    <s v="Female"/>
    <x v="2"/>
    <x v="1"/>
    <x v="2"/>
    <s v="Swimming Goggles"/>
    <x v="2"/>
    <n v="1"/>
    <n v="918.07"/>
    <n v="0.15"/>
    <n v="780.36"/>
    <n v="466.08"/>
    <n v="314.27999999999997"/>
    <s v="Debit Card"/>
    <x v="3"/>
    <n v="3"/>
    <x v="6"/>
  </r>
  <r>
    <s v="ORD101021"/>
    <d v="2025-11-28T00:00:00"/>
    <s v="Decathlon Mumbai"/>
    <x v="6"/>
    <x v="1"/>
    <s v="CUST1012"/>
    <s v="Female"/>
    <x v="0"/>
    <x v="1"/>
    <x v="1"/>
    <s v="Yoga Mat"/>
    <x v="3"/>
    <n v="3"/>
    <n v="1513.04"/>
    <n v="0"/>
    <n v="4539.12"/>
    <n v="2016.16"/>
    <n v="2522.96"/>
    <s v="Debit Card"/>
    <x v="3"/>
    <n v="4"/>
    <x v="2"/>
  </r>
  <r>
    <s v="ORD101022"/>
    <d v="2025-05-25T00:00:00"/>
    <s v="Decathlon Noida"/>
    <x v="5"/>
    <x v="0"/>
    <s v="CUST1848"/>
    <s v="Male"/>
    <x v="2"/>
    <x v="0"/>
    <x v="1"/>
    <s v="Yoga Mat"/>
    <x v="5"/>
    <n v="5"/>
    <n v="1573.35"/>
    <n v="0.15"/>
    <n v="6686.74"/>
    <n v="3453.84"/>
    <n v="3232.9"/>
    <s v="UPI"/>
    <x v="3"/>
    <n v="4"/>
    <x v="10"/>
  </r>
  <r>
    <s v="ORD101023"/>
    <d v="2025-06-08T00:00:00"/>
    <s v="Decathlon Mumbai"/>
    <x v="6"/>
    <x v="1"/>
    <s v="CUST1841"/>
    <s v="Male"/>
    <x v="2"/>
    <x v="2"/>
    <x v="5"/>
    <s v="Trekking Shoes"/>
    <x v="4"/>
    <n v="4"/>
    <n v="5080.38"/>
    <n v="0.05"/>
    <n v="19305.439999999999"/>
    <n v="12308.47"/>
    <n v="6996.97"/>
    <s v="Cash"/>
    <x v="7"/>
    <n v="5"/>
    <x v="11"/>
  </r>
  <r>
    <s v="ORD101024"/>
    <d v="2025-11-21T00:00:00"/>
    <s v="Decathlon Hyderabad"/>
    <x v="7"/>
    <x v="2"/>
    <s v="CUST1133"/>
    <s v="Male"/>
    <x v="3"/>
    <x v="1"/>
    <x v="3"/>
    <s v="Cycling Gloves"/>
    <x v="1"/>
    <n v="3"/>
    <n v="832.57"/>
    <n v="0"/>
    <n v="2497.71"/>
    <n v="1060.79"/>
    <n v="1436.92"/>
    <s v="Debit Card"/>
    <x v="1"/>
    <n v="5"/>
    <x v="2"/>
  </r>
  <r>
    <s v="ORD101025"/>
    <d v="2025-12-07T00:00:00"/>
    <s v="Decathlon Gurugram"/>
    <x v="8"/>
    <x v="0"/>
    <s v="CUST1127"/>
    <s v="Male"/>
    <x v="3"/>
    <x v="1"/>
    <x v="2"/>
    <s v="Swimsuit"/>
    <x v="3"/>
    <n v="1"/>
    <n v="1508.56"/>
    <n v="0.3"/>
    <n v="1055.99"/>
    <n v="836.16"/>
    <n v="219.83"/>
    <s v="Net Banking"/>
    <x v="7"/>
    <n v="5"/>
    <x v="0"/>
  </r>
  <r>
    <s v="ORD101026"/>
    <d v="2025-09-01T00:00:00"/>
    <s v="Decathlon Gurugram"/>
    <x v="8"/>
    <x v="0"/>
    <s v="CUST1790"/>
    <s v="Male"/>
    <x v="3"/>
    <x v="2"/>
    <x v="2"/>
    <s v="Swimming Goggles"/>
    <x v="4"/>
    <n v="1"/>
    <n v="925.79"/>
    <n v="0.2"/>
    <n v="740.63"/>
    <n v="456.74"/>
    <n v="283.89"/>
    <s v="Debit Card"/>
    <x v="9"/>
    <n v="4"/>
    <x v="7"/>
  </r>
  <r>
    <s v="ORD101027"/>
    <d v="2025-07-30T00:00:00"/>
    <s v="Decathlon Hyderabad"/>
    <x v="7"/>
    <x v="2"/>
    <s v="CUST1678"/>
    <s v="Female"/>
    <x v="1"/>
    <x v="0"/>
    <x v="5"/>
    <s v="Backpack"/>
    <x v="4"/>
    <n v="3"/>
    <n v="3102.5"/>
    <n v="0.2"/>
    <n v="7446"/>
    <n v="5228.87"/>
    <n v="2217.13"/>
    <s v="Credit Card"/>
    <x v="6"/>
    <n v="5"/>
    <x v="8"/>
  </r>
  <r>
    <s v="ORD101028"/>
    <d v="2025-04-02T00:00:00"/>
    <s v="Decathlon Noida"/>
    <x v="5"/>
    <x v="0"/>
    <s v="CUST1318"/>
    <s v="Female"/>
    <x v="0"/>
    <x v="1"/>
    <x v="1"/>
    <s v="Yoga Mat"/>
    <x v="6"/>
    <n v="4"/>
    <n v="1429.13"/>
    <n v="0.3"/>
    <n v="4001.56"/>
    <n v="2851.89"/>
    <n v="1149.67"/>
    <s v="Net Banking"/>
    <x v="8"/>
    <n v="5"/>
    <x v="5"/>
  </r>
  <r>
    <s v="ORD101029"/>
    <d v="2025-07-24T00:00:00"/>
    <s v="Decathlon Gurugram"/>
    <x v="8"/>
    <x v="0"/>
    <s v="CUST1174"/>
    <s v="Female"/>
    <x v="0"/>
    <x v="0"/>
    <x v="2"/>
    <s v="Swimming Goggles"/>
    <x v="5"/>
    <n v="3"/>
    <n v="888.52"/>
    <n v="0.15"/>
    <n v="2265.73"/>
    <n v="1401.73"/>
    <n v="864"/>
    <s v="Cash"/>
    <x v="6"/>
    <n v="3"/>
    <x v="8"/>
  </r>
  <r>
    <s v="ORD101030"/>
    <d v="2025-08-29T00:00:00"/>
    <s v="Decathlon Pune"/>
    <x v="1"/>
    <x v="1"/>
    <s v="CUST1641"/>
    <s v="Female"/>
    <x v="0"/>
    <x v="0"/>
    <x v="1"/>
    <s v="Resistance Band"/>
    <x v="4"/>
    <n v="1"/>
    <n v="878.79"/>
    <n v="0.1"/>
    <n v="790.91"/>
    <n v="383.47"/>
    <n v="407.44"/>
    <s v="Debit Card"/>
    <x v="8"/>
    <n v="3"/>
    <x v="3"/>
  </r>
  <r>
    <s v="ORD101031"/>
    <d v="2025-08-21T00:00:00"/>
    <s v="Decathlon Ahmedabad"/>
    <x v="2"/>
    <x v="1"/>
    <s v="CUST1650"/>
    <s v="Male"/>
    <x v="3"/>
    <x v="0"/>
    <x v="3"/>
    <s v="Mountain Bike"/>
    <x v="5"/>
    <n v="3"/>
    <n v="24740.76"/>
    <n v="0"/>
    <n v="74222.28"/>
    <n v="54662.5"/>
    <n v="19559.78"/>
    <s v="Debit Card"/>
    <x v="8"/>
    <n v="5"/>
    <x v="3"/>
  </r>
  <r>
    <s v="ORD101032"/>
    <d v="2025-03-25T00:00:00"/>
    <s v="Decathlon Chennai"/>
    <x v="3"/>
    <x v="2"/>
    <s v="CUST1788"/>
    <s v="Male"/>
    <x v="0"/>
    <x v="1"/>
    <x v="3"/>
    <s v="Helmet"/>
    <x v="0"/>
    <n v="1"/>
    <n v="2047.74"/>
    <n v="0.3"/>
    <n v="1433.42"/>
    <n v="1052.1400000000001"/>
    <n v="381.28"/>
    <s v="UPI"/>
    <x v="5"/>
    <n v="5"/>
    <x v="1"/>
  </r>
  <r>
    <s v="ORD101033"/>
    <d v="2025-05-04T00:00:00"/>
    <s v="Decathlon Hyderabad"/>
    <x v="7"/>
    <x v="2"/>
    <s v="CUST1490"/>
    <s v="Female"/>
    <x v="3"/>
    <x v="2"/>
    <x v="3"/>
    <s v="Cycling Gloves"/>
    <x v="6"/>
    <n v="1"/>
    <n v="797.63"/>
    <n v="0.1"/>
    <n v="717.87"/>
    <n v="365.94"/>
    <n v="351.93"/>
    <s v="UPI"/>
    <x v="3"/>
    <n v="4"/>
    <x v="10"/>
  </r>
  <r>
    <s v="ORD101034"/>
    <d v="2025-02-05T00:00:00"/>
    <s v="Decathlon Delhi"/>
    <x v="9"/>
    <x v="0"/>
    <s v="CUST1748"/>
    <s v="Male"/>
    <x v="3"/>
    <x v="0"/>
    <x v="4"/>
    <s v="Football Boots"/>
    <x v="7"/>
    <n v="4"/>
    <n v="3651.97"/>
    <n v="0.2"/>
    <n v="11686.3"/>
    <n v="8181.17"/>
    <n v="3505.13"/>
    <s v="Debit Card"/>
    <x v="8"/>
    <n v="5"/>
    <x v="6"/>
  </r>
  <r>
    <s v="ORD101035"/>
    <d v="2025-06-06T00:00:00"/>
    <s v="Decathlon Gurugram"/>
    <x v="8"/>
    <x v="0"/>
    <s v="CUST1764"/>
    <s v="Male"/>
    <x v="3"/>
    <x v="0"/>
    <x v="5"/>
    <s v="Trekking Shoes"/>
    <x v="6"/>
    <n v="1"/>
    <n v="4837.28"/>
    <n v="0.2"/>
    <n v="3869.82"/>
    <n v="3107.62"/>
    <n v="762.2"/>
    <s v="Net Banking"/>
    <x v="1"/>
    <n v="5"/>
    <x v="11"/>
  </r>
  <r>
    <s v="ORD101036"/>
    <d v="2025-09-12T00:00:00"/>
    <s v="Decathlon Delhi"/>
    <x v="9"/>
    <x v="0"/>
    <s v="CUST1283"/>
    <s v="Female"/>
    <x v="1"/>
    <x v="0"/>
    <x v="2"/>
    <s v="Swimming Goggles"/>
    <x v="7"/>
    <n v="2"/>
    <n v="884.98"/>
    <n v="0.3"/>
    <n v="1238.97"/>
    <n v="874.86"/>
    <n v="364.11"/>
    <s v="Credit Card"/>
    <x v="8"/>
    <n v="3"/>
    <x v="7"/>
  </r>
  <r>
    <s v="ORD101037"/>
    <d v="2025-01-02T00:00:00"/>
    <s v="Decathlon Delhi"/>
    <x v="9"/>
    <x v="0"/>
    <s v="CUST1271"/>
    <s v="Male"/>
    <x v="2"/>
    <x v="0"/>
    <x v="3"/>
    <s v="Mountain Bike"/>
    <x v="4"/>
    <n v="1"/>
    <n v="25689.01"/>
    <n v="0.05"/>
    <n v="24404.560000000001"/>
    <n v="17461.46"/>
    <n v="6943.1"/>
    <s v="Credit Card"/>
    <x v="1"/>
    <n v="3"/>
    <x v="4"/>
  </r>
  <r>
    <s v="ORD101038"/>
    <d v="2025-07-25T00:00:00"/>
    <s v="Decathlon Noida"/>
    <x v="5"/>
    <x v="0"/>
    <s v="CUST1654"/>
    <s v="Female"/>
    <x v="3"/>
    <x v="1"/>
    <x v="2"/>
    <s v="Swim Cap"/>
    <x v="4"/>
    <n v="3"/>
    <n v="494.61"/>
    <n v="0.25"/>
    <n v="1112.8699999999999"/>
    <n v="639.70000000000005"/>
    <n v="473.17"/>
    <s v="Cash"/>
    <x v="4"/>
    <n v="3"/>
    <x v="8"/>
  </r>
  <r>
    <s v="ORD101039"/>
    <d v="2025-12-01T00:00:00"/>
    <s v="Decathlon Bengaluru"/>
    <x v="4"/>
    <x v="2"/>
    <s v="CUST1611"/>
    <s v="Male"/>
    <x v="3"/>
    <x v="1"/>
    <x v="4"/>
    <s v="Football"/>
    <x v="6"/>
    <n v="4"/>
    <n v="1335.82"/>
    <n v="0.1"/>
    <n v="4808.95"/>
    <n v="2782.98"/>
    <n v="2025.97"/>
    <s v="Cash"/>
    <x v="4"/>
    <n v="4"/>
    <x v="0"/>
  </r>
  <r>
    <s v="ORD101040"/>
    <d v="2025-10-09T00:00:00"/>
    <s v="Decathlon Jaipur"/>
    <x v="0"/>
    <x v="0"/>
    <s v="CUST1749"/>
    <s v="Female"/>
    <x v="0"/>
    <x v="0"/>
    <x v="1"/>
    <s v="Resistance Band"/>
    <x v="4"/>
    <n v="3"/>
    <n v="942.33"/>
    <n v="0.2"/>
    <n v="2261.59"/>
    <n v="1235.69"/>
    <n v="1025.9000000000001"/>
    <s v="UPI"/>
    <x v="9"/>
    <n v="4"/>
    <x v="9"/>
  </r>
  <r>
    <s v="ORD101041"/>
    <d v="2025-02-26T00:00:00"/>
    <s v="Decathlon Mumbai"/>
    <x v="6"/>
    <x v="1"/>
    <s v="CUST1380"/>
    <s v="Male"/>
    <x v="2"/>
    <x v="1"/>
    <x v="4"/>
    <s v="Football"/>
    <x v="2"/>
    <n v="2"/>
    <n v="1254.31"/>
    <n v="0"/>
    <n v="2508.62"/>
    <n v="1424.72"/>
    <n v="1083.9000000000001"/>
    <s v="Cash"/>
    <x v="9"/>
    <n v="3"/>
    <x v="6"/>
  </r>
  <r>
    <s v="ORD101042"/>
    <d v="2025-10-01T00:00:00"/>
    <s v="Decathlon Chennai"/>
    <x v="3"/>
    <x v="2"/>
    <s v="CUST1752"/>
    <s v="Female"/>
    <x v="1"/>
    <x v="1"/>
    <x v="3"/>
    <s v="Mountain Bike"/>
    <x v="0"/>
    <n v="3"/>
    <n v="25239.63"/>
    <n v="0.05"/>
    <n v="71932.95"/>
    <n v="53267.31"/>
    <n v="18665.64"/>
    <s v="Debit Card"/>
    <x v="9"/>
    <n v="4"/>
    <x v="9"/>
  </r>
  <r>
    <s v="ORD101043"/>
    <d v="2025-07-27T00:00:00"/>
    <s v="Decathlon Chennai"/>
    <x v="3"/>
    <x v="2"/>
    <s v="CUST1184"/>
    <s v="Female"/>
    <x v="2"/>
    <x v="1"/>
    <x v="5"/>
    <s v="Backpack"/>
    <x v="2"/>
    <n v="4"/>
    <n v="3115.42"/>
    <n v="0"/>
    <n v="12461.68"/>
    <n v="7075.89"/>
    <n v="5385.79"/>
    <s v="Cash"/>
    <x v="9"/>
    <n v="4"/>
    <x v="8"/>
  </r>
  <r>
    <s v="ORD101044"/>
    <d v="2025-02-01T00:00:00"/>
    <s v="Decathlon Mumbai"/>
    <x v="6"/>
    <x v="1"/>
    <s v="CUST1719"/>
    <s v="Male"/>
    <x v="0"/>
    <x v="2"/>
    <x v="1"/>
    <s v="Yoga Mat"/>
    <x v="7"/>
    <n v="4"/>
    <n v="1519.12"/>
    <n v="0.15"/>
    <n v="5165.01"/>
    <n v="2781.05"/>
    <n v="2383.96"/>
    <s v="Debit Card"/>
    <x v="5"/>
    <n v="3"/>
    <x v="6"/>
  </r>
  <r>
    <s v="ORD101045"/>
    <d v="2025-09-30T00:00:00"/>
    <s v="Decathlon Chennai"/>
    <x v="3"/>
    <x v="2"/>
    <s v="CUST1639"/>
    <s v="Female"/>
    <x v="2"/>
    <x v="2"/>
    <x v="5"/>
    <s v="Backpack"/>
    <x v="2"/>
    <n v="4"/>
    <n v="2956.36"/>
    <n v="0"/>
    <n v="11825.44"/>
    <n v="6862.05"/>
    <n v="4963.3900000000003"/>
    <s v="Net Banking"/>
    <x v="7"/>
    <n v="3"/>
    <x v="7"/>
  </r>
  <r>
    <s v="ORD101046"/>
    <d v="2025-03-10T00:00:00"/>
    <s v="Decathlon Mumbai"/>
    <x v="6"/>
    <x v="1"/>
    <s v="CUST1800"/>
    <s v="Male"/>
    <x v="0"/>
    <x v="2"/>
    <x v="1"/>
    <s v="Yoga Mat"/>
    <x v="2"/>
    <n v="1"/>
    <n v="1556.46"/>
    <n v="0.15"/>
    <n v="1322.99"/>
    <n v="719.85"/>
    <n v="603.14"/>
    <s v="Debit Card"/>
    <x v="1"/>
    <n v="4"/>
    <x v="1"/>
  </r>
  <r>
    <s v="ORD101047"/>
    <d v="2025-09-23T00:00:00"/>
    <s v="Decathlon Gurugram"/>
    <x v="8"/>
    <x v="0"/>
    <s v="CUST1621"/>
    <s v="Female"/>
    <x v="0"/>
    <x v="1"/>
    <x v="3"/>
    <s v="Helmet"/>
    <x v="2"/>
    <n v="1"/>
    <n v="2054.58"/>
    <n v="0.3"/>
    <n v="1438.21"/>
    <n v="1076.1400000000001"/>
    <n v="362.07"/>
    <s v="Cash"/>
    <x v="6"/>
    <n v="3"/>
    <x v="7"/>
  </r>
  <r>
    <s v="ORD101048"/>
    <d v="2025-08-05T00:00:00"/>
    <s v="Decathlon Hyderabad"/>
    <x v="7"/>
    <x v="2"/>
    <s v="CUST1737"/>
    <s v="Female"/>
    <x v="0"/>
    <x v="1"/>
    <x v="2"/>
    <s v="Swimsuit"/>
    <x v="5"/>
    <n v="1"/>
    <n v="1510.11"/>
    <n v="0.15"/>
    <n v="1283.5899999999999"/>
    <n v="877.43"/>
    <n v="406.16"/>
    <s v="UPI"/>
    <x v="1"/>
    <n v="4"/>
    <x v="3"/>
  </r>
  <r>
    <s v="ORD101049"/>
    <d v="2025-07-07T00:00:00"/>
    <s v="Decathlon Noida"/>
    <x v="5"/>
    <x v="0"/>
    <s v="CUST1788"/>
    <s v="Female"/>
    <x v="1"/>
    <x v="2"/>
    <x v="4"/>
    <s v="Football"/>
    <x v="4"/>
    <n v="1"/>
    <n v="1267.75"/>
    <n v="0.3"/>
    <n v="887.42"/>
    <n v="693.12"/>
    <n v="194.3"/>
    <s v="Net Banking"/>
    <x v="2"/>
    <n v="4"/>
    <x v="8"/>
  </r>
  <r>
    <s v="ORD101050"/>
    <d v="2025-10-10T00:00:00"/>
    <s v="Decathlon Hyderabad"/>
    <x v="7"/>
    <x v="2"/>
    <s v="CUST1084"/>
    <s v="Male"/>
    <x v="0"/>
    <x v="2"/>
    <x v="4"/>
    <s v="Shin Guards"/>
    <x v="3"/>
    <n v="3"/>
    <n v="1033.52"/>
    <n v="0.25"/>
    <n v="2325.42"/>
    <n v="1516.25"/>
    <n v="809.17"/>
    <s v="UPI"/>
    <x v="7"/>
    <n v="4"/>
    <x v="9"/>
  </r>
  <r>
    <s v="ORD101051"/>
    <d v="2025-01-26T00:00:00"/>
    <s v="Decathlon Pune"/>
    <x v="1"/>
    <x v="1"/>
    <s v="CUST1622"/>
    <s v="Female"/>
    <x v="0"/>
    <x v="1"/>
    <x v="3"/>
    <s v="Cycling Gloves"/>
    <x v="7"/>
    <n v="3"/>
    <n v="798.58"/>
    <n v="0.3"/>
    <n v="1677.02"/>
    <n v="1036.07"/>
    <n v="640.95000000000005"/>
    <s v="Credit Card"/>
    <x v="1"/>
    <n v="3"/>
    <x v="4"/>
  </r>
  <r>
    <s v="ORD101052"/>
    <d v="2025-06-01T00:00:00"/>
    <s v="Decathlon Jaipur"/>
    <x v="0"/>
    <x v="0"/>
    <s v="CUST1584"/>
    <s v="Female"/>
    <x v="0"/>
    <x v="2"/>
    <x v="3"/>
    <s v="Cycling Gloves"/>
    <x v="4"/>
    <n v="1"/>
    <n v="816.83"/>
    <n v="0.25"/>
    <n v="612.62"/>
    <n v="352.63"/>
    <n v="259.99"/>
    <s v="UPI"/>
    <x v="9"/>
    <n v="3"/>
    <x v="11"/>
  </r>
  <r>
    <s v="ORD101053"/>
    <d v="2025-01-05T00:00:00"/>
    <s v="Decathlon Delhi"/>
    <x v="9"/>
    <x v="0"/>
    <s v="CUST1927"/>
    <s v="Male"/>
    <x v="1"/>
    <x v="1"/>
    <x v="4"/>
    <s v="Shin Guards"/>
    <x v="6"/>
    <n v="5"/>
    <n v="1023.77"/>
    <n v="0.15"/>
    <n v="4351.0200000000004"/>
    <n v="2471.2199999999998"/>
    <n v="1879.8"/>
    <s v="Credit Card"/>
    <x v="9"/>
    <n v="4"/>
    <x v="4"/>
  </r>
  <r>
    <s v="ORD101054"/>
    <d v="2025-05-19T00:00:00"/>
    <s v="Decathlon Jaipur"/>
    <x v="0"/>
    <x v="0"/>
    <s v="CUST1332"/>
    <s v="Male"/>
    <x v="0"/>
    <x v="0"/>
    <x v="4"/>
    <s v="Football"/>
    <x v="6"/>
    <n v="3"/>
    <n v="1305.1099999999999"/>
    <n v="0.2"/>
    <n v="3132.26"/>
    <n v="2122.9699999999998"/>
    <n v="1009.29"/>
    <s v="Credit Card"/>
    <x v="7"/>
    <n v="3"/>
    <x v="10"/>
  </r>
  <r>
    <s v="ORD101055"/>
    <d v="2025-11-16T00:00:00"/>
    <s v="Decathlon Delhi"/>
    <x v="9"/>
    <x v="0"/>
    <s v="CUST1142"/>
    <s v="Female"/>
    <x v="0"/>
    <x v="2"/>
    <x v="0"/>
    <s v="Running Shoes"/>
    <x v="3"/>
    <n v="4"/>
    <n v="4024.97"/>
    <n v="0.1"/>
    <n v="14489.89"/>
    <n v="9058.84"/>
    <n v="5431.05"/>
    <s v="Net Banking"/>
    <x v="7"/>
    <n v="3"/>
    <x v="2"/>
  </r>
  <r>
    <s v="ORD101056"/>
    <d v="2025-03-29T00:00:00"/>
    <s v="Decathlon Chennai"/>
    <x v="3"/>
    <x v="2"/>
    <s v="CUST1458"/>
    <s v="Female"/>
    <x v="3"/>
    <x v="1"/>
    <x v="3"/>
    <s v="Mountain Bike"/>
    <x v="6"/>
    <n v="2"/>
    <n v="26039.53"/>
    <n v="0.15"/>
    <n v="44267.199999999997"/>
    <n v="37515.21"/>
    <n v="6751.99"/>
    <s v="Net Banking"/>
    <x v="8"/>
    <n v="4"/>
    <x v="1"/>
  </r>
  <r>
    <s v="ORD101057"/>
    <d v="2025-05-24T00:00:00"/>
    <s v="Decathlon Delhi"/>
    <x v="9"/>
    <x v="0"/>
    <s v="CUST1236"/>
    <s v="Male"/>
    <x v="0"/>
    <x v="2"/>
    <x v="3"/>
    <s v="Helmet"/>
    <x v="4"/>
    <n v="2"/>
    <n v="1992.48"/>
    <n v="0.3"/>
    <n v="2789.47"/>
    <n v="2195.0500000000002"/>
    <n v="594.41999999999996"/>
    <s v="Debit Card"/>
    <x v="8"/>
    <n v="3"/>
    <x v="10"/>
  </r>
  <r>
    <s v="ORD101058"/>
    <d v="2025-05-05T00:00:00"/>
    <s v="Decathlon Pune"/>
    <x v="1"/>
    <x v="1"/>
    <s v="CUST1310"/>
    <s v="Male"/>
    <x v="0"/>
    <x v="2"/>
    <x v="2"/>
    <s v="Swimsuit"/>
    <x v="5"/>
    <n v="3"/>
    <n v="1520.39"/>
    <n v="0"/>
    <n v="4561.17"/>
    <n v="2667.02"/>
    <n v="1894.15"/>
    <s v="Cash"/>
    <x v="2"/>
    <n v="5"/>
    <x v="10"/>
  </r>
  <r>
    <s v="ORD101059"/>
    <d v="2025-01-19T00:00:00"/>
    <s v="Decathlon Bengaluru"/>
    <x v="4"/>
    <x v="2"/>
    <s v="CUST1306"/>
    <s v="Male"/>
    <x v="2"/>
    <x v="1"/>
    <x v="3"/>
    <s v="Helmet"/>
    <x v="4"/>
    <n v="4"/>
    <n v="2062.64"/>
    <n v="0.25"/>
    <n v="6187.92"/>
    <n v="4311.1899999999996"/>
    <n v="1876.73"/>
    <s v="Net Banking"/>
    <x v="5"/>
    <n v="3"/>
    <x v="4"/>
  </r>
  <r>
    <s v="ORD101060"/>
    <d v="2025-11-21T00:00:00"/>
    <s v="Decathlon Noida"/>
    <x v="5"/>
    <x v="0"/>
    <s v="CUST1385"/>
    <s v="Male"/>
    <x v="2"/>
    <x v="0"/>
    <x v="2"/>
    <s v="Swimming Goggles"/>
    <x v="5"/>
    <n v="1"/>
    <n v="866.08"/>
    <n v="0.15"/>
    <n v="736.17"/>
    <n v="448.32"/>
    <n v="287.85000000000002"/>
    <s v="UPI"/>
    <x v="4"/>
    <n v="3"/>
    <x v="2"/>
  </r>
  <r>
    <s v="ORD101061"/>
    <d v="2025-05-30T00:00:00"/>
    <s v="Decathlon Hyderabad"/>
    <x v="7"/>
    <x v="2"/>
    <s v="CUST1623"/>
    <s v="Male"/>
    <x v="3"/>
    <x v="0"/>
    <x v="2"/>
    <s v="Swimsuit"/>
    <x v="1"/>
    <n v="5"/>
    <n v="1444.18"/>
    <n v="0.1"/>
    <n v="6498.81"/>
    <n v="4198.04"/>
    <n v="2300.77"/>
    <s v="Credit Card"/>
    <x v="5"/>
    <n v="5"/>
    <x v="10"/>
  </r>
  <r>
    <s v="ORD101062"/>
    <d v="2025-04-13T00:00:00"/>
    <s v="Decathlon Hyderabad"/>
    <x v="7"/>
    <x v="2"/>
    <s v="CUST1892"/>
    <s v="Male"/>
    <x v="3"/>
    <x v="1"/>
    <x v="5"/>
    <s v="Backpack"/>
    <x v="7"/>
    <n v="5"/>
    <n v="3053.24"/>
    <n v="0"/>
    <n v="15266.2"/>
    <n v="8397.42"/>
    <n v="6868.78"/>
    <s v="UPI"/>
    <x v="0"/>
    <n v="3"/>
    <x v="5"/>
  </r>
  <r>
    <s v="ORD101063"/>
    <d v="2025-08-31T00:00:00"/>
    <s v="Decathlon Hyderabad"/>
    <x v="7"/>
    <x v="2"/>
    <s v="CUST1638"/>
    <s v="Male"/>
    <x v="1"/>
    <x v="2"/>
    <x v="3"/>
    <s v="Helmet"/>
    <x v="3"/>
    <n v="2"/>
    <n v="2042.44"/>
    <n v="0.15"/>
    <n v="3472.15"/>
    <n v="2225.9499999999998"/>
    <n v="1246.2"/>
    <s v="Cash"/>
    <x v="9"/>
    <n v="5"/>
    <x v="3"/>
  </r>
  <r>
    <s v="ORD101064"/>
    <d v="2025-01-15T00:00:00"/>
    <s v="Decathlon Ahmedabad"/>
    <x v="2"/>
    <x v="1"/>
    <s v="CUST1751"/>
    <s v="Female"/>
    <x v="1"/>
    <x v="1"/>
    <x v="4"/>
    <s v="Shin Guards"/>
    <x v="7"/>
    <n v="4"/>
    <n v="1008.57"/>
    <n v="0"/>
    <n v="4034.28"/>
    <n v="1918.2"/>
    <n v="2116.08"/>
    <s v="Debit Card"/>
    <x v="2"/>
    <n v="3"/>
    <x v="4"/>
  </r>
  <r>
    <s v="ORD101065"/>
    <d v="2025-07-18T00:00:00"/>
    <s v="Decathlon Ahmedabad"/>
    <x v="2"/>
    <x v="1"/>
    <s v="CUST1530"/>
    <s v="Male"/>
    <x v="3"/>
    <x v="0"/>
    <x v="0"/>
    <s v="Running Shoes"/>
    <x v="1"/>
    <n v="3"/>
    <n v="3928.65"/>
    <n v="0.2"/>
    <n v="9428.76"/>
    <n v="6355.79"/>
    <n v="3072.97"/>
    <s v="Credit Card"/>
    <x v="0"/>
    <n v="5"/>
    <x v="8"/>
  </r>
  <r>
    <s v="ORD101066"/>
    <d v="2025-02-01T00:00:00"/>
    <s v="Decathlon Delhi"/>
    <x v="9"/>
    <x v="0"/>
    <s v="CUST1089"/>
    <s v="Female"/>
    <x v="1"/>
    <x v="2"/>
    <x v="0"/>
    <s v="Running Shoes"/>
    <x v="4"/>
    <n v="3"/>
    <n v="3831.13"/>
    <n v="0.1"/>
    <n v="10344.049999999999"/>
    <n v="6487.12"/>
    <n v="3856.93"/>
    <s v="Cash"/>
    <x v="9"/>
    <n v="4"/>
    <x v="6"/>
  </r>
  <r>
    <s v="ORD101067"/>
    <d v="2025-06-28T00:00:00"/>
    <s v="Decathlon Delhi"/>
    <x v="9"/>
    <x v="0"/>
    <s v="CUST1895"/>
    <s v="Female"/>
    <x v="1"/>
    <x v="2"/>
    <x v="3"/>
    <s v="Helmet"/>
    <x v="0"/>
    <n v="3"/>
    <n v="1901.8"/>
    <n v="0.15"/>
    <n v="4849.59"/>
    <n v="3254.79"/>
    <n v="1594.8"/>
    <s v="Cash"/>
    <x v="3"/>
    <n v="3"/>
    <x v="11"/>
  </r>
  <r>
    <s v="ORD101068"/>
    <d v="2025-03-29T00:00:00"/>
    <s v="Decathlon Noida"/>
    <x v="5"/>
    <x v="0"/>
    <s v="CUST1769"/>
    <s v="Female"/>
    <x v="0"/>
    <x v="2"/>
    <x v="1"/>
    <s v="Yoga Mat"/>
    <x v="3"/>
    <n v="5"/>
    <n v="1425.01"/>
    <n v="0.05"/>
    <n v="6768.8"/>
    <n v="3507.43"/>
    <n v="3261.37"/>
    <s v="Credit Card"/>
    <x v="3"/>
    <n v="5"/>
    <x v="1"/>
  </r>
  <r>
    <s v="ORD101069"/>
    <d v="2025-09-27T00:00:00"/>
    <s v="Decathlon Hyderabad"/>
    <x v="7"/>
    <x v="2"/>
    <s v="CUST1270"/>
    <s v="Male"/>
    <x v="2"/>
    <x v="1"/>
    <x v="2"/>
    <s v="Swim Cap"/>
    <x v="2"/>
    <n v="3"/>
    <n v="493.89"/>
    <n v="0.2"/>
    <n v="1185.3399999999999"/>
    <n v="691.22"/>
    <n v="494.12"/>
    <s v="Debit Card"/>
    <x v="1"/>
    <n v="3"/>
    <x v="7"/>
  </r>
  <r>
    <s v="ORD101070"/>
    <d v="2025-03-05T00:00:00"/>
    <s v="Decathlon Chennai"/>
    <x v="3"/>
    <x v="2"/>
    <s v="CUST1788"/>
    <s v="Male"/>
    <x v="3"/>
    <x v="0"/>
    <x v="1"/>
    <s v="Resistance Band"/>
    <x v="1"/>
    <n v="3"/>
    <n v="856.07"/>
    <n v="0.1"/>
    <n v="2311.39"/>
    <n v="1224.42"/>
    <n v="1086.97"/>
    <s v="Debit Card"/>
    <x v="5"/>
    <n v="5"/>
    <x v="1"/>
  </r>
  <r>
    <s v="ORD101071"/>
    <d v="2025-06-08T00:00:00"/>
    <s v="Decathlon Ahmedabad"/>
    <x v="2"/>
    <x v="1"/>
    <s v="CUST1040"/>
    <s v="Female"/>
    <x v="0"/>
    <x v="0"/>
    <x v="5"/>
    <s v="Trekking Shoes"/>
    <x v="5"/>
    <n v="4"/>
    <n v="5077.07"/>
    <n v="0.15"/>
    <n v="17262.04"/>
    <n v="13432.4"/>
    <n v="3829.64"/>
    <s v="Credit Card"/>
    <x v="9"/>
    <n v="3"/>
    <x v="11"/>
  </r>
  <r>
    <s v="ORD101072"/>
    <d v="2025-10-13T00:00:00"/>
    <s v="Decathlon Mumbai"/>
    <x v="6"/>
    <x v="1"/>
    <s v="CUST1596"/>
    <s v="Male"/>
    <x v="1"/>
    <x v="0"/>
    <x v="1"/>
    <s v="Resistance Band"/>
    <x v="2"/>
    <n v="5"/>
    <n v="869.01"/>
    <n v="0.3"/>
    <n v="3041.53"/>
    <n v="2013.75"/>
    <n v="1027.78"/>
    <s v="Net Banking"/>
    <x v="1"/>
    <n v="5"/>
    <x v="9"/>
  </r>
  <r>
    <s v="ORD101073"/>
    <d v="2025-09-11T00:00:00"/>
    <s v="Decathlon Pune"/>
    <x v="1"/>
    <x v="1"/>
    <s v="CUST1117"/>
    <s v="Male"/>
    <x v="1"/>
    <x v="0"/>
    <x v="0"/>
    <s v="Fitness Band"/>
    <x v="7"/>
    <n v="1"/>
    <n v="2589.54"/>
    <n v="0.25"/>
    <n v="1942.15"/>
    <n v="1491.18"/>
    <n v="450.97"/>
    <s v="UPI"/>
    <x v="9"/>
    <n v="5"/>
    <x v="7"/>
  </r>
  <r>
    <s v="ORD101074"/>
    <d v="2025-11-15T00:00:00"/>
    <s v="Decathlon Gurugram"/>
    <x v="8"/>
    <x v="0"/>
    <s v="CUST1703"/>
    <s v="Male"/>
    <x v="0"/>
    <x v="1"/>
    <x v="1"/>
    <s v="Yoga Block"/>
    <x v="7"/>
    <n v="5"/>
    <n v="620.23"/>
    <n v="0.25"/>
    <n v="2325.86"/>
    <n v="1308.28"/>
    <n v="1017.58"/>
    <s v="Net Banking"/>
    <x v="3"/>
    <n v="5"/>
    <x v="2"/>
  </r>
  <r>
    <s v="ORD101075"/>
    <d v="2025-08-10T00:00:00"/>
    <s v="Decathlon Jaipur"/>
    <x v="0"/>
    <x v="0"/>
    <s v="CUST1505"/>
    <s v="Female"/>
    <x v="3"/>
    <x v="2"/>
    <x v="4"/>
    <s v="Football Boots"/>
    <x v="4"/>
    <n v="2"/>
    <n v="3638.93"/>
    <n v="0.2"/>
    <n v="5822.29"/>
    <n v="4179.66"/>
    <n v="1642.63"/>
    <s v="Credit Card"/>
    <x v="5"/>
    <n v="4"/>
    <x v="3"/>
  </r>
  <r>
    <s v="ORD101076"/>
    <d v="2025-08-21T00:00:00"/>
    <s v="Decathlon Gurugram"/>
    <x v="8"/>
    <x v="0"/>
    <s v="CUST1020"/>
    <s v="Male"/>
    <x v="3"/>
    <x v="1"/>
    <x v="2"/>
    <s v="Swimming Goggles"/>
    <x v="0"/>
    <n v="4"/>
    <n v="937.73"/>
    <n v="0"/>
    <n v="3750.92"/>
    <n v="1731.9"/>
    <n v="2019.02"/>
    <s v="UPI"/>
    <x v="1"/>
    <n v="3"/>
    <x v="3"/>
  </r>
  <r>
    <s v="ORD101077"/>
    <d v="2025-07-05T00:00:00"/>
    <s v="Decathlon Mumbai"/>
    <x v="6"/>
    <x v="1"/>
    <s v="CUST1552"/>
    <s v="Female"/>
    <x v="2"/>
    <x v="1"/>
    <x v="4"/>
    <s v="Football"/>
    <x v="5"/>
    <n v="1"/>
    <n v="1260.7"/>
    <n v="0.1"/>
    <n v="1134.6300000000001"/>
    <n v="698.83"/>
    <n v="435.8"/>
    <s v="Net Banking"/>
    <x v="2"/>
    <n v="4"/>
    <x v="8"/>
  </r>
  <r>
    <s v="ORD101078"/>
    <d v="2025-09-10T00:00:00"/>
    <s v="Decathlon Mumbai"/>
    <x v="6"/>
    <x v="1"/>
    <s v="CUST1723"/>
    <s v="Female"/>
    <x v="1"/>
    <x v="1"/>
    <x v="4"/>
    <s v="Shin Guards"/>
    <x v="1"/>
    <n v="5"/>
    <n v="1021.19"/>
    <n v="0.2"/>
    <n v="4084.76"/>
    <n v="2584.5100000000002"/>
    <n v="1500.25"/>
    <s v="UPI"/>
    <x v="7"/>
    <n v="3"/>
    <x v="7"/>
  </r>
  <r>
    <s v="ORD101079"/>
    <d v="2025-09-03T00:00:00"/>
    <s v="Decathlon Delhi"/>
    <x v="9"/>
    <x v="0"/>
    <s v="CUST1468"/>
    <s v="Male"/>
    <x v="2"/>
    <x v="2"/>
    <x v="5"/>
    <s v="Trekking Shoes"/>
    <x v="6"/>
    <n v="1"/>
    <n v="5053.7"/>
    <n v="0.1"/>
    <n v="4548.33"/>
    <n v="3290.87"/>
    <n v="1257.46"/>
    <s v="UPI"/>
    <x v="7"/>
    <n v="4"/>
    <x v="7"/>
  </r>
  <r>
    <s v="ORD101080"/>
    <d v="2025-04-06T00:00:00"/>
    <s v="Decathlon Chennai"/>
    <x v="3"/>
    <x v="2"/>
    <s v="CUST1924"/>
    <s v="Female"/>
    <x v="3"/>
    <x v="2"/>
    <x v="3"/>
    <s v="Cycling Gloves"/>
    <x v="2"/>
    <n v="4"/>
    <n v="780.49"/>
    <n v="0"/>
    <n v="3121.96"/>
    <n v="1457.37"/>
    <n v="1664.59"/>
    <s v="UPI"/>
    <x v="7"/>
    <n v="3"/>
    <x v="5"/>
  </r>
  <r>
    <s v="ORD101081"/>
    <d v="2025-02-24T00:00:00"/>
    <s v="Decathlon Noida"/>
    <x v="5"/>
    <x v="0"/>
    <s v="CUST1895"/>
    <s v="Female"/>
    <x v="0"/>
    <x v="1"/>
    <x v="0"/>
    <s v="Running Shoes"/>
    <x v="3"/>
    <n v="1"/>
    <n v="3891.33"/>
    <n v="0.25"/>
    <n v="2918.5"/>
    <n v="2165.11"/>
    <n v="753.39"/>
    <s v="Net Banking"/>
    <x v="2"/>
    <n v="5"/>
    <x v="6"/>
  </r>
  <r>
    <s v="ORD101082"/>
    <d v="2025-11-14T00:00:00"/>
    <s v="Decathlon Pune"/>
    <x v="1"/>
    <x v="1"/>
    <s v="CUST1570"/>
    <s v="Male"/>
    <x v="0"/>
    <x v="1"/>
    <x v="0"/>
    <s v="Fitness Band"/>
    <x v="5"/>
    <n v="1"/>
    <n v="2612.4499999999998"/>
    <n v="0.3"/>
    <n v="1828.71"/>
    <n v="1430.11"/>
    <n v="398.6"/>
    <s v="Credit Card"/>
    <x v="4"/>
    <n v="4"/>
    <x v="2"/>
  </r>
  <r>
    <s v="ORD101083"/>
    <d v="2025-10-01T00:00:00"/>
    <s v="Decathlon Delhi"/>
    <x v="9"/>
    <x v="0"/>
    <s v="CUST1835"/>
    <s v="Female"/>
    <x v="3"/>
    <x v="0"/>
    <x v="1"/>
    <s v="Yoga Mat"/>
    <x v="6"/>
    <n v="4"/>
    <n v="1563.76"/>
    <n v="0"/>
    <n v="6255.04"/>
    <n v="2903.97"/>
    <n v="3351.07"/>
    <s v="Debit Card"/>
    <x v="9"/>
    <n v="5"/>
    <x v="9"/>
  </r>
  <r>
    <s v="ORD101084"/>
    <d v="2025-03-25T00:00:00"/>
    <s v="Decathlon Bengaluru"/>
    <x v="4"/>
    <x v="2"/>
    <s v="CUST1359"/>
    <s v="Male"/>
    <x v="0"/>
    <x v="2"/>
    <x v="5"/>
    <s v="Backpack"/>
    <x v="3"/>
    <n v="4"/>
    <n v="2866.55"/>
    <n v="0.1"/>
    <n v="10319.58"/>
    <n v="7119.82"/>
    <n v="3199.76"/>
    <s v="Credit Card"/>
    <x v="1"/>
    <n v="3"/>
    <x v="1"/>
  </r>
  <r>
    <s v="ORD101085"/>
    <d v="2025-07-19T00:00:00"/>
    <s v="Decathlon Delhi"/>
    <x v="9"/>
    <x v="0"/>
    <s v="CUST1488"/>
    <s v="Male"/>
    <x v="0"/>
    <x v="1"/>
    <x v="1"/>
    <s v="Resistance Band"/>
    <x v="6"/>
    <n v="4"/>
    <n v="927.7"/>
    <n v="0.3"/>
    <n v="2597.56"/>
    <n v="1536.42"/>
    <n v="1061.1400000000001"/>
    <s v="Credit Card"/>
    <x v="3"/>
    <n v="3"/>
    <x v="8"/>
  </r>
  <r>
    <s v="ORD101086"/>
    <d v="2025-08-09T00:00:00"/>
    <s v="Decathlon Pune"/>
    <x v="1"/>
    <x v="1"/>
    <s v="CUST1035"/>
    <s v="Male"/>
    <x v="2"/>
    <x v="2"/>
    <x v="1"/>
    <s v="Yoga Block"/>
    <x v="4"/>
    <n v="5"/>
    <n v="589.27"/>
    <n v="0.2"/>
    <n v="2357.08"/>
    <n v="1297.17"/>
    <n v="1059.9100000000001"/>
    <s v="Net Banking"/>
    <x v="2"/>
    <n v="3"/>
    <x v="3"/>
  </r>
  <r>
    <s v="ORD101087"/>
    <d v="2025-11-16T00:00:00"/>
    <s v="Decathlon Chennai"/>
    <x v="3"/>
    <x v="2"/>
    <s v="CUST1223"/>
    <s v="Female"/>
    <x v="3"/>
    <x v="1"/>
    <x v="4"/>
    <s v="Football Boots"/>
    <x v="4"/>
    <n v="5"/>
    <n v="3538.94"/>
    <n v="0.2"/>
    <n v="14155.76"/>
    <n v="10045.26"/>
    <n v="4110.5"/>
    <s v="Net Banking"/>
    <x v="3"/>
    <n v="4"/>
    <x v="2"/>
  </r>
  <r>
    <s v="ORD101088"/>
    <d v="2025-08-06T00:00:00"/>
    <s v="Decathlon Gurugram"/>
    <x v="8"/>
    <x v="0"/>
    <s v="CUST1281"/>
    <s v="Male"/>
    <x v="3"/>
    <x v="2"/>
    <x v="2"/>
    <s v="Swim Cap"/>
    <x v="3"/>
    <n v="2"/>
    <n v="513.07000000000005"/>
    <n v="0.2"/>
    <n v="820.91"/>
    <n v="461.53"/>
    <n v="359.38"/>
    <s v="Credit Card"/>
    <x v="7"/>
    <n v="4"/>
    <x v="3"/>
  </r>
  <r>
    <s v="ORD101089"/>
    <d v="2025-03-07T00:00:00"/>
    <s v="Decathlon Pune"/>
    <x v="1"/>
    <x v="1"/>
    <s v="CUST1152"/>
    <s v="Male"/>
    <x v="3"/>
    <x v="0"/>
    <x v="0"/>
    <s v="Running Shoes"/>
    <x v="0"/>
    <n v="2"/>
    <n v="4007.02"/>
    <n v="0.2"/>
    <n v="6411.23"/>
    <n v="4374.5"/>
    <n v="2036.73"/>
    <s v="Cash"/>
    <x v="8"/>
    <n v="5"/>
    <x v="1"/>
  </r>
  <r>
    <s v="ORD101090"/>
    <d v="2025-03-10T00:00:00"/>
    <s v="Decathlon Gurugram"/>
    <x v="8"/>
    <x v="0"/>
    <s v="CUST1959"/>
    <s v="Female"/>
    <x v="0"/>
    <x v="2"/>
    <x v="0"/>
    <s v="Running Shoes"/>
    <x v="3"/>
    <n v="5"/>
    <n v="4126.46"/>
    <n v="0.15"/>
    <n v="17537.45"/>
    <n v="10553.86"/>
    <n v="6983.59"/>
    <s v="Debit Card"/>
    <x v="1"/>
    <n v="3"/>
    <x v="1"/>
  </r>
  <r>
    <s v="ORD101091"/>
    <d v="2025-03-29T00:00:00"/>
    <s v="Decathlon Pune"/>
    <x v="1"/>
    <x v="1"/>
    <s v="CUST1187"/>
    <s v="Female"/>
    <x v="3"/>
    <x v="1"/>
    <x v="2"/>
    <s v="Swimsuit"/>
    <x v="1"/>
    <n v="5"/>
    <n v="1488.7"/>
    <n v="0.1"/>
    <n v="6699.15"/>
    <n v="4409.29"/>
    <n v="2289.86"/>
    <s v="Debit Card"/>
    <x v="3"/>
    <n v="4"/>
    <x v="1"/>
  </r>
  <r>
    <s v="ORD101092"/>
    <d v="2025-05-20T00:00:00"/>
    <s v="Decathlon Ahmedabad"/>
    <x v="2"/>
    <x v="1"/>
    <s v="CUST1873"/>
    <s v="Female"/>
    <x v="3"/>
    <x v="1"/>
    <x v="2"/>
    <s v="Swimsuit"/>
    <x v="6"/>
    <n v="5"/>
    <n v="1427.65"/>
    <n v="0.15"/>
    <n v="6067.51"/>
    <n v="4295.8100000000004"/>
    <n v="1771.7"/>
    <s v="Credit Card"/>
    <x v="3"/>
    <n v="3"/>
    <x v="10"/>
  </r>
  <r>
    <s v="ORD101093"/>
    <d v="2025-06-01T00:00:00"/>
    <s v="Decathlon Jaipur"/>
    <x v="0"/>
    <x v="0"/>
    <s v="CUST1873"/>
    <s v="Female"/>
    <x v="1"/>
    <x v="1"/>
    <x v="1"/>
    <s v="Yoga Block"/>
    <x v="7"/>
    <n v="2"/>
    <n v="598.69000000000005"/>
    <n v="0.05"/>
    <n v="1137.51"/>
    <n v="527.29"/>
    <n v="610.22"/>
    <s v="Debit Card"/>
    <x v="8"/>
    <n v="4"/>
    <x v="11"/>
  </r>
  <r>
    <s v="ORD101094"/>
    <d v="2025-09-12T00:00:00"/>
    <s v="Decathlon Ahmedabad"/>
    <x v="2"/>
    <x v="1"/>
    <s v="CUST1330"/>
    <s v="Male"/>
    <x v="1"/>
    <x v="0"/>
    <x v="4"/>
    <s v="Shin Guards"/>
    <x v="0"/>
    <n v="4"/>
    <n v="959.45"/>
    <n v="0.1"/>
    <n v="3454.02"/>
    <n v="1911.53"/>
    <n v="1542.49"/>
    <s v="Net Banking"/>
    <x v="1"/>
    <n v="4"/>
    <x v="7"/>
  </r>
  <r>
    <s v="ORD101095"/>
    <d v="2025-12-10T00:00:00"/>
    <s v="Decathlon Delhi"/>
    <x v="9"/>
    <x v="0"/>
    <s v="CUST1029"/>
    <s v="Male"/>
    <x v="0"/>
    <x v="0"/>
    <x v="2"/>
    <s v="Swim Cap"/>
    <x v="7"/>
    <n v="1"/>
    <n v="475.61"/>
    <n v="0"/>
    <n v="475.61"/>
    <n v="229.18"/>
    <n v="246.43"/>
    <s v="UPI"/>
    <x v="9"/>
    <n v="3"/>
    <x v="0"/>
  </r>
  <r>
    <s v="ORD101096"/>
    <d v="2025-07-18T00:00:00"/>
    <s v="Decathlon Chennai"/>
    <x v="3"/>
    <x v="2"/>
    <s v="CUST1108"/>
    <s v="Male"/>
    <x v="2"/>
    <x v="1"/>
    <x v="3"/>
    <s v="Helmet"/>
    <x v="6"/>
    <n v="2"/>
    <n v="1976.08"/>
    <n v="0.05"/>
    <n v="3754.55"/>
    <n v="2176.25"/>
    <n v="1578.3"/>
    <s v="Debit Card"/>
    <x v="4"/>
    <n v="3"/>
    <x v="8"/>
  </r>
  <r>
    <s v="ORD101097"/>
    <d v="2025-01-03T00:00:00"/>
    <s v="Decathlon Chennai"/>
    <x v="3"/>
    <x v="2"/>
    <s v="CUST1786"/>
    <s v="Female"/>
    <x v="0"/>
    <x v="2"/>
    <x v="3"/>
    <s v="Mountain Bike"/>
    <x v="3"/>
    <n v="1"/>
    <n v="25947.15"/>
    <n v="0.1"/>
    <n v="23352.44"/>
    <n v="18851.73"/>
    <n v="4500.71"/>
    <s v="Debit Card"/>
    <x v="4"/>
    <n v="3"/>
    <x v="4"/>
  </r>
  <r>
    <s v="ORD101098"/>
    <d v="2025-08-29T00:00:00"/>
    <s v="Decathlon Delhi"/>
    <x v="9"/>
    <x v="0"/>
    <s v="CUST1542"/>
    <s v="Female"/>
    <x v="1"/>
    <x v="1"/>
    <x v="5"/>
    <s v="Backpack"/>
    <x v="3"/>
    <n v="5"/>
    <n v="3027.17"/>
    <n v="0.25"/>
    <n v="11351.89"/>
    <n v="8519.43"/>
    <n v="2832.46"/>
    <s v="Cash"/>
    <x v="0"/>
    <n v="4"/>
    <x v="3"/>
  </r>
  <r>
    <s v="ORD101099"/>
    <d v="2025-05-11T00:00:00"/>
    <s v="Decathlon Delhi"/>
    <x v="9"/>
    <x v="0"/>
    <s v="CUST1792"/>
    <s v="Female"/>
    <x v="0"/>
    <x v="2"/>
    <x v="1"/>
    <s v="Yoga Block"/>
    <x v="3"/>
    <n v="4"/>
    <n v="613.83000000000004"/>
    <n v="0.25"/>
    <n v="1841.49"/>
    <n v="1029.96"/>
    <n v="811.53"/>
    <s v="Credit Card"/>
    <x v="0"/>
    <n v="5"/>
    <x v="10"/>
  </r>
  <r>
    <s v="ORD101100"/>
    <d v="2025-07-21T00:00:00"/>
    <s v="Decathlon Gurugram"/>
    <x v="8"/>
    <x v="0"/>
    <s v="CUST1946"/>
    <s v="Male"/>
    <x v="3"/>
    <x v="2"/>
    <x v="0"/>
    <s v="Running T-Shirt"/>
    <x v="4"/>
    <n v="2"/>
    <n v="1031.5999999999999"/>
    <n v="0.1"/>
    <n v="1856.88"/>
    <n v="916.27"/>
    <n v="940.61"/>
    <s v="Net Banking"/>
    <x v="5"/>
    <n v="5"/>
    <x v="8"/>
  </r>
  <r>
    <s v="ORD101101"/>
    <d v="2025-12-31T00:00:00"/>
    <s v="Decathlon Chennai"/>
    <x v="3"/>
    <x v="2"/>
    <s v="CUST1690"/>
    <s v="Male"/>
    <x v="0"/>
    <x v="2"/>
    <x v="1"/>
    <s v="Yoga Block"/>
    <x v="7"/>
    <n v="1"/>
    <n v="579.61"/>
    <n v="0.3"/>
    <n v="405.73"/>
    <n v="253.07"/>
    <n v="152.66"/>
    <s v="Net Banking"/>
    <x v="3"/>
    <n v="5"/>
    <x v="0"/>
  </r>
  <r>
    <s v="ORD101102"/>
    <d v="2025-02-10T00:00:00"/>
    <s v="Decathlon Hyderabad"/>
    <x v="7"/>
    <x v="2"/>
    <s v="CUST1119"/>
    <s v="Male"/>
    <x v="3"/>
    <x v="1"/>
    <x v="4"/>
    <s v="Football Boots"/>
    <x v="0"/>
    <n v="4"/>
    <n v="3574.85"/>
    <n v="0.25"/>
    <n v="10724.55"/>
    <n v="8634.58"/>
    <n v="2089.9699999999998"/>
    <s v="Cash"/>
    <x v="5"/>
    <n v="3"/>
    <x v="6"/>
  </r>
  <r>
    <s v="ORD101103"/>
    <d v="2025-03-30T00:00:00"/>
    <s v="Decathlon Pune"/>
    <x v="1"/>
    <x v="1"/>
    <s v="CUST1344"/>
    <s v="Male"/>
    <x v="2"/>
    <x v="2"/>
    <x v="0"/>
    <s v="Fitness Band"/>
    <x v="0"/>
    <n v="1"/>
    <n v="2581.48"/>
    <n v="0.05"/>
    <n v="2452.41"/>
    <n v="1532.31"/>
    <n v="920.1"/>
    <s v="UPI"/>
    <x v="3"/>
    <n v="4"/>
    <x v="1"/>
  </r>
  <r>
    <s v="ORD101104"/>
    <d v="2025-08-23T00:00:00"/>
    <s v="Decathlon Hyderabad"/>
    <x v="7"/>
    <x v="2"/>
    <s v="CUST1908"/>
    <s v="Female"/>
    <x v="1"/>
    <x v="0"/>
    <x v="1"/>
    <s v="Yoga Block"/>
    <x v="3"/>
    <n v="4"/>
    <n v="575.66"/>
    <n v="0"/>
    <n v="2302.64"/>
    <n v="1024.69"/>
    <n v="1277.95"/>
    <s v="Credit Card"/>
    <x v="3"/>
    <n v="5"/>
    <x v="3"/>
  </r>
  <r>
    <s v="ORD101105"/>
    <d v="2025-12-09T00:00:00"/>
    <s v="Decathlon Gurugram"/>
    <x v="8"/>
    <x v="0"/>
    <s v="CUST1809"/>
    <s v="Male"/>
    <x v="1"/>
    <x v="2"/>
    <x v="5"/>
    <s v="Backpack"/>
    <x v="1"/>
    <n v="3"/>
    <n v="2928.35"/>
    <n v="0.15"/>
    <n v="7467.29"/>
    <n v="5244.2"/>
    <n v="2223.09"/>
    <s v="UPI"/>
    <x v="3"/>
    <n v="4"/>
    <x v="0"/>
  </r>
  <r>
    <s v="ORD101106"/>
    <d v="2025-01-30T00:00:00"/>
    <s v="Decathlon Chennai"/>
    <x v="3"/>
    <x v="2"/>
    <s v="CUST1541"/>
    <s v="Male"/>
    <x v="2"/>
    <x v="2"/>
    <x v="2"/>
    <s v="Swimming Goggles"/>
    <x v="6"/>
    <n v="5"/>
    <n v="891.97"/>
    <n v="0"/>
    <n v="4459.8500000000004"/>
    <n v="2313.75"/>
    <n v="2146.1"/>
    <s v="UPI"/>
    <x v="3"/>
    <n v="5"/>
    <x v="4"/>
  </r>
  <r>
    <s v="ORD101107"/>
    <d v="2025-08-21T00:00:00"/>
    <s v="Decathlon Gurugram"/>
    <x v="8"/>
    <x v="0"/>
    <s v="CUST1714"/>
    <s v="Male"/>
    <x v="0"/>
    <x v="2"/>
    <x v="1"/>
    <s v="Yoga Mat"/>
    <x v="2"/>
    <n v="4"/>
    <n v="1474.51"/>
    <n v="0.25"/>
    <n v="4423.53"/>
    <n v="2914.79"/>
    <n v="1508.74"/>
    <s v="Cash"/>
    <x v="0"/>
    <n v="5"/>
    <x v="3"/>
  </r>
  <r>
    <s v="ORD101108"/>
    <d v="2025-01-22T00:00:00"/>
    <s v="Decathlon Chennai"/>
    <x v="3"/>
    <x v="2"/>
    <s v="CUST1022"/>
    <s v="Female"/>
    <x v="1"/>
    <x v="0"/>
    <x v="2"/>
    <s v="Swim Cap"/>
    <x v="5"/>
    <n v="4"/>
    <n v="483.14"/>
    <n v="0"/>
    <n v="1932.56"/>
    <n v="878.84"/>
    <n v="1053.72"/>
    <s v="Cash"/>
    <x v="4"/>
    <n v="5"/>
    <x v="4"/>
  </r>
  <r>
    <s v="ORD101109"/>
    <d v="2025-06-27T00:00:00"/>
    <s v="Decathlon Pune"/>
    <x v="1"/>
    <x v="1"/>
    <s v="CUST1922"/>
    <s v="Female"/>
    <x v="1"/>
    <x v="2"/>
    <x v="0"/>
    <s v="Running Shoes"/>
    <x v="5"/>
    <n v="4"/>
    <n v="3893.28"/>
    <n v="0.05"/>
    <n v="14794.46"/>
    <n v="9135.02"/>
    <n v="5659.44"/>
    <s v="UPI"/>
    <x v="4"/>
    <n v="4"/>
    <x v="11"/>
  </r>
  <r>
    <s v="ORD101110"/>
    <d v="2025-09-02T00:00:00"/>
    <s v="Decathlon Delhi"/>
    <x v="9"/>
    <x v="0"/>
    <s v="CUST1871"/>
    <s v="Male"/>
    <x v="0"/>
    <x v="0"/>
    <x v="4"/>
    <s v="Football Boots"/>
    <x v="3"/>
    <n v="2"/>
    <n v="3623.63"/>
    <n v="0.15"/>
    <n v="6160.17"/>
    <n v="4364.88"/>
    <n v="1795.29"/>
    <s v="UPI"/>
    <x v="0"/>
    <n v="5"/>
    <x v="7"/>
  </r>
  <r>
    <s v="ORD101111"/>
    <d v="2025-09-10T00:00:00"/>
    <s v="Decathlon Ahmedabad"/>
    <x v="2"/>
    <x v="1"/>
    <s v="CUST1071"/>
    <s v="Female"/>
    <x v="2"/>
    <x v="1"/>
    <x v="1"/>
    <s v="Yoga Block"/>
    <x v="7"/>
    <n v="5"/>
    <n v="628.47"/>
    <n v="0.2"/>
    <n v="2513.88"/>
    <n v="1283.8800000000001"/>
    <n v="1230"/>
    <s v="UPI"/>
    <x v="6"/>
    <n v="3"/>
    <x v="7"/>
  </r>
  <r>
    <s v="ORD101112"/>
    <d v="2025-10-03T00:00:00"/>
    <s v="Decathlon Delhi"/>
    <x v="9"/>
    <x v="0"/>
    <s v="CUST1743"/>
    <s v="Male"/>
    <x v="2"/>
    <x v="0"/>
    <x v="4"/>
    <s v="Football"/>
    <x v="1"/>
    <n v="5"/>
    <n v="1307.2"/>
    <n v="0.1"/>
    <n v="5882.4"/>
    <n v="3424.74"/>
    <n v="2457.66"/>
    <s v="Credit Card"/>
    <x v="5"/>
    <n v="4"/>
    <x v="9"/>
  </r>
  <r>
    <s v="ORD101113"/>
    <d v="2025-06-19T00:00:00"/>
    <s v="Decathlon Mumbai"/>
    <x v="6"/>
    <x v="1"/>
    <s v="CUST1266"/>
    <s v="Female"/>
    <x v="2"/>
    <x v="1"/>
    <x v="5"/>
    <s v="Backpack"/>
    <x v="1"/>
    <n v="5"/>
    <n v="3070.95"/>
    <n v="0.15"/>
    <n v="13051.54"/>
    <n v="8876.14"/>
    <n v="4175.3999999999996"/>
    <s v="Net Banking"/>
    <x v="8"/>
    <n v="3"/>
    <x v="11"/>
  </r>
  <r>
    <s v="ORD101114"/>
    <d v="2025-05-27T00:00:00"/>
    <s v="Decathlon Chennai"/>
    <x v="3"/>
    <x v="2"/>
    <s v="CUST1777"/>
    <s v="Female"/>
    <x v="0"/>
    <x v="2"/>
    <x v="1"/>
    <s v="Resistance Band"/>
    <x v="3"/>
    <n v="1"/>
    <n v="915.81"/>
    <n v="0.05"/>
    <n v="870.02"/>
    <n v="403.16"/>
    <n v="466.86"/>
    <s v="UPI"/>
    <x v="3"/>
    <n v="3"/>
    <x v="10"/>
  </r>
  <r>
    <s v="ORD101115"/>
    <d v="2025-06-16T00:00:00"/>
    <s v="Decathlon Chennai"/>
    <x v="3"/>
    <x v="2"/>
    <s v="CUST1775"/>
    <s v="Female"/>
    <x v="1"/>
    <x v="1"/>
    <x v="0"/>
    <s v="Fitness Band"/>
    <x v="6"/>
    <n v="5"/>
    <n v="2387.2800000000002"/>
    <n v="0.3"/>
    <n v="8355.48"/>
    <n v="7863.28"/>
    <n v="492.2"/>
    <s v="UPI"/>
    <x v="0"/>
    <n v="4"/>
    <x v="11"/>
  </r>
  <r>
    <s v="ORD101116"/>
    <d v="2025-09-22T00:00:00"/>
    <s v="Decathlon Bengaluru"/>
    <x v="4"/>
    <x v="2"/>
    <s v="CUST1662"/>
    <s v="Female"/>
    <x v="1"/>
    <x v="2"/>
    <x v="4"/>
    <s v="Football"/>
    <x v="3"/>
    <n v="5"/>
    <n v="1335.19"/>
    <n v="0"/>
    <n v="6675.95"/>
    <n v="3425.94"/>
    <n v="3250.01"/>
    <s v="UPI"/>
    <x v="2"/>
    <n v="5"/>
    <x v="7"/>
  </r>
  <r>
    <s v="ORD101117"/>
    <d v="2025-05-18T00:00:00"/>
    <s v="Decathlon Delhi"/>
    <x v="9"/>
    <x v="0"/>
    <s v="CUST1074"/>
    <s v="Male"/>
    <x v="3"/>
    <x v="1"/>
    <x v="2"/>
    <s v="Swimsuit"/>
    <x v="1"/>
    <n v="3"/>
    <n v="1528.27"/>
    <n v="0.15"/>
    <n v="3897.09"/>
    <n v="2579.6"/>
    <n v="1317.49"/>
    <s v="Debit Card"/>
    <x v="1"/>
    <n v="5"/>
    <x v="10"/>
  </r>
  <r>
    <s v="ORD101118"/>
    <d v="2025-03-13T00:00:00"/>
    <s v="Decathlon Gurugram"/>
    <x v="8"/>
    <x v="0"/>
    <s v="CUST1839"/>
    <s v="Female"/>
    <x v="3"/>
    <x v="0"/>
    <x v="3"/>
    <s v="Helmet"/>
    <x v="6"/>
    <n v="3"/>
    <n v="2048.71"/>
    <n v="0.15"/>
    <n v="5224.21"/>
    <n v="3141.35"/>
    <n v="2082.86"/>
    <s v="Net Banking"/>
    <x v="8"/>
    <n v="4"/>
    <x v="1"/>
  </r>
  <r>
    <s v="ORD101119"/>
    <d v="2025-03-05T00:00:00"/>
    <s v="Decathlon Pune"/>
    <x v="1"/>
    <x v="1"/>
    <s v="CUST1667"/>
    <s v="Female"/>
    <x v="0"/>
    <x v="2"/>
    <x v="1"/>
    <s v="Resistance Band"/>
    <x v="6"/>
    <n v="5"/>
    <n v="899.15"/>
    <n v="0.2"/>
    <n v="3596.6"/>
    <n v="1996.81"/>
    <n v="1599.79"/>
    <s v="Cash"/>
    <x v="6"/>
    <n v="3"/>
    <x v="1"/>
  </r>
  <r>
    <s v="ORD101120"/>
    <d v="2025-07-31T00:00:00"/>
    <s v="Decathlon Noida"/>
    <x v="5"/>
    <x v="0"/>
    <s v="CUST1117"/>
    <s v="Male"/>
    <x v="3"/>
    <x v="1"/>
    <x v="1"/>
    <s v="Yoga Mat"/>
    <x v="7"/>
    <n v="4"/>
    <n v="1469.06"/>
    <n v="0.15"/>
    <n v="4994.8"/>
    <n v="2848.03"/>
    <n v="2146.77"/>
    <s v="Debit Card"/>
    <x v="5"/>
    <n v="4"/>
    <x v="8"/>
  </r>
  <r>
    <s v="ORD101121"/>
    <d v="2025-04-15T00:00:00"/>
    <s v="Decathlon Bengaluru"/>
    <x v="4"/>
    <x v="2"/>
    <s v="CUST1689"/>
    <s v="Female"/>
    <x v="2"/>
    <x v="2"/>
    <x v="0"/>
    <s v="Running T-Shirt"/>
    <x v="3"/>
    <n v="4"/>
    <n v="1045.98"/>
    <n v="0.3"/>
    <n v="2928.74"/>
    <n v="1868.28"/>
    <n v="1060.46"/>
    <s v="Cash"/>
    <x v="0"/>
    <n v="3"/>
    <x v="5"/>
  </r>
  <r>
    <s v="ORD101122"/>
    <d v="2025-02-02T00:00:00"/>
    <s v="Decathlon Jaipur"/>
    <x v="0"/>
    <x v="0"/>
    <s v="CUST1997"/>
    <s v="Female"/>
    <x v="1"/>
    <x v="0"/>
    <x v="0"/>
    <s v="Fitness Band"/>
    <x v="7"/>
    <n v="4"/>
    <n v="2494.85"/>
    <n v="0.2"/>
    <n v="7983.52"/>
    <n v="5843.9"/>
    <n v="2139.62"/>
    <s v="Credit Card"/>
    <x v="5"/>
    <n v="3"/>
    <x v="6"/>
  </r>
  <r>
    <s v="ORD101123"/>
    <d v="2025-05-27T00:00:00"/>
    <s v="Decathlon Jaipur"/>
    <x v="0"/>
    <x v="0"/>
    <s v="CUST1457"/>
    <s v="Female"/>
    <x v="1"/>
    <x v="1"/>
    <x v="4"/>
    <s v="Football"/>
    <x v="4"/>
    <n v="2"/>
    <n v="1344.58"/>
    <n v="0.1"/>
    <n v="2420.2399999999998"/>
    <n v="1365.65"/>
    <n v="1054.5899999999999"/>
    <s v="Credit Card"/>
    <x v="6"/>
    <n v="5"/>
    <x v="10"/>
  </r>
  <r>
    <s v="ORD101124"/>
    <d v="2025-11-18T00:00:00"/>
    <s v="Decathlon Delhi"/>
    <x v="9"/>
    <x v="0"/>
    <s v="CUST1334"/>
    <s v="Male"/>
    <x v="0"/>
    <x v="1"/>
    <x v="1"/>
    <s v="Yoga Mat"/>
    <x v="2"/>
    <n v="3"/>
    <n v="1452.17"/>
    <n v="0.15"/>
    <n v="3703.03"/>
    <n v="2048.92"/>
    <n v="1654.11"/>
    <s v="Net Banking"/>
    <x v="3"/>
    <n v="5"/>
    <x v="2"/>
  </r>
  <r>
    <s v="ORD101125"/>
    <d v="2025-10-26T00:00:00"/>
    <s v="Decathlon Hyderabad"/>
    <x v="7"/>
    <x v="2"/>
    <s v="CUST1787"/>
    <s v="Male"/>
    <x v="1"/>
    <x v="2"/>
    <x v="1"/>
    <s v="Yoga Block"/>
    <x v="2"/>
    <n v="5"/>
    <n v="581.87"/>
    <n v="0.15"/>
    <n v="2472.9499999999998"/>
    <n v="1244.1500000000001"/>
    <n v="1228.8"/>
    <s v="Net Banking"/>
    <x v="1"/>
    <n v="3"/>
    <x v="9"/>
  </r>
  <r>
    <s v="ORD101126"/>
    <d v="2025-06-24T00:00:00"/>
    <s v="Decathlon Chennai"/>
    <x v="3"/>
    <x v="2"/>
    <s v="CUST1214"/>
    <s v="Female"/>
    <x v="2"/>
    <x v="2"/>
    <x v="1"/>
    <s v="Resistance Band"/>
    <x v="3"/>
    <n v="2"/>
    <n v="916.78"/>
    <n v="0.3"/>
    <n v="1283.49"/>
    <n v="760.91"/>
    <n v="522.58000000000004"/>
    <s v="Cash"/>
    <x v="6"/>
    <n v="3"/>
    <x v="11"/>
  </r>
  <r>
    <s v="ORD101127"/>
    <d v="2025-01-13T00:00:00"/>
    <s v="Decathlon Bengaluru"/>
    <x v="4"/>
    <x v="2"/>
    <s v="CUST1828"/>
    <s v="Male"/>
    <x v="2"/>
    <x v="0"/>
    <x v="5"/>
    <s v="Water Bottle"/>
    <x v="1"/>
    <n v="3"/>
    <n v="713.54"/>
    <n v="0.15"/>
    <n v="1819.53"/>
    <n v="728.68"/>
    <n v="1090.8499999999999"/>
    <s v="Credit Card"/>
    <x v="1"/>
    <n v="3"/>
    <x v="4"/>
  </r>
  <r>
    <s v="ORD101128"/>
    <d v="2025-05-15T00:00:00"/>
    <s v="Decathlon Mumbai"/>
    <x v="6"/>
    <x v="1"/>
    <s v="CUST1007"/>
    <s v="Female"/>
    <x v="1"/>
    <x v="0"/>
    <x v="4"/>
    <s v="Football Boots"/>
    <x v="1"/>
    <n v="3"/>
    <n v="3576.98"/>
    <n v="0.05"/>
    <n v="10194.39"/>
    <n v="6151.88"/>
    <n v="4042.51"/>
    <s v="UPI"/>
    <x v="3"/>
    <n v="4"/>
    <x v="10"/>
  </r>
  <r>
    <s v="ORD101129"/>
    <d v="2025-04-09T00:00:00"/>
    <s v="Decathlon Noida"/>
    <x v="5"/>
    <x v="0"/>
    <s v="CUST1733"/>
    <s v="Female"/>
    <x v="1"/>
    <x v="0"/>
    <x v="0"/>
    <s v="Running T-Shirt"/>
    <x v="6"/>
    <n v="5"/>
    <n v="988.57"/>
    <n v="0.3"/>
    <n v="3459.99"/>
    <n v="2314.86"/>
    <n v="1145.1300000000001"/>
    <s v="UPI"/>
    <x v="2"/>
    <n v="5"/>
    <x v="5"/>
  </r>
  <r>
    <s v="ORD101130"/>
    <d v="2025-04-01T00:00:00"/>
    <s v="Decathlon Chennai"/>
    <x v="3"/>
    <x v="2"/>
    <s v="CUST1734"/>
    <s v="Female"/>
    <x v="1"/>
    <x v="1"/>
    <x v="2"/>
    <s v="Swim Cap"/>
    <x v="4"/>
    <n v="4"/>
    <n v="519.20000000000005"/>
    <n v="0.3"/>
    <n v="1453.76"/>
    <n v="842.24"/>
    <n v="611.52"/>
    <s v="Credit Card"/>
    <x v="1"/>
    <n v="3"/>
    <x v="5"/>
  </r>
  <r>
    <s v="ORD101131"/>
    <d v="2025-04-16T00:00:00"/>
    <s v="Decathlon Hyderabad"/>
    <x v="7"/>
    <x v="2"/>
    <s v="CUST1218"/>
    <s v="Male"/>
    <x v="1"/>
    <x v="0"/>
    <x v="1"/>
    <s v="Yoga Mat"/>
    <x v="2"/>
    <n v="3"/>
    <n v="1521.8"/>
    <n v="0.2"/>
    <n v="3652.32"/>
    <n v="2025.87"/>
    <n v="1626.45"/>
    <s v="Debit Card"/>
    <x v="8"/>
    <n v="3"/>
    <x v="5"/>
  </r>
  <r>
    <s v="ORD101132"/>
    <d v="2025-11-11T00:00:00"/>
    <s v="Decathlon Ahmedabad"/>
    <x v="2"/>
    <x v="1"/>
    <s v="CUST1204"/>
    <s v="Female"/>
    <x v="2"/>
    <x v="0"/>
    <x v="3"/>
    <s v="Helmet"/>
    <x v="2"/>
    <n v="5"/>
    <n v="2033.07"/>
    <n v="0.05"/>
    <n v="9657.08"/>
    <n v="5440.45"/>
    <n v="4216.63"/>
    <s v="Net Banking"/>
    <x v="8"/>
    <n v="4"/>
    <x v="2"/>
  </r>
  <r>
    <s v="ORD101133"/>
    <d v="2025-05-02T00:00:00"/>
    <s v="Decathlon Ahmedabad"/>
    <x v="2"/>
    <x v="1"/>
    <s v="CUST1318"/>
    <s v="Female"/>
    <x v="0"/>
    <x v="0"/>
    <x v="2"/>
    <s v="Swim Cap"/>
    <x v="2"/>
    <n v="4"/>
    <n v="490.54"/>
    <n v="0.3"/>
    <n v="1373.51"/>
    <n v="848.85"/>
    <n v="524.66"/>
    <s v="Debit Card"/>
    <x v="4"/>
    <n v="4"/>
    <x v="10"/>
  </r>
  <r>
    <s v="ORD101134"/>
    <d v="2025-05-26T00:00:00"/>
    <s v="Decathlon Hyderabad"/>
    <x v="7"/>
    <x v="2"/>
    <s v="CUST1627"/>
    <s v="Female"/>
    <x v="0"/>
    <x v="1"/>
    <x v="2"/>
    <s v="Swimming Goggles"/>
    <x v="3"/>
    <n v="1"/>
    <n v="909.95"/>
    <n v="0.1"/>
    <n v="818.96"/>
    <n v="457.87"/>
    <n v="361.09"/>
    <s v="Cash"/>
    <x v="0"/>
    <n v="5"/>
    <x v="10"/>
  </r>
  <r>
    <s v="ORD101135"/>
    <d v="2025-01-09T00:00:00"/>
    <s v="Decathlon Ahmedabad"/>
    <x v="2"/>
    <x v="1"/>
    <s v="CUST1228"/>
    <s v="Female"/>
    <x v="2"/>
    <x v="0"/>
    <x v="5"/>
    <s v="Backpack"/>
    <x v="4"/>
    <n v="5"/>
    <n v="3037.53"/>
    <n v="0.3"/>
    <n v="10631.35"/>
    <n v="8679.7099999999991"/>
    <n v="1951.64"/>
    <s v="Debit Card"/>
    <x v="3"/>
    <n v="3"/>
    <x v="4"/>
  </r>
  <r>
    <s v="ORD101136"/>
    <d v="2025-09-22T00:00:00"/>
    <s v="Decathlon Noida"/>
    <x v="5"/>
    <x v="0"/>
    <s v="CUST1063"/>
    <s v="Male"/>
    <x v="3"/>
    <x v="2"/>
    <x v="5"/>
    <s v="Trekking Shoes"/>
    <x v="3"/>
    <n v="4"/>
    <n v="5172.79"/>
    <n v="0"/>
    <n v="20691.16"/>
    <n v="13311.18"/>
    <n v="7379.98"/>
    <s v="UPI"/>
    <x v="9"/>
    <n v="3"/>
    <x v="7"/>
  </r>
  <r>
    <s v="ORD101137"/>
    <d v="2025-08-11T00:00:00"/>
    <s v="Decathlon Mumbai"/>
    <x v="6"/>
    <x v="1"/>
    <s v="CUST1450"/>
    <s v="Female"/>
    <x v="3"/>
    <x v="0"/>
    <x v="1"/>
    <s v="Resistance Band"/>
    <x v="3"/>
    <n v="2"/>
    <n v="859.9"/>
    <n v="0.15"/>
    <n v="1461.83"/>
    <n v="803.13"/>
    <n v="658.7"/>
    <s v="Debit Card"/>
    <x v="3"/>
    <n v="5"/>
    <x v="3"/>
  </r>
  <r>
    <s v="ORD101138"/>
    <d v="2025-05-02T00:00:00"/>
    <s v="Decathlon Gurugram"/>
    <x v="8"/>
    <x v="0"/>
    <s v="CUST1332"/>
    <s v="Male"/>
    <x v="3"/>
    <x v="2"/>
    <x v="0"/>
    <s v="Running T-Shirt"/>
    <x v="2"/>
    <n v="4"/>
    <n v="998.37"/>
    <n v="0.05"/>
    <n v="3793.81"/>
    <n v="1734.74"/>
    <n v="2059.0700000000002"/>
    <s v="Cash"/>
    <x v="9"/>
    <n v="4"/>
    <x v="10"/>
  </r>
  <r>
    <s v="ORD101139"/>
    <d v="2025-05-03T00:00:00"/>
    <s v="Decathlon Jaipur"/>
    <x v="0"/>
    <x v="0"/>
    <s v="CUST1055"/>
    <s v="Female"/>
    <x v="3"/>
    <x v="1"/>
    <x v="0"/>
    <s v="Running T-Shirt"/>
    <x v="3"/>
    <n v="1"/>
    <n v="960.83"/>
    <n v="0"/>
    <n v="960.83"/>
    <n v="441.17"/>
    <n v="519.66"/>
    <s v="Net Banking"/>
    <x v="9"/>
    <n v="4"/>
    <x v="10"/>
  </r>
  <r>
    <s v="ORD101140"/>
    <d v="2025-04-04T00:00:00"/>
    <s v="Decathlon Noida"/>
    <x v="5"/>
    <x v="0"/>
    <s v="CUST1308"/>
    <s v="Female"/>
    <x v="1"/>
    <x v="2"/>
    <x v="1"/>
    <s v="Resistance Band"/>
    <x v="5"/>
    <n v="3"/>
    <n v="929.73"/>
    <n v="0.15"/>
    <n v="2370.81"/>
    <n v="1151.48"/>
    <n v="1219.33"/>
    <s v="Cash"/>
    <x v="0"/>
    <n v="3"/>
    <x v="5"/>
  </r>
  <r>
    <s v="ORD101141"/>
    <d v="2025-04-29T00:00:00"/>
    <s v="Decathlon Delhi"/>
    <x v="9"/>
    <x v="0"/>
    <s v="CUST1386"/>
    <s v="Female"/>
    <x v="1"/>
    <x v="2"/>
    <x v="3"/>
    <s v="Helmet"/>
    <x v="7"/>
    <n v="3"/>
    <n v="2055.6799999999998"/>
    <n v="0.1"/>
    <n v="5550.34"/>
    <n v="3409.23"/>
    <n v="2141.11"/>
    <s v="Cash"/>
    <x v="5"/>
    <n v="3"/>
    <x v="5"/>
  </r>
  <r>
    <s v="ORD101142"/>
    <d v="2025-02-22T00:00:00"/>
    <s v="Decathlon Mumbai"/>
    <x v="6"/>
    <x v="1"/>
    <s v="CUST1308"/>
    <s v="Male"/>
    <x v="3"/>
    <x v="1"/>
    <x v="3"/>
    <s v="Mountain Bike"/>
    <x v="3"/>
    <n v="4"/>
    <n v="25992.86"/>
    <n v="0.25"/>
    <n v="77978.58"/>
    <n v="74553.55"/>
    <n v="3425.03"/>
    <s v="Debit Card"/>
    <x v="8"/>
    <n v="3"/>
    <x v="6"/>
  </r>
  <r>
    <s v="ORD101143"/>
    <d v="2025-07-04T00:00:00"/>
    <s v="Decathlon Noida"/>
    <x v="5"/>
    <x v="0"/>
    <s v="CUST1983"/>
    <s v="Female"/>
    <x v="2"/>
    <x v="0"/>
    <x v="0"/>
    <s v="Running Shoes"/>
    <x v="6"/>
    <n v="2"/>
    <n v="4096.46"/>
    <n v="0.25"/>
    <n v="6144.69"/>
    <n v="4290.4399999999996"/>
    <n v="1854.25"/>
    <s v="Cash"/>
    <x v="7"/>
    <n v="5"/>
    <x v="8"/>
  </r>
  <r>
    <s v="ORD101144"/>
    <d v="2025-12-30T00:00:00"/>
    <s v="Decathlon Noida"/>
    <x v="5"/>
    <x v="0"/>
    <s v="CUST1951"/>
    <s v="Male"/>
    <x v="1"/>
    <x v="0"/>
    <x v="3"/>
    <s v="Helmet"/>
    <x v="4"/>
    <n v="4"/>
    <n v="2078.4"/>
    <n v="0.25"/>
    <n v="6235.2"/>
    <n v="4419.47"/>
    <n v="1815.73"/>
    <s v="Debit Card"/>
    <x v="5"/>
    <n v="5"/>
    <x v="0"/>
  </r>
  <r>
    <s v="ORD101145"/>
    <d v="2025-08-04T00:00:00"/>
    <s v="Decathlon Delhi"/>
    <x v="9"/>
    <x v="0"/>
    <s v="CUST1108"/>
    <s v="Female"/>
    <x v="0"/>
    <x v="2"/>
    <x v="3"/>
    <s v="Helmet"/>
    <x v="4"/>
    <n v="1"/>
    <n v="2066.86"/>
    <n v="0.05"/>
    <n v="1963.52"/>
    <n v="1064.7"/>
    <n v="898.82"/>
    <s v="Debit Card"/>
    <x v="9"/>
    <n v="3"/>
    <x v="3"/>
  </r>
  <r>
    <s v="ORD101146"/>
    <d v="2025-09-26T00:00:00"/>
    <s v="Decathlon Ahmedabad"/>
    <x v="2"/>
    <x v="1"/>
    <s v="CUST1653"/>
    <s v="Female"/>
    <x v="1"/>
    <x v="1"/>
    <x v="3"/>
    <s v="Helmet"/>
    <x v="4"/>
    <n v="5"/>
    <n v="1957.42"/>
    <n v="0.05"/>
    <n v="9297.75"/>
    <n v="5580.76"/>
    <n v="3716.99"/>
    <s v="Credit Card"/>
    <x v="4"/>
    <n v="5"/>
    <x v="7"/>
  </r>
  <r>
    <s v="ORD101147"/>
    <d v="2025-07-23T00:00:00"/>
    <s v="Decathlon Jaipur"/>
    <x v="0"/>
    <x v="0"/>
    <s v="CUST1688"/>
    <s v="Female"/>
    <x v="3"/>
    <x v="1"/>
    <x v="0"/>
    <s v="Running T-Shirt"/>
    <x v="1"/>
    <n v="1"/>
    <n v="951.42"/>
    <n v="0.3"/>
    <n v="665.99"/>
    <n v="452.92"/>
    <n v="213.07"/>
    <s v="Net Banking"/>
    <x v="9"/>
    <n v="3"/>
    <x v="8"/>
  </r>
  <r>
    <s v="ORD101148"/>
    <d v="2025-06-30T00:00:00"/>
    <s v="Decathlon Noida"/>
    <x v="5"/>
    <x v="0"/>
    <s v="CUST1883"/>
    <s v="Female"/>
    <x v="0"/>
    <x v="2"/>
    <x v="1"/>
    <s v="Yoga Mat"/>
    <x v="5"/>
    <n v="2"/>
    <n v="1504.44"/>
    <n v="0.15"/>
    <n v="2557.5500000000002"/>
    <n v="1442.94"/>
    <n v="1114.6099999999999"/>
    <s v="Cash"/>
    <x v="1"/>
    <n v="5"/>
    <x v="11"/>
  </r>
  <r>
    <s v="ORD101149"/>
    <d v="2025-10-29T00:00:00"/>
    <s v="Decathlon Pune"/>
    <x v="1"/>
    <x v="1"/>
    <s v="CUST1156"/>
    <s v="Female"/>
    <x v="2"/>
    <x v="2"/>
    <x v="5"/>
    <s v="Backpack"/>
    <x v="0"/>
    <n v="1"/>
    <n v="2956.01"/>
    <n v="0.15"/>
    <n v="2512.61"/>
    <n v="1667.57"/>
    <n v="845.04"/>
    <s v="Credit Card"/>
    <x v="9"/>
    <n v="3"/>
    <x v="9"/>
  </r>
  <r>
    <s v="ORD101150"/>
    <d v="2025-10-10T00:00:00"/>
    <s v="Decathlon Ahmedabad"/>
    <x v="2"/>
    <x v="1"/>
    <s v="CUST1627"/>
    <s v="Female"/>
    <x v="3"/>
    <x v="2"/>
    <x v="1"/>
    <s v="Yoga Mat"/>
    <x v="6"/>
    <n v="3"/>
    <n v="1451.25"/>
    <n v="0.3"/>
    <n v="3047.62"/>
    <n v="2129.33"/>
    <n v="918.29"/>
    <s v="Credit Card"/>
    <x v="1"/>
    <n v="5"/>
    <x v="9"/>
  </r>
  <r>
    <s v="ORD101151"/>
    <d v="2025-06-25T00:00:00"/>
    <s v="Decathlon Ahmedabad"/>
    <x v="2"/>
    <x v="1"/>
    <s v="CUST1122"/>
    <s v="Female"/>
    <x v="2"/>
    <x v="2"/>
    <x v="5"/>
    <s v="Backpack"/>
    <x v="5"/>
    <n v="3"/>
    <n v="2885.97"/>
    <n v="0.2"/>
    <n v="6926.33"/>
    <n v="5054.79"/>
    <n v="1871.54"/>
    <s v="UPI"/>
    <x v="9"/>
    <n v="4"/>
    <x v="11"/>
  </r>
  <r>
    <s v="ORD101152"/>
    <d v="2025-06-23T00:00:00"/>
    <s v="Decathlon Ahmedabad"/>
    <x v="2"/>
    <x v="1"/>
    <s v="CUST1783"/>
    <s v="Female"/>
    <x v="2"/>
    <x v="0"/>
    <x v="3"/>
    <s v="Helmet"/>
    <x v="4"/>
    <n v="5"/>
    <n v="2083.14"/>
    <n v="0.1"/>
    <n v="9374.1299999999992"/>
    <n v="5519.35"/>
    <n v="3854.78"/>
    <s v="Net Banking"/>
    <x v="4"/>
    <n v="3"/>
    <x v="11"/>
  </r>
  <r>
    <s v="ORD101153"/>
    <d v="2025-12-09T00:00:00"/>
    <s v="Decathlon Bengaluru"/>
    <x v="4"/>
    <x v="2"/>
    <s v="CUST1425"/>
    <s v="Female"/>
    <x v="2"/>
    <x v="2"/>
    <x v="5"/>
    <s v="Water Bottle"/>
    <x v="5"/>
    <n v="5"/>
    <n v="668.51"/>
    <n v="0.3"/>
    <n v="2339.7800000000002"/>
    <n v="1249.72"/>
    <n v="1090.06"/>
    <s v="Net Banking"/>
    <x v="2"/>
    <n v="5"/>
    <x v="0"/>
  </r>
  <r>
    <s v="ORD101154"/>
    <d v="2025-10-03T00:00:00"/>
    <s v="Decathlon Noida"/>
    <x v="5"/>
    <x v="0"/>
    <s v="CUST1815"/>
    <s v="Female"/>
    <x v="1"/>
    <x v="1"/>
    <x v="3"/>
    <s v="Mountain Bike"/>
    <x v="0"/>
    <n v="5"/>
    <n v="24298.49"/>
    <n v="0.1"/>
    <n v="109343.21"/>
    <n v="93580.96"/>
    <n v="15762.25"/>
    <s v="Debit Card"/>
    <x v="6"/>
    <n v="5"/>
    <x v="9"/>
  </r>
  <r>
    <s v="ORD101155"/>
    <d v="2025-03-30T00:00:00"/>
    <s v="Decathlon Pune"/>
    <x v="1"/>
    <x v="1"/>
    <s v="CUST1238"/>
    <s v="Female"/>
    <x v="1"/>
    <x v="2"/>
    <x v="2"/>
    <s v="Swim Cap"/>
    <x v="4"/>
    <n v="4"/>
    <n v="508.78"/>
    <n v="0.3"/>
    <n v="1424.58"/>
    <n v="868.83"/>
    <n v="555.75"/>
    <s v="Cash"/>
    <x v="9"/>
    <n v="3"/>
    <x v="1"/>
  </r>
  <r>
    <s v="ORD101156"/>
    <d v="2025-03-29T00:00:00"/>
    <s v="Decathlon Gurugram"/>
    <x v="8"/>
    <x v="0"/>
    <s v="CUST1690"/>
    <s v="Female"/>
    <x v="1"/>
    <x v="2"/>
    <x v="5"/>
    <s v="Trekking Shoes"/>
    <x v="3"/>
    <n v="5"/>
    <n v="4911.34"/>
    <n v="0"/>
    <n v="24556.7"/>
    <n v="16179.63"/>
    <n v="8377.07"/>
    <s v="UPI"/>
    <x v="1"/>
    <n v="5"/>
    <x v="1"/>
  </r>
  <r>
    <s v="ORD101157"/>
    <d v="2025-05-29T00:00:00"/>
    <s v="Decathlon Gurugram"/>
    <x v="8"/>
    <x v="0"/>
    <s v="CUST1068"/>
    <s v="Female"/>
    <x v="3"/>
    <x v="0"/>
    <x v="3"/>
    <s v="Cycling Gloves"/>
    <x v="6"/>
    <n v="2"/>
    <n v="778.41"/>
    <n v="0.15"/>
    <n v="1323.3"/>
    <n v="714.07"/>
    <n v="609.23"/>
    <s v="Credit Card"/>
    <x v="0"/>
    <n v="5"/>
    <x v="10"/>
  </r>
  <r>
    <s v="ORD101158"/>
    <d v="2025-01-19T00:00:00"/>
    <s v="Decathlon Mumbai"/>
    <x v="6"/>
    <x v="1"/>
    <s v="CUST1991"/>
    <s v="Male"/>
    <x v="3"/>
    <x v="0"/>
    <x v="4"/>
    <s v="Shin Guards"/>
    <x v="0"/>
    <n v="5"/>
    <n v="1017.64"/>
    <n v="0.15"/>
    <n v="4324.97"/>
    <n v="2611.7199999999998"/>
    <n v="1713.25"/>
    <s v="Credit Card"/>
    <x v="9"/>
    <n v="3"/>
    <x v="4"/>
  </r>
  <r>
    <s v="ORD101159"/>
    <d v="2025-03-08T00:00:00"/>
    <s v="Decathlon Jaipur"/>
    <x v="0"/>
    <x v="0"/>
    <s v="CUST1066"/>
    <s v="Female"/>
    <x v="1"/>
    <x v="2"/>
    <x v="4"/>
    <s v="Shin Guards"/>
    <x v="4"/>
    <n v="3"/>
    <n v="1028.6300000000001"/>
    <n v="0.1"/>
    <n v="2777.3"/>
    <n v="1503.31"/>
    <n v="1273.99"/>
    <s v="UPI"/>
    <x v="3"/>
    <n v="3"/>
    <x v="1"/>
  </r>
  <r>
    <s v="ORD101160"/>
    <d v="2025-06-14T00:00:00"/>
    <s v="Decathlon Pune"/>
    <x v="1"/>
    <x v="1"/>
    <s v="CUST1165"/>
    <s v="Male"/>
    <x v="0"/>
    <x v="0"/>
    <x v="1"/>
    <s v="Resistance Band"/>
    <x v="1"/>
    <n v="4"/>
    <n v="862.57"/>
    <n v="0.1"/>
    <n v="3105.25"/>
    <n v="1622.18"/>
    <n v="1483.07"/>
    <s v="Credit Card"/>
    <x v="6"/>
    <n v="4"/>
    <x v="11"/>
  </r>
  <r>
    <s v="ORD101161"/>
    <d v="2025-04-19T00:00:00"/>
    <s v="Decathlon Chennai"/>
    <x v="3"/>
    <x v="2"/>
    <s v="CUST1189"/>
    <s v="Female"/>
    <x v="3"/>
    <x v="1"/>
    <x v="2"/>
    <s v="Swimming Goggles"/>
    <x v="5"/>
    <n v="5"/>
    <n v="854.96"/>
    <n v="0.2"/>
    <n v="3419.84"/>
    <n v="2304.21"/>
    <n v="1115.6300000000001"/>
    <s v="UPI"/>
    <x v="3"/>
    <n v="4"/>
    <x v="5"/>
  </r>
  <r>
    <s v="ORD101162"/>
    <d v="2025-09-30T00:00:00"/>
    <s v="Decathlon Pune"/>
    <x v="1"/>
    <x v="1"/>
    <s v="CUST1111"/>
    <s v="Female"/>
    <x v="0"/>
    <x v="0"/>
    <x v="0"/>
    <s v="Fitness Band"/>
    <x v="7"/>
    <n v="2"/>
    <n v="2616.2800000000002"/>
    <n v="0.15"/>
    <n v="4447.68"/>
    <n v="2980.98"/>
    <n v="1466.7"/>
    <s v="UPI"/>
    <x v="0"/>
    <n v="5"/>
    <x v="7"/>
  </r>
  <r>
    <s v="ORD101163"/>
    <d v="2025-12-03T00:00:00"/>
    <s v="Decathlon Pune"/>
    <x v="1"/>
    <x v="1"/>
    <s v="CUST1647"/>
    <s v="Female"/>
    <x v="1"/>
    <x v="2"/>
    <x v="3"/>
    <s v="Cycling Gloves"/>
    <x v="4"/>
    <n v="1"/>
    <n v="814.86"/>
    <n v="0.1"/>
    <n v="733.37"/>
    <n v="344.61"/>
    <n v="388.76"/>
    <s v="Net Banking"/>
    <x v="5"/>
    <n v="3"/>
    <x v="0"/>
  </r>
  <r>
    <s v="ORD101164"/>
    <d v="2025-07-30T00:00:00"/>
    <s v="Decathlon Delhi"/>
    <x v="9"/>
    <x v="0"/>
    <s v="CUST1985"/>
    <s v="Female"/>
    <x v="3"/>
    <x v="1"/>
    <x v="3"/>
    <s v="Cycling Gloves"/>
    <x v="5"/>
    <n v="4"/>
    <n v="760.69"/>
    <n v="0.05"/>
    <n v="2890.62"/>
    <n v="1435.03"/>
    <n v="1455.59"/>
    <s v="Debit Card"/>
    <x v="7"/>
    <n v="5"/>
    <x v="8"/>
  </r>
  <r>
    <s v="ORD101165"/>
    <d v="2025-02-02T00:00:00"/>
    <s v="Decathlon Jaipur"/>
    <x v="0"/>
    <x v="0"/>
    <s v="CUST1915"/>
    <s v="Female"/>
    <x v="0"/>
    <x v="1"/>
    <x v="5"/>
    <s v="Trekking Shoes"/>
    <x v="1"/>
    <n v="2"/>
    <n v="4827.58"/>
    <n v="0.2"/>
    <n v="7724.13"/>
    <n v="6448.47"/>
    <n v="1275.6600000000001"/>
    <s v="Cash"/>
    <x v="9"/>
    <n v="4"/>
    <x v="6"/>
  </r>
  <r>
    <s v="ORD101166"/>
    <d v="2025-08-17T00:00:00"/>
    <s v="Decathlon Ahmedabad"/>
    <x v="2"/>
    <x v="1"/>
    <s v="CUST1986"/>
    <s v="Female"/>
    <x v="0"/>
    <x v="0"/>
    <x v="3"/>
    <s v="Cycling Gloves"/>
    <x v="4"/>
    <n v="3"/>
    <n v="768.92"/>
    <n v="0.2"/>
    <n v="1845.41"/>
    <n v="1089.69"/>
    <n v="755.72"/>
    <s v="Net Banking"/>
    <x v="0"/>
    <n v="3"/>
    <x v="3"/>
  </r>
  <r>
    <s v="ORD101167"/>
    <d v="2025-10-01T00:00:00"/>
    <s v="Decathlon Gurugram"/>
    <x v="8"/>
    <x v="0"/>
    <s v="CUST1750"/>
    <s v="Male"/>
    <x v="0"/>
    <x v="0"/>
    <x v="0"/>
    <s v="Running Shoes"/>
    <x v="1"/>
    <n v="2"/>
    <n v="4030.97"/>
    <n v="0"/>
    <n v="8061.94"/>
    <n v="4383.07"/>
    <n v="3678.87"/>
    <s v="Net Banking"/>
    <x v="9"/>
    <n v="3"/>
    <x v="9"/>
  </r>
  <r>
    <s v="ORD101168"/>
    <d v="2025-06-09T00:00:00"/>
    <s v="Decathlon Chennai"/>
    <x v="3"/>
    <x v="2"/>
    <s v="CUST1844"/>
    <s v="Female"/>
    <x v="1"/>
    <x v="0"/>
    <x v="0"/>
    <s v="Running Shoes"/>
    <x v="1"/>
    <n v="2"/>
    <n v="4124.2"/>
    <n v="0"/>
    <n v="8248.4"/>
    <n v="4231.3"/>
    <n v="4017.1"/>
    <s v="Debit Card"/>
    <x v="2"/>
    <n v="4"/>
    <x v="11"/>
  </r>
  <r>
    <s v="ORD101169"/>
    <d v="2025-01-30T00:00:00"/>
    <s v="Decathlon Pune"/>
    <x v="1"/>
    <x v="1"/>
    <s v="CUST1941"/>
    <s v="Female"/>
    <x v="3"/>
    <x v="0"/>
    <x v="1"/>
    <s v="Yoga Block"/>
    <x v="1"/>
    <n v="2"/>
    <n v="588.88"/>
    <n v="0.3"/>
    <n v="824.43"/>
    <n v="496.08"/>
    <n v="328.35"/>
    <s v="Debit Card"/>
    <x v="3"/>
    <n v="3"/>
    <x v="4"/>
  </r>
  <r>
    <s v="ORD101170"/>
    <d v="2025-01-22T00:00:00"/>
    <s v="Decathlon Gurugram"/>
    <x v="8"/>
    <x v="0"/>
    <s v="CUST1411"/>
    <s v="Female"/>
    <x v="2"/>
    <x v="0"/>
    <x v="3"/>
    <s v="Mountain Bike"/>
    <x v="6"/>
    <n v="2"/>
    <n v="24798.87"/>
    <n v="0.15"/>
    <n v="42158.080000000002"/>
    <n v="37226.26"/>
    <n v="4931.82"/>
    <s v="Net Banking"/>
    <x v="8"/>
    <n v="4"/>
    <x v="4"/>
  </r>
  <r>
    <s v="ORD101171"/>
    <d v="2025-01-07T00:00:00"/>
    <s v="Decathlon Hyderabad"/>
    <x v="7"/>
    <x v="2"/>
    <s v="CUST1715"/>
    <s v="Male"/>
    <x v="2"/>
    <x v="1"/>
    <x v="1"/>
    <s v="Yoga Mat"/>
    <x v="2"/>
    <n v="5"/>
    <n v="1427.82"/>
    <n v="0.15"/>
    <n v="6068.23"/>
    <n v="3582.63"/>
    <n v="2485.6"/>
    <s v="Net Banking"/>
    <x v="2"/>
    <n v="4"/>
    <x v="4"/>
  </r>
  <r>
    <s v="ORD101172"/>
    <d v="2025-03-03T00:00:00"/>
    <s v="Decathlon Pune"/>
    <x v="1"/>
    <x v="1"/>
    <s v="CUST1997"/>
    <s v="Male"/>
    <x v="0"/>
    <x v="1"/>
    <x v="0"/>
    <s v="Fitness Band"/>
    <x v="4"/>
    <n v="1"/>
    <n v="2615.13"/>
    <n v="0.15"/>
    <n v="2222.86"/>
    <n v="1531.01"/>
    <n v="691.85"/>
    <s v="Net Banking"/>
    <x v="4"/>
    <n v="3"/>
    <x v="1"/>
  </r>
  <r>
    <s v="ORD101173"/>
    <d v="2025-06-11T00:00:00"/>
    <s v="Decathlon Gurugram"/>
    <x v="8"/>
    <x v="0"/>
    <s v="CUST1819"/>
    <s v="Female"/>
    <x v="1"/>
    <x v="1"/>
    <x v="5"/>
    <s v="Backpack"/>
    <x v="4"/>
    <n v="3"/>
    <n v="2976.84"/>
    <n v="0.1"/>
    <n v="8037.47"/>
    <n v="5112.09"/>
    <n v="2925.38"/>
    <s v="Net Banking"/>
    <x v="1"/>
    <n v="4"/>
    <x v="11"/>
  </r>
  <r>
    <s v="ORD101174"/>
    <d v="2025-11-19T00:00:00"/>
    <s v="Decathlon Hyderabad"/>
    <x v="7"/>
    <x v="2"/>
    <s v="CUST1526"/>
    <s v="Male"/>
    <x v="0"/>
    <x v="2"/>
    <x v="0"/>
    <s v="Running T-Shirt"/>
    <x v="5"/>
    <n v="1"/>
    <n v="1011.07"/>
    <n v="0.2"/>
    <n v="808.86"/>
    <n v="457.54"/>
    <n v="351.32"/>
    <s v="UPI"/>
    <x v="9"/>
    <n v="3"/>
    <x v="2"/>
  </r>
  <r>
    <s v="ORD101175"/>
    <d v="2025-05-06T00:00:00"/>
    <s v="Decathlon Ahmedabad"/>
    <x v="2"/>
    <x v="1"/>
    <s v="CUST1690"/>
    <s v="Male"/>
    <x v="0"/>
    <x v="2"/>
    <x v="0"/>
    <s v="Running Shoes"/>
    <x v="6"/>
    <n v="2"/>
    <n v="3890.83"/>
    <n v="0"/>
    <n v="7781.66"/>
    <n v="4489.8100000000004"/>
    <n v="3291.85"/>
    <s v="Credit Card"/>
    <x v="6"/>
    <n v="3"/>
    <x v="10"/>
  </r>
  <r>
    <s v="ORD101176"/>
    <d v="2025-06-08T00:00:00"/>
    <s v="Decathlon Noida"/>
    <x v="5"/>
    <x v="0"/>
    <s v="CUST1312"/>
    <s v="Male"/>
    <x v="1"/>
    <x v="1"/>
    <x v="2"/>
    <s v="Swim Cap"/>
    <x v="2"/>
    <n v="2"/>
    <n v="502.61"/>
    <n v="0.3"/>
    <n v="703.65"/>
    <n v="450"/>
    <n v="253.65"/>
    <s v="Cash"/>
    <x v="5"/>
    <n v="5"/>
    <x v="11"/>
  </r>
  <r>
    <s v="ORD101177"/>
    <d v="2025-09-06T00:00:00"/>
    <s v="Decathlon Chennai"/>
    <x v="3"/>
    <x v="2"/>
    <s v="CUST1805"/>
    <s v="Male"/>
    <x v="3"/>
    <x v="0"/>
    <x v="4"/>
    <s v="Football Boots"/>
    <x v="3"/>
    <n v="2"/>
    <n v="3618.31"/>
    <n v="0.05"/>
    <n v="6874.79"/>
    <n v="4342.28"/>
    <n v="2532.5100000000002"/>
    <s v="Credit Card"/>
    <x v="4"/>
    <n v="5"/>
    <x v="7"/>
  </r>
  <r>
    <s v="ORD101178"/>
    <d v="2025-03-18T00:00:00"/>
    <s v="Decathlon Chennai"/>
    <x v="3"/>
    <x v="2"/>
    <s v="CUST1760"/>
    <s v="Female"/>
    <x v="3"/>
    <x v="2"/>
    <x v="2"/>
    <s v="Swimming Goggles"/>
    <x v="2"/>
    <n v="4"/>
    <n v="918.03"/>
    <n v="0"/>
    <n v="3672.12"/>
    <n v="1781.78"/>
    <n v="1890.34"/>
    <s v="UPI"/>
    <x v="0"/>
    <n v="4"/>
    <x v="1"/>
  </r>
  <r>
    <s v="ORD101179"/>
    <d v="2025-09-06T00:00:00"/>
    <s v="Decathlon Mumbai"/>
    <x v="6"/>
    <x v="1"/>
    <s v="CUST1091"/>
    <s v="Female"/>
    <x v="0"/>
    <x v="2"/>
    <x v="0"/>
    <s v="Fitness Band"/>
    <x v="3"/>
    <n v="1"/>
    <n v="2431.9899999999998"/>
    <n v="0.25"/>
    <n v="1823.99"/>
    <n v="1527.03"/>
    <n v="296.95999999999998"/>
    <s v="Debit Card"/>
    <x v="7"/>
    <n v="5"/>
    <x v="7"/>
  </r>
  <r>
    <s v="ORD101180"/>
    <d v="2025-09-09T00:00:00"/>
    <s v="Decathlon Mumbai"/>
    <x v="6"/>
    <x v="1"/>
    <s v="CUST1410"/>
    <s v="Female"/>
    <x v="3"/>
    <x v="0"/>
    <x v="0"/>
    <s v="Running Shoes"/>
    <x v="5"/>
    <n v="1"/>
    <n v="3804.72"/>
    <n v="0.2"/>
    <n v="3043.78"/>
    <n v="2276.48"/>
    <n v="767.3"/>
    <s v="Net Banking"/>
    <x v="5"/>
    <n v="5"/>
    <x v="7"/>
  </r>
  <r>
    <s v="ORD101181"/>
    <d v="2025-06-26T00:00:00"/>
    <s v="Decathlon Bengaluru"/>
    <x v="4"/>
    <x v="2"/>
    <s v="CUST1152"/>
    <s v="Female"/>
    <x v="2"/>
    <x v="2"/>
    <x v="3"/>
    <s v="Cycling Gloves"/>
    <x v="3"/>
    <n v="5"/>
    <n v="825.91"/>
    <n v="0.05"/>
    <n v="3923.07"/>
    <n v="1830.39"/>
    <n v="2092.6799999999998"/>
    <s v="Credit Card"/>
    <x v="9"/>
    <n v="5"/>
    <x v="11"/>
  </r>
  <r>
    <s v="ORD101182"/>
    <d v="2025-06-05T00:00:00"/>
    <s v="Decathlon Delhi"/>
    <x v="9"/>
    <x v="0"/>
    <s v="CUST1773"/>
    <s v="Female"/>
    <x v="2"/>
    <x v="0"/>
    <x v="3"/>
    <s v="Helmet"/>
    <x v="6"/>
    <n v="5"/>
    <n v="1911.4"/>
    <n v="0.1"/>
    <n v="8601.2999999999993"/>
    <n v="5425.59"/>
    <n v="3175.71"/>
    <s v="Debit Card"/>
    <x v="7"/>
    <n v="3"/>
    <x v="11"/>
  </r>
  <r>
    <s v="ORD101183"/>
    <d v="2025-04-15T00:00:00"/>
    <s v="Decathlon Hyderabad"/>
    <x v="7"/>
    <x v="2"/>
    <s v="CUST1630"/>
    <s v="Male"/>
    <x v="0"/>
    <x v="1"/>
    <x v="0"/>
    <s v="Running Shoes"/>
    <x v="7"/>
    <n v="5"/>
    <n v="4152.45"/>
    <n v="0.1"/>
    <n v="18686.03"/>
    <n v="10679.35"/>
    <n v="8006.68"/>
    <s v="Cash"/>
    <x v="0"/>
    <n v="3"/>
    <x v="5"/>
  </r>
  <r>
    <s v="ORD101184"/>
    <d v="2025-04-28T00:00:00"/>
    <s v="Decathlon Pune"/>
    <x v="1"/>
    <x v="1"/>
    <s v="CUST1966"/>
    <s v="Female"/>
    <x v="3"/>
    <x v="1"/>
    <x v="0"/>
    <s v="Fitness Band"/>
    <x v="6"/>
    <n v="2"/>
    <n v="2602.17"/>
    <n v="0.3"/>
    <n v="3643.04"/>
    <n v="3076.97"/>
    <n v="566.07000000000005"/>
    <s v="Cash"/>
    <x v="0"/>
    <n v="4"/>
    <x v="5"/>
  </r>
  <r>
    <s v="ORD101185"/>
    <d v="2025-06-07T00:00:00"/>
    <s v="Decathlon Chennai"/>
    <x v="3"/>
    <x v="2"/>
    <s v="CUST1215"/>
    <s v="Male"/>
    <x v="0"/>
    <x v="1"/>
    <x v="4"/>
    <s v="Shin Guards"/>
    <x v="1"/>
    <n v="5"/>
    <n v="1009.14"/>
    <n v="0.15"/>
    <n v="4288.84"/>
    <n v="2389.2600000000002"/>
    <n v="1899.58"/>
    <s v="Credit Card"/>
    <x v="4"/>
    <n v="3"/>
    <x v="11"/>
  </r>
  <r>
    <s v="ORD101186"/>
    <d v="2025-04-16T00:00:00"/>
    <s v="Decathlon Delhi"/>
    <x v="9"/>
    <x v="0"/>
    <s v="CUST1227"/>
    <s v="Female"/>
    <x v="1"/>
    <x v="0"/>
    <x v="0"/>
    <s v="Running Shoes"/>
    <x v="2"/>
    <n v="4"/>
    <n v="3949.72"/>
    <n v="0.2"/>
    <n v="12639.1"/>
    <n v="8574.68"/>
    <n v="4064.42"/>
    <s v="Net Banking"/>
    <x v="3"/>
    <n v="4"/>
    <x v="5"/>
  </r>
  <r>
    <s v="ORD101187"/>
    <d v="2025-07-01T00:00:00"/>
    <s v="Decathlon Mumbai"/>
    <x v="6"/>
    <x v="1"/>
    <s v="CUST1358"/>
    <s v="Female"/>
    <x v="2"/>
    <x v="2"/>
    <x v="2"/>
    <s v="Swimsuit"/>
    <x v="1"/>
    <n v="3"/>
    <n v="1540.57"/>
    <n v="0.1"/>
    <n v="4159.54"/>
    <n v="2491.4899999999998"/>
    <n v="1668.05"/>
    <s v="Cash"/>
    <x v="4"/>
    <n v="3"/>
    <x v="8"/>
  </r>
  <r>
    <s v="ORD101188"/>
    <d v="2025-06-16T00:00:00"/>
    <s v="Decathlon Gurugram"/>
    <x v="8"/>
    <x v="0"/>
    <s v="CUST1042"/>
    <s v="Female"/>
    <x v="1"/>
    <x v="0"/>
    <x v="1"/>
    <s v="Yoga Mat"/>
    <x v="4"/>
    <n v="4"/>
    <n v="1559.39"/>
    <n v="0.25"/>
    <n v="4678.17"/>
    <n v="2899.77"/>
    <n v="1778.4"/>
    <s v="Cash"/>
    <x v="3"/>
    <n v="3"/>
    <x v="11"/>
  </r>
  <r>
    <s v="ORD101189"/>
    <d v="2025-11-02T00:00:00"/>
    <s v="Decathlon Ahmedabad"/>
    <x v="2"/>
    <x v="1"/>
    <s v="CUST1427"/>
    <s v="Female"/>
    <x v="2"/>
    <x v="1"/>
    <x v="3"/>
    <s v="Mountain Bike"/>
    <x v="3"/>
    <n v="4"/>
    <n v="25896.1"/>
    <n v="0.3"/>
    <n v="72509.08"/>
    <n v="74838.94"/>
    <n v="-2329.86"/>
    <s v="UPI"/>
    <x v="8"/>
    <n v="3"/>
    <x v="2"/>
  </r>
  <r>
    <s v="ORD101190"/>
    <d v="2025-04-13T00:00:00"/>
    <s v="Decathlon Gurugram"/>
    <x v="8"/>
    <x v="0"/>
    <s v="CUST1503"/>
    <s v="Male"/>
    <x v="3"/>
    <x v="1"/>
    <x v="5"/>
    <s v="Trekking Shoes"/>
    <x v="7"/>
    <n v="5"/>
    <n v="4777.2"/>
    <n v="0.1"/>
    <n v="21497.4"/>
    <n v="16669.61"/>
    <n v="4827.79"/>
    <s v="Debit Card"/>
    <x v="7"/>
    <n v="5"/>
    <x v="5"/>
  </r>
  <r>
    <s v="ORD101191"/>
    <d v="2025-08-07T00:00:00"/>
    <s v="Decathlon Delhi"/>
    <x v="9"/>
    <x v="0"/>
    <s v="CUST1521"/>
    <s v="Male"/>
    <x v="0"/>
    <x v="0"/>
    <x v="0"/>
    <s v="Fitness Band"/>
    <x v="0"/>
    <n v="1"/>
    <n v="2565.98"/>
    <n v="0.25"/>
    <n v="1924.49"/>
    <n v="1429.68"/>
    <n v="494.81"/>
    <s v="Cash"/>
    <x v="6"/>
    <n v="5"/>
    <x v="3"/>
  </r>
  <r>
    <s v="ORD101192"/>
    <d v="2025-02-07T00:00:00"/>
    <s v="Decathlon Pune"/>
    <x v="1"/>
    <x v="1"/>
    <s v="CUST1081"/>
    <s v="Female"/>
    <x v="0"/>
    <x v="0"/>
    <x v="0"/>
    <s v="Running Shoes"/>
    <x v="7"/>
    <n v="1"/>
    <n v="3940.05"/>
    <n v="0.3"/>
    <n v="2758.03"/>
    <n v="2168.81"/>
    <n v="589.22"/>
    <s v="Debit Card"/>
    <x v="6"/>
    <n v="5"/>
    <x v="6"/>
  </r>
  <r>
    <s v="ORD101193"/>
    <d v="2025-10-27T00:00:00"/>
    <s v="Decathlon Delhi"/>
    <x v="9"/>
    <x v="0"/>
    <s v="CUST1281"/>
    <s v="Male"/>
    <x v="3"/>
    <x v="2"/>
    <x v="1"/>
    <s v="Yoga Mat"/>
    <x v="3"/>
    <n v="1"/>
    <n v="1539.86"/>
    <n v="0.3"/>
    <n v="1077.9000000000001"/>
    <n v="717.28"/>
    <n v="360.62"/>
    <s v="Net Banking"/>
    <x v="6"/>
    <n v="5"/>
    <x v="9"/>
  </r>
  <r>
    <s v="ORD101194"/>
    <d v="2025-09-10T00:00:00"/>
    <s v="Decathlon Mumbai"/>
    <x v="6"/>
    <x v="1"/>
    <s v="CUST1512"/>
    <s v="Male"/>
    <x v="2"/>
    <x v="1"/>
    <x v="3"/>
    <s v="Helmet"/>
    <x v="5"/>
    <n v="3"/>
    <n v="2096.52"/>
    <n v="0.1"/>
    <n v="5660.6"/>
    <n v="3342.84"/>
    <n v="2317.7600000000002"/>
    <s v="Credit Card"/>
    <x v="6"/>
    <n v="3"/>
    <x v="7"/>
  </r>
  <r>
    <s v="ORD101195"/>
    <d v="2025-04-25T00:00:00"/>
    <s v="Decathlon Gurugram"/>
    <x v="8"/>
    <x v="0"/>
    <s v="CUST1556"/>
    <s v="Male"/>
    <x v="0"/>
    <x v="0"/>
    <x v="3"/>
    <s v="Helmet"/>
    <x v="7"/>
    <n v="5"/>
    <n v="1980.41"/>
    <n v="0.05"/>
    <n v="9406.9500000000007"/>
    <n v="5379.14"/>
    <n v="4027.81"/>
    <s v="Credit Card"/>
    <x v="4"/>
    <n v="5"/>
    <x v="5"/>
  </r>
  <r>
    <s v="ORD101196"/>
    <d v="2025-08-01T00:00:00"/>
    <s v="Decathlon Delhi"/>
    <x v="9"/>
    <x v="0"/>
    <s v="CUST1868"/>
    <s v="Male"/>
    <x v="2"/>
    <x v="1"/>
    <x v="4"/>
    <s v="Football Boots"/>
    <x v="0"/>
    <n v="3"/>
    <n v="3470.28"/>
    <n v="0.3"/>
    <n v="7287.59"/>
    <n v="6513.6"/>
    <n v="773.99"/>
    <s v="Net Banking"/>
    <x v="1"/>
    <n v="5"/>
    <x v="3"/>
  </r>
  <r>
    <s v="ORD101197"/>
    <d v="2025-07-31T00:00:00"/>
    <s v="Decathlon Bengaluru"/>
    <x v="4"/>
    <x v="2"/>
    <s v="CUST1467"/>
    <s v="Male"/>
    <x v="0"/>
    <x v="1"/>
    <x v="1"/>
    <s v="Yoga Block"/>
    <x v="5"/>
    <n v="3"/>
    <n v="603.36"/>
    <n v="0.25"/>
    <n v="1357.56"/>
    <n v="769.98"/>
    <n v="587.58000000000004"/>
    <s v="Net Banking"/>
    <x v="3"/>
    <n v="5"/>
    <x v="8"/>
  </r>
  <r>
    <s v="ORD101198"/>
    <d v="2025-08-31T00:00:00"/>
    <s v="Decathlon Pune"/>
    <x v="1"/>
    <x v="1"/>
    <s v="CUST1244"/>
    <s v="Male"/>
    <x v="1"/>
    <x v="1"/>
    <x v="4"/>
    <s v="Football"/>
    <x v="5"/>
    <n v="1"/>
    <n v="1362.86"/>
    <n v="0.25"/>
    <n v="1022.14"/>
    <n v="724.65"/>
    <n v="297.49"/>
    <s v="Debit Card"/>
    <x v="9"/>
    <n v="3"/>
    <x v="3"/>
  </r>
  <r>
    <s v="ORD101199"/>
    <d v="2025-08-23T00:00:00"/>
    <s v="Decathlon Chennai"/>
    <x v="3"/>
    <x v="2"/>
    <s v="CUST1734"/>
    <s v="Male"/>
    <x v="2"/>
    <x v="0"/>
    <x v="3"/>
    <s v="Helmet"/>
    <x v="5"/>
    <n v="1"/>
    <n v="2074.88"/>
    <n v="0.25"/>
    <n v="1556.16"/>
    <n v="1049.71"/>
    <n v="506.45"/>
    <s v="Credit Card"/>
    <x v="6"/>
    <n v="5"/>
    <x v="3"/>
  </r>
  <r>
    <s v="ORD101200"/>
    <d v="2025-09-11T00:00:00"/>
    <s v="Decathlon Ahmedabad"/>
    <x v="2"/>
    <x v="1"/>
    <s v="CUST1798"/>
    <s v="Female"/>
    <x v="2"/>
    <x v="0"/>
    <x v="0"/>
    <s v="Running Shoes"/>
    <x v="5"/>
    <n v="1"/>
    <n v="4057.81"/>
    <n v="0"/>
    <n v="4057.81"/>
    <n v="2294.2399999999998"/>
    <n v="1763.57"/>
    <s v="Debit Card"/>
    <x v="0"/>
    <n v="4"/>
    <x v="7"/>
  </r>
  <r>
    <s v="ORD101201"/>
    <d v="2025-08-12T00:00:00"/>
    <s v="Decathlon Mumbai"/>
    <x v="6"/>
    <x v="1"/>
    <s v="CUST1064"/>
    <s v="Female"/>
    <x v="2"/>
    <x v="1"/>
    <x v="4"/>
    <s v="Football"/>
    <x v="1"/>
    <n v="1"/>
    <n v="1254.6099999999999"/>
    <n v="0.3"/>
    <n v="878.23"/>
    <n v="723.94"/>
    <n v="154.29"/>
    <s v="UPI"/>
    <x v="4"/>
    <n v="5"/>
    <x v="3"/>
  </r>
  <r>
    <s v="ORD101202"/>
    <d v="2025-07-16T00:00:00"/>
    <s v="Decathlon Delhi"/>
    <x v="9"/>
    <x v="0"/>
    <s v="CUST1027"/>
    <s v="Male"/>
    <x v="3"/>
    <x v="1"/>
    <x v="3"/>
    <s v="Helmet"/>
    <x v="3"/>
    <n v="4"/>
    <n v="1958.91"/>
    <n v="0.25"/>
    <n v="5876.73"/>
    <n v="4209.75"/>
    <n v="1666.98"/>
    <s v="UPI"/>
    <x v="5"/>
    <n v="4"/>
    <x v="8"/>
  </r>
  <r>
    <s v="ORD101203"/>
    <d v="2025-10-18T00:00:00"/>
    <s v="Decathlon Pune"/>
    <x v="1"/>
    <x v="1"/>
    <s v="CUST1832"/>
    <s v="Female"/>
    <x v="1"/>
    <x v="2"/>
    <x v="5"/>
    <s v="Water Bottle"/>
    <x v="0"/>
    <n v="3"/>
    <n v="688.93"/>
    <n v="0.25"/>
    <n v="1550.09"/>
    <n v="721.61"/>
    <n v="828.48"/>
    <s v="Net Banking"/>
    <x v="5"/>
    <n v="3"/>
    <x v="9"/>
  </r>
  <r>
    <s v="ORD101204"/>
    <d v="2025-08-26T00:00:00"/>
    <s v="Decathlon Pune"/>
    <x v="1"/>
    <x v="1"/>
    <s v="CUST1826"/>
    <s v="Female"/>
    <x v="1"/>
    <x v="2"/>
    <x v="0"/>
    <s v="Running T-Shirt"/>
    <x v="2"/>
    <n v="3"/>
    <n v="1030.45"/>
    <n v="0"/>
    <n v="3091.35"/>
    <n v="1352.23"/>
    <n v="1739.12"/>
    <s v="Credit Card"/>
    <x v="0"/>
    <n v="5"/>
    <x v="3"/>
  </r>
  <r>
    <s v="ORD101205"/>
    <d v="2025-02-10T00:00:00"/>
    <s v="Decathlon Hyderabad"/>
    <x v="7"/>
    <x v="2"/>
    <s v="CUST1714"/>
    <s v="Male"/>
    <x v="0"/>
    <x v="1"/>
    <x v="4"/>
    <s v="Football Boots"/>
    <x v="4"/>
    <n v="1"/>
    <n v="3347"/>
    <n v="0.3"/>
    <n v="2342.9"/>
    <n v="2143.34"/>
    <n v="199.56"/>
    <s v="Credit Card"/>
    <x v="0"/>
    <n v="3"/>
    <x v="6"/>
  </r>
  <r>
    <s v="ORD101206"/>
    <d v="2025-05-25T00:00:00"/>
    <s v="Decathlon Pune"/>
    <x v="1"/>
    <x v="1"/>
    <s v="CUST1989"/>
    <s v="Female"/>
    <x v="3"/>
    <x v="2"/>
    <x v="0"/>
    <s v="Running T-Shirt"/>
    <x v="4"/>
    <n v="4"/>
    <n v="1047.9100000000001"/>
    <n v="0"/>
    <n v="4191.6400000000003"/>
    <n v="1749.88"/>
    <n v="2441.7600000000002"/>
    <s v="Cash"/>
    <x v="1"/>
    <n v="5"/>
    <x v="10"/>
  </r>
  <r>
    <s v="ORD101207"/>
    <d v="2025-01-05T00:00:00"/>
    <s v="Decathlon Hyderabad"/>
    <x v="7"/>
    <x v="2"/>
    <s v="CUST1929"/>
    <s v="Male"/>
    <x v="0"/>
    <x v="1"/>
    <x v="3"/>
    <s v="Helmet"/>
    <x v="1"/>
    <n v="2"/>
    <n v="2078.5700000000002"/>
    <n v="0.05"/>
    <n v="3949.28"/>
    <n v="2107.14"/>
    <n v="1842.14"/>
    <s v="Debit Card"/>
    <x v="8"/>
    <n v="3"/>
    <x v="4"/>
  </r>
  <r>
    <s v="ORD101208"/>
    <d v="2025-05-02T00:00:00"/>
    <s v="Decathlon Mumbai"/>
    <x v="6"/>
    <x v="1"/>
    <s v="CUST1252"/>
    <s v="Male"/>
    <x v="3"/>
    <x v="1"/>
    <x v="0"/>
    <s v="Running Shoes"/>
    <x v="1"/>
    <n v="5"/>
    <n v="3807.15"/>
    <n v="0.2"/>
    <n v="15228.6"/>
    <n v="10633.69"/>
    <n v="4594.91"/>
    <s v="Cash"/>
    <x v="4"/>
    <n v="3"/>
    <x v="10"/>
  </r>
  <r>
    <s v="ORD101209"/>
    <d v="2025-03-08T00:00:00"/>
    <s v="Decathlon Noida"/>
    <x v="5"/>
    <x v="0"/>
    <s v="CUST1844"/>
    <s v="Male"/>
    <x v="2"/>
    <x v="2"/>
    <x v="3"/>
    <s v="Cycling Gloves"/>
    <x v="5"/>
    <n v="1"/>
    <n v="785.94"/>
    <n v="0.3"/>
    <n v="550.16"/>
    <n v="339.97"/>
    <n v="210.19"/>
    <s v="UPI"/>
    <x v="7"/>
    <n v="3"/>
    <x v="1"/>
  </r>
  <r>
    <s v="ORD101210"/>
    <d v="2025-12-02T00:00:00"/>
    <s v="Decathlon Mumbai"/>
    <x v="6"/>
    <x v="1"/>
    <s v="CUST1487"/>
    <s v="Female"/>
    <x v="3"/>
    <x v="0"/>
    <x v="0"/>
    <s v="Running T-Shirt"/>
    <x v="2"/>
    <n v="2"/>
    <n v="954.06"/>
    <n v="0.3"/>
    <n v="1335.68"/>
    <n v="864.19"/>
    <n v="471.49"/>
    <s v="Debit Card"/>
    <x v="4"/>
    <n v="3"/>
    <x v="0"/>
  </r>
  <r>
    <s v="ORD101211"/>
    <d v="2025-03-22T00:00:00"/>
    <s v="Decathlon Noida"/>
    <x v="5"/>
    <x v="0"/>
    <s v="CUST1680"/>
    <s v="Male"/>
    <x v="2"/>
    <x v="2"/>
    <x v="3"/>
    <s v="Mountain Bike"/>
    <x v="0"/>
    <n v="4"/>
    <n v="24622.67"/>
    <n v="0.3"/>
    <n v="68943.48"/>
    <n v="75321.34"/>
    <n v="-6377.86"/>
    <s v="Net Banking"/>
    <x v="7"/>
    <n v="4"/>
    <x v="1"/>
  </r>
  <r>
    <s v="ORD101212"/>
    <d v="2025-10-29T00:00:00"/>
    <s v="Decathlon Jaipur"/>
    <x v="0"/>
    <x v="0"/>
    <s v="CUST1564"/>
    <s v="Male"/>
    <x v="0"/>
    <x v="2"/>
    <x v="2"/>
    <s v="Swimming Goggles"/>
    <x v="3"/>
    <n v="3"/>
    <n v="904.93"/>
    <n v="0.05"/>
    <n v="2579.0500000000002"/>
    <n v="1323.91"/>
    <n v="1255.1400000000001"/>
    <s v="UPI"/>
    <x v="3"/>
    <n v="4"/>
    <x v="9"/>
  </r>
  <r>
    <s v="ORD101213"/>
    <d v="2025-06-12T00:00:00"/>
    <s v="Decathlon Bengaluru"/>
    <x v="4"/>
    <x v="2"/>
    <s v="CUST1030"/>
    <s v="Male"/>
    <x v="3"/>
    <x v="2"/>
    <x v="5"/>
    <s v="Backpack"/>
    <x v="2"/>
    <n v="4"/>
    <n v="2907.92"/>
    <n v="0.2"/>
    <n v="9305.34"/>
    <n v="6886.12"/>
    <n v="2419.2199999999998"/>
    <s v="Debit Card"/>
    <x v="9"/>
    <n v="3"/>
    <x v="11"/>
  </r>
  <r>
    <s v="ORD101214"/>
    <d v="2025-04-18T00:00:00"/>
    <s v="Decathlon Delhi"/>
    <x v="9"/>
    <x v="0"/>
    <s v="CUST1431"/>
    <s v="Male"/>
    <x v="0"/>
    <x v="1"/>
    <x v="3"/>
    <s v="Mountain Bike"/>
    <x v="3"/>
    <n v="3"/>
    <n v="25174.54"/>
    <n v="0.1"/>
    <n v="67971.259999999995"/>
    <n v="54815.71"/>
    <n v="13155.55"/>
    <s v="Cash"/>
    <x v="6"/>
    <n v="4"/>
    <x v="5"/>
  </r>
  <r>
    <s v="ORD101215"/>
    <d v="2025-03-03T00:00:00"/>
    <s v="Decathlon Jaipur"/>
    <x v="0"/>
    <x v="0"/>
    <s v="CUST1988"/>
    <s v="Male"/>
    <x v="1"/>
    <x v="0"/>
    <x v="0"/>
    <s v="Running T-Shirt"/>
    <x v="4"/>
    <n v="4"/>
    <n v="1042.71"/>
    <n v="0.3"/>
    <n v="2919.59"/>
    <n v="1720.83"/>
    <n v="1198.76"/>
    <s v="Credit Card"/>
    <x v="9"/>
    <n v="3"/>
    <x v="1"/>
  </r>
  <r>
    <s v="ORD101216"/>
    <d v="2025-05-05T00:00:00"/>
    <s v="Decathlon Hyderabad"/>
    <x v="7"/>
    <x v="2"/>
    <s v="CUST1737"/>
    <s v="Female"/>
    <x v="2"/>
    <x v="2"/>
    <x v="0"/>
    <s v="Fitness Band"/>
    <x v="6"/>
    <n v="4"/>
    <n v="2540.59"/>
    <n v="0"/>
    <n v="10162.36"/>
    <n v="5746.68"/>
    <n v="4415.68"/>
    <s v="Credit Card"/>
    <x v="9"/>
    <n v="5"/>
    <x v="10"/>
  </r>
  <r>
    <s v="ORD101217"/>
    <d v="2025-04-30T00:00:00"/>
    <s v="Decathlon Noida"/>
    <x v="5"/>
    <x v="0"/>
    <s v="CUST1341"/>
    <s v="Male"/>
    <x v="0"/>
    <x v="0"/>
    <x v="1"/>
    <s v="Resistance Band"/>
    <x v="2"/>
    <n v="4"/>
    <n v="938.8"/>
    <n v="0.15"/>
    <n v="3191.92"/>
    <n v="1607.37"/>
    <n v="1584.55"/>
    <s v="Debit Card"/>
    <x v="7"/>
    <n v="5"/>
    <x v="5"/>
  </r>
  <r>
    <s v="ORD101218"/>
    <d v="2025-10-17T00:00:00"/>
    <s v="Decathlon Mumbai"/>
    <x v="6"/>
    <x v="1"/>
    <s v="CUST1475"/>
    <s v="Female"/>
    <x v="1"/>
    <x v="2"/>
    <x v="0"/>
    <s v="Fitness Band"/>
    <x v="2"/>
    <n v="2"/>
    <n v="2376.23"/>
    <n v="0.15"/>
    <n v="4039.59"/>
    <n v="2966.21"/>
    <n v="1073.3800000000001"/>
    <s v="Net Banking"/>
    <x v="0"/>
    <n v="3"/>
    <x v="9"/>
  </r>
  <r>
    <s v="ORD101219"/>
    <d v="2025-06-19T00:00:00"/>
    <s v="Decathlon Mumbai"/>
    <x v="6"/>
    <x v="1"/>
    <s v="CUST1224"/>
    <s v="Female"/>
    <x v="2"/>
    <x v="2"/>
    <x v="4"/>
    <s v="Shin Guards"/>
    <x v="5"/>
    <n v="3"/>
    <n v="1014.46"/>
    <n v="0.3"/>
    <n v="2130.37"/>
    <n v="1438.83"/>
    <n v="691.54"/>
    <s v="Credit Card"/>
    <x v="5"/>
    <n v="4"/>
    <x v="11"/>
  </r>
  <r>
    <s v="ORD101220"/>
    <d v="2025-04-26T00:00:00"/>
    <s v="Decathlon Noida"/>
    <x v="5"/>
    <x v="0"/>
    <s v="CUST1167"/>
    <s v="Male"/>
    <x v="3"/>
    <x v="2"/>
    <x v="0"/>
    <s v="Running T-Shirt"/>
    <x v="6"/>
    <n v="2"/>
    <n v="992.62"/>
    <n v="0.2"/>
    <n v="1588.19"/>
    <n v="857.38"/>
    <n v="730.81"/>
    <s v="Credit Card"/>
    <x v="0"/>
    <n v="4"/>
    <x v="5"/>
  </r>
  <r>
    <s v="ORD101221"/>
    <d v="2025-05-15T00:00:00"/>
    <s v="Decathlon Bengaluru"/>
    <x v="4"/>
    <x v="2"/>
    <s v="CUST1085"/>
    <s v="Female"/>
    <x v="3"/>
    <x v="1"/>
    <x v="0"/>
    <s v="Running T-Shirt"/>
    <x v="0"/>
    <n v="5"/>
    <n v="1012.29"/>
    <n v="0.2"/>
    <n v="4049.16"/>
    <n v="2220.1"/>
    <n v="1829.06"/>
    <s v="Credit Card"/>
    <x v="8"/>
    <n v="4"/>
    <x v="10"/>
  </r>
  <r>
    <s v="ORD101222"/>
    <d v="2025-12-27T00:00:00"/>
    <s v="Decathlon Ahmedabad"/>
    <x v="2"/>
    <x v="1"/>
    <s v="CUST1693"/>
    <s v="Male"/>
    <x v="0"/>
    <x v="0"/>
    <x v="0"/>
    <s v="Running Shoes"/>
    <x v="2"/>
    <n v="2"/>
    <n v="4032.24"/>
    <n v="0"/>
    <n v="8064.48"/>
    <n v="4466.49"/>
    <n v="3597.99"/>
    <s v="Net Banking"/>
    <x v="1"/>
    <n v="4"/>
    <x v="0"/>
  </r>
  <r>
    <s v="ORD101223"/>
    <d v="2025-02-26T00:00:00"/>
    <s v="Decathlon Bengaluru"/>
    <x v="4"/>
    <x v="2"/>
    <s v="CUST1641"/>
    <s v="Female"/>
    <x v="2"/>
    <x v="1"/>
    <x v="0"/>
    <s v="Running Shoes"/>
    <x v="5"/>
    <n v="1"/>
    <n v="4080.71"/>
    <n v="0.1"/>
    <n v="3672.64"/>
    <n v="2261.4299999999998"/>
    <n v="1411.21"/>
    <s v="Debit Card"/>
    <x v="9"/>
    <n v="3"/>
    <x v="6"/>
  </r>
  <r>
    <s v="ORD101224"/>
    <d v="2025-09-27T00:00:00"/>
    <s v="Decathlon Gurugram"/>
    <x v="8"/>
    <x v="0"/>
    <s v="CUST1428"/>
    <s v="Female"/>
    <x v="1"/>
    <x v="1"/>
    <x v="2"/>
    <s v="Swimming Goggles"/>
    <x v="7"/>
    <n v="4"/>
    <n v="888.19"/>
    <n v="0.2"/>
    <n v="2842.21"/>
    <n v="1823.92"/>
    <n v="1018.29"/>
    <s v="Cash"/>
    <x v="9"/>
    <n v="4"/>
    <x v="7"/>
  </r>
  <r>
    <s v="ORD101225"/>
    <d v="2025-07-14T00:00:00"/>
    <s v="Decathlon Ahmedabad"/>
    <x v="2"/>
    <x v="1"/>
    <s v="CUST1486"/>
    <s v="Female"/>
    <x v="3"/>
    <x v="2"/>
    <x v="4"/>
    <s v="Football Boots"/>
    <x v="4"/>
    <n v="3"/>
    <n v="3661.73"/>
    <n v="0.3"/>
    <n v="7689.63"/>
    <n v="6549.45"/>
    <n v="1140.18"/>
    <s v="Debit Card"/>
    <x v="8"/>
    <n v="4"/>
    <x v="8"/>
  </r>
  <r>
    <s v="ORD101226"/>
    <d v="2025-12-05T00:00:00"/>
    <s v="Decathlon Gurugram"/>
    <x v="8"/>
    <x v="0"/>
    <s v="CUST1119"/>
    <s v="Male"/>
    <x v="1"/>
    <x v="0"/>
    <x v="5"/>
    <s v="Water Bottle"/>
    <x v="4"/>
    <n v="3"/>
    <n v="685.53"/>
    <n v="0.3"/>
    <n v="1439.61"/>
    <n v="721.44"/>
    <n v="718.17"/>
    <s v="Net Banking"/>
    <x v="8"/>
    <n v="3"/>
    <x v="0"/>
  </r>
  <r>
    <s v="ORD101227"/>
    <d v="2025-04-16T00:00:00"/>
    <s v="Decathlon Pune"/>
    <x v="1"/>
    <x v="1"/>
    <s v="CUST1884"/>
    <s v="Female"/>
    <x v="1"/>
    <x v="1"/>
    <x v="0"/>
    <s v="Running T-Shirt"/>
    <x v="0"/>
    <n v="3"/>
    <n v="1013.99"/>
    <n v="0.05"/>
    <n v="2889.87"/>
    <n v="1297.92"/>
    <n v="1591.95"/>
    <s v="Debit Card"/>
    <x v="6"/>
    <n v="3"/>
    <x v="5"/>
  </r>
  <r>
    <s v="ORD101228"/>
    <d v="2025-06-01T00:00:00"/>
    <s v="Decathlon Jaipur"/>
    <x v="0"/>
    <x v="0"/>
    <s v="CUST1948"/>
    <s v="Male"/>
    <x v="2"/>
    <x v="0"/>
    <x v="5"/>
    <s v="Backpack"/>
    <x v="6"/>
    <n v="3"/>
    <n v="2978.17"/>
    <n v="0"/>
    <n v="8934.51"/>
    <n v="5274.07"/>
    <n v="3660.44"/>
    <s v="Credit Card"/>
    <x v="8"/>
    <n v="4"/>
    <x v="11"/>
  </r>
  <r>
    <s v="ORD101229"/>
    <d v="2025-11-06T00:00:00"/>
    <s v="Decathlon Noida"/>
    <x v="5"/>
    <x v="0"/>
    <s v="CUST1252"/>
    <s v="Male"/>
    <x v="0"/>
    <x v="0"/>
    <x v="1"/>
    <s v="Resistance Band"/>
    <x v="5"/>
    <n v="4"/>
    <n v="865.86"/>
    <n v="0.1"/>
    <n v="3117.1"/>
    <n v="1601.73"/>
    <n v="1515.37"/>
    <s v="UPI"/>
    <x v="3"/>
    <n v="3"/>
    <x v="2"/>
  </r>
  <r>
    <s v="ORD101230"/>
    <d v="2025-09-16T00:00:00"/>
    <s v="Decathlon Bengaluru"/>
    <x v="4"/>
    <x v="2"/>
    <s v="CUST1499"/>
    <s v="Male"/>
    <x v="3"/>
    <x v="1"/>
    <x v="4"/>
    <s v="Shin Guards"/>
    <x v="6"/>
    <n v="4"/>
    <n v="990.53"/>
    <n v="0.1"/>
    <n v="3565.91"/>
    <n v="1931.44"/>
    <n v="1634.47"/>
    <s v="Net Banking"/>
    <x v="2"/>
    <n v="4"/>
    <x v="7"/>
  </r>
  <r>
    <s v="ORD101231"/>
    <d v="2025-12-27T00:00:00"/>
    <s v="Decathlon Delhi"/>
    <x v="9"/>
    <x v="0"/>
    <s v="CUST1675"/>
    <s v="Female"/>
    <x v="3"/>
    <x v="0"/>
    <x v="3"/>
    <s v="Mountain Bike"/>
    <x v="3"/>
    <n v="3"/>
    <n v="25675.18"/>
    <n v="0.05"/>
    <n v="73174.259999999995"/>
    <n v="52431.26"/>
    <n v="20743"/>
    <s v="Cash"/>
    <x v="0"/>
    <n v="4"/>
    <x v="0"/>
  </r>
  <r>
    <s v="ORD101232"/>
    <d v="2025-12-21T00:00:00"/>
    <s v="Decathlon Mumbai"/>
    <x v="6"/>
    <x v="1"/>
    <s v="CUST1654"/>
    <s v="Male"/>
    <x v="0"/>
    <x v="1"/>
    <x v="4"/>
    <s v="Football Boots"/>
    <x v="0"/>
    <n v="1"/>
    <n v="3393.38"/>
    <n v="0.05"/>
    <n v="3223.71"/>
    <n v="2060.61"/>
    <n v="1163.0999999999999"/>
    <s v="UPI"/>
    <x v="5"/>
    <n v="3"/>
    <x v="0"/>
  </r>
  <r>
    <s v="ORD101233"/>
    <d v="2025-07-22T00:00:00"/>
    <s v="Decathlon Chennai"/>
    <x v="3"/>
    <x v="2"/>
    <s v="CUST1265"/>
    <s v="Male"/>
    <x v="3"/>
    <x v="1"/>
    <x v="1"/>
    <s v="Yoga Block"/>
    <x v="4"/>
    <n v="2"/>
    <n v="628.23"/>
    <n v="0"/>
    <n v="1256.46"/>
    <n v="524.54999999999995"/>
    <n v="731.91"/>
    <s v="Cash"/>
    <x v="4"/>
    <n v="4"/>
    <x v="8"/>
  </r>
  <r>
    <s v="ORD101234"/>
    <d v="2025-08-29T00:00:00"/>
    <s v="Decathlon Mumbai"/>
    <x v="6"/>
    <x v="1"/>
    <s v="CUST1966"/>
    <s v="Male"/>
    <x v="3"/>
    <x v="0"/>
    <x v="0"/>
    <s v="Running T-Shirt"/>
    <x v="0"/>
    <n v="2"/>
    <n v="1021.75"/>
    <n v="0"/>
    <n v="2043.5"/>
    <n v="921.48"/>
    <n v="1122.02"/>
    <s v="Debit Card"/>
    <x v="7"/>
    <n v="4"/>
    <x v="3"/>
  </r>
  <r>
    <s v="ORD101235"/>
    <d v="2025-02-21T00:00:00"/>
    <s v="Decathlon Noida"/>
    <x v="5"/>
    <x v="0"/>
    <s v="CUST1406"/>
    <s v="Female"/>
    <x v="3"/>
    <x v="0"/>
    <x v="1"/>
    <s v="Yoga Mat"/>
    <x v="4"/>
    <n v="3"/>
    <n v="1544.08"/>
    <n v="0.1"/>
    <n v="4169.0200000000004"/>
    <n v="2027.08"/>
    <n v="2141.94"/>
    <s v="Credit Card"/>
    <x v="2"/>
    <n v="5"/>
    <x v="6"/>
  </r>
  <r>
    <s v="ORD101236"/>
    <d v="2025-11-21T00:00:00"/>
    <s v="Decathlon Noida"/>
    <x v="5"/>
    <x v="0"/>
    <s v="CUST1742"/>
    <s v="Female"/>
    <x v="2"/>
    <x v="1"/>
    <x v="4"/>
    <s v="Shin Guards"/>
    <x v="1"/>
    <n v="5"/>
    <n v="1046.94"/>
    <n v="0.05"/>
    <n v="4972.97"/>
    <n v="2615.29"/>
    <n v="2357.6799999999998"/>
    <s v="Credit Card"/>
    <x v="4"/>
    <n v="5"/>
    <x v="2"/>
  </r>
  <r>
    <s v="ORD101237"/>
    <d v="2025-03-21T00:00:00"/>
    <s v="Decathlon Ahmedabad"/>
    <x v="2"/>
    <x v="1"/>
    <s v="CUST1776"/>
    <s v="Female"/>
    <x v="0"/>
    <x v="2"/>
    <x v="3"/>
    <s v="Cycling Gloves"/>
    <x v="2"/>
    <n v="5"/>
    <n v="834.02"/>
    <n v="0"/>
    <n v="4170.1000000000004"/>
    <n v="1833.31"/>
    <n v="2336.79"/>
    <s v="Net Banking"/>
    <x v="1"/>
    <n v="3"/>
    <x v="1"/>
  </r>
  <r>
    <s v="ORD101238"/>
    <d v="2025-05-17T00:00:00"/>
    <s v="Decathlon Gurugram"/>
    <x v="8"/>
    <x v="0"/>
    <s v="CUST1192"/>
    <s v="Female"/>
    <x v="0"/>
    <x v="1"/>
    <x v="0"/>
    <s v="Fitness Band"/>
    <x v="6"/>
    <n v="2"/>
    <n v="2455.29"/>
    <n v="0.2"/>
    <n v="3928.46"/>
    <n v="3031.19"/>
    <n v="897.27"/>
    <s v="UPI"/>
    <x v="9"/>
    <n v="5"/>
    <x v="10"/>
  </r>
  <r>
    <s v="ORD101239"/>
    <d v="2025-01-31T00:00:00"/>
    <s v="Decathlon Ahmedabad"/>
    <x v="2"/>
    <x v="1"/>
    <s v="CUST1801"/>
    <s v="Male"/>
    <x v="0"/>
    <x v="1"/>
    <x v="0"/>
    <s v="Running T-Shirt"/>
    <x v="2"/>
    <n v="1"/>
    <n v="1047.44"/>
    <n v="0.15"/>
    <n v="890.32"/>
    <n v="427.8"/>
    <n v="462.52"/>
    <s v="Credit Card"/>
    <x v="5"/>
    <n v="3"/>
    <x v="4"/>
  </r>
  <r>
    <s v="ORD101240"/>
    <d v="2025-06-15T00:00:00"/>
    <s v="Decathlon Mumbai"/>
    <x v="6"/>
    <x v="1"/>
    <s v="CUST1789"/>
    <s v="Female"/>
    <x v="2"/>
    <x v="1"/>
    <x v="1"/>
    <s v="Yoga Block"/>
    <x v="3"/>
    <n v="1"/>
    <n v="607.96"/>
    <n v="0.15"/>
    <n v="516.77"/>
    <n v="263.88"/>
    <n v="252.89"/>
    <s v="Credit Card"/>
    <x v="5"/>
    <n v="3"/>
    <x v="11"/>
  </r>
  <r>
    <s v="ORD101241"/>
    <d v="2025-01-22T00:00:00"/>
    <s v="Decathlon Delhi"/>
    <x v="9"/>
    <x v="0"/>
    <s v="CUST1321"/>
    <s v="Female"/>
    <x v="3"/>
    <x v="2"/>
    <x v="1"/>
    <s v="Resistance Band"/>
    <x v="4"/>
    <n v="3"/>
    <n v="878.52"/>
    <n v="0.05"/>
    <n v="2503.7800000000002"/>
    <n v="1236.93"/>
    <n v="1266.8499999999999"/>
    <s v="Credit Card"/>
    <x v="8"/>
    <n v="3"/>
    <x v="4"/>
  </r>
  <r>
    <s v="ORD101242"/>
    <d v="2025-04-05T00:00:00"/>
    <s v="Decathlon Jaipur"/>
    <x v="0"/>
    <x v="0"/>
    <s v="CUST1603"/>
    <s v="Male"/>
    <x v="2"/>
    <x v="0"/>
    <x v="3"/>
    <s v="Helmet"/>
    <x v="7"/>
    <n v="3"/>
    <n v="2039.31"/>
    <n v="0.25"/>
    <n v="4588.45"/>
    <n v="3400.5"/>
    <n v="1187.95"/>
    <s v="Debit Card"/>
    <x v="4"/>
    <n v="3"/>
    <x v="5"/>
  </r>
  <r>
    <s v="ORD101243"/>
    <d v="2025-09-23T00:00:00"/>
    <s v="Decathlon Mumbai"/>
    <x v="6"/>
    <x v="1"/>
    <s v="CUST1965"/>
    <s v="Male"/>
    <x v="3"/>
    <x v="0"/>
    <x v="3"/>
    <s v="Cycling Gloves"/>
    <x v="1"/>
    <n v="4"/>
    <n v="808.77"/>
    <n v="0.3"/>
    <n v="2264.56"/>
    <n v="1377.16"/>
    <n v="887.4"/>
    <s v="Credit Card"/>
    <x v="0"/>
    <n v="3"/>
    <x v="7"/>
  </r>
  <r>
    <s v="ORD101244"/>
    <d v="2025-06-09T00:00:00"/>
    <s v="Decathlon Bengaluru"/>
    <x v="4"/>
    <x v="2"/>
    <s v="CUST1859"/>
    <s v="Female"/>
    <x v="3"/>
    <x v="0"/>
    <x v="0"/>
    <s v="Running T-Shirt"/>
    <x v="3"/>
    <n v="3"/>
    <n v="966.64"/>
    <n v="0.3"/>
    <n v="2029.94"/>
    <n v="1377.8"/>
    <n v="652.14"/>
    <s v="Cash"/>
    <x v="4"/>
    <n v="4"/>
    <x v="11"/>
  </r>
  <r>
    <s v="ORD101245"/>
    <d v="2025-05-21T00:00:00"/>
    <s v="Decathlon Bengaluru"/>
    <x v="4"/>
    <x v="2"/>
    <s v="CUST1856"/>
    <s v="Male"/>
    <x v="3"/>
    <x v="2"/>
    <x v="0"/>
    <s v="Running Shoes"/>
    <x v="3"/>
    <n v="3"/>
    <n v="4132.54"/>
    <n v="0.05"/>
    <n v="11777.74"/>
    <n v="6758.55"/>
    <n v="5019.1899999999996"/>
    <s v="Credit Card"/>
    <x v="1"/>
    <n v="4"/>
    <x v="10"/>
  </r>
  <r>
    <s v="ORD101246"/>
    <d v="2025-06-04T00:00:00"/>
    <s v="Decathlon Hyderabad"/>
    <x v="7"/>
    <x v="2"/>
    <s v="CUST1310"/>
    <s v="Male"/>
    <x v="1"/>
    <x v="2"/>
    <x v="1"/>
    <s v="Resistance Band"/>
    <x v="3"/>
    <n v="4"/>
    <n v="885.41"/>
    <n v="0.25"/>
    <n v="2656.23"/>
    <n v="1635.97"/>
    <n v="1020.26"/>
    <s v="Net Banking"/>
    <x v="7"/>
    <n v="4"/>
    <x v="11"/>
  </r>
  <r>
    <s v="ORD101247"/>
    <d v="2025-07-26T00:00:00"/>
    <s v="Decathlon Hyderabad"/>
    <x v="7"/>
    <x v="2"/>
    <s v="CUST1109"/>
    <s v="Male"/>
    <x v="2"/>
    <x v="1"/>
    <x v="2"/>
    <s v="Swimsuit"/>
    <x v="5"/>
    <n v="1"/>
    <n v="1528.94"/>
    <n v="0.05"/>
    <n v="1452.49"/>
    <n v="810.84"/>
    <n v="641.65"/>
    <s v="Credit Card"/>
    <x v="6"/>
    <n v="3"/>
    <x v="8"/>
  </r>
  <r>
    <s v="ORD101248"/>
    <d v="2025-08-17T00:00:00"/>
    <s v="Decathlon Hyderabad"/>
    <x v="7"/>
    <x v="2"/>
    <s v="CUST1323"/>
    <s v="Male"/>
    <x v="3"/>
    <x v="0"/>
    <x v="2"/>
    <s v="Swim Cap"/>
    <x v="4"/>
    <n v="5"/>
    <n v="504.73"/>
    <n v="0"/>
    <n v="2523.65"/>
    <n v="1139.6300000000001"/>
    <n v="1384.02"/>
    <s v="Net Banking"/>
    <x v="3"/>
    <n v="4"/>
    <x v="3"/>
  </r>
  <r>
    <s v="ORD101249"/>
    <d v="2025-10-14T00:00:00"/>
    <s v="Decathlon Chennai"/>
    <x v="3"/>
    <x v="2"/>
    <s v="CUST1622"/>
    <s v="Male"/>
    <x v="3"/>
    <x v="0"/>
    <x v="1"/>
    <s v="Yoga Block"/>
    <x v="1"/>
    <n v="2"/>
    <n v="597.44000000000005"/>
    <n v="0.3"/>
    <n v="836.42"/>
    <n v="523.91999999999996"/>
    <n v="312.5"/>
    <s v="Cash"/>
    <x v="3"/>
    <n v="4"/>
    <x v="9"/>
  </r>
  <r>
    <s v="ORD101250"/>
    <d v="2025-03-20T00:00:00"/>
    <s v="Decathlon Pune"/>
    <x v="1"/>
    <x v="1"/>
    <s v="CUST1921"/>
    <s v="Female"/>
    <x v="2"/>
    <x v="2"/>
    <x v="5"/>
    <s v="Trekking Shoes"/>
    <x v="5"/>
    <n v="2"/>
    <n v="4951.28"/>
    <n v="0.25"/>
    <n v="7426.92"/>
    <n v="6262.2"/>
    <n v="1164.72"/>
    <s v="Credit Card"/>
    <x v="0"/>
    <n v="3"/>
    <x v="1"/>
  </r>
  <r>
    <s v="ORD101251"/>
    <d v="2025-02-09T00:00:00"/>
    <s v="Decathlon Bengaluru"/>
    <x v="4"/>
    <x v="2"/>
    <s v="CUST1110"/>
    <s v="Female"/>
    <x v="1"/>
    <x v="1"/>
    <x v="3"/>
    <s v="Helmet"/>
    <x v="7"/>
    <n v="4"/>
    <n v="1921.21"/>
    <n v="0.2"/>
    <n v="6147.87"/>
    <n v="4263.1400000000003"/>
    <n v="1884.73"/>
    <s v="Net Banking"/>
    <x v="8"/>
    <n v="4"/>
    <x v="6"/>
  </r>
  <r>
    <s v="ORD101252"/>
    <d v="2025-10-12T00:00:00"/>
    <s v="Decathlon Hyderabad"/>
    <x v="7"/>
    <x v="2"/>
    <s v="CUST1932"/>
    <s v="Female"/>
    <x v="2"/>
    <x v="1"/>
    <x v="3"/>
    <s v="Cycling Gloves"/>
    <x v="5"/>
    <n v="4"/>
    <n v="805.35"/>
    <n v="0.1"/>
    <n v="2899.26"/>
    <n v="1336.56"/>
    <n v="1562.7"/>
    <s v="Cash"/>
    <x v="8"/>
    <n v="3"/>
    <x v="9"/>
  </r>
  <r>
    <s v="ORD101253"/>
    <d v="2025-04-21T00:00:00"/>
    <s v="Decathlon Ahmedabad"/>
    <x v="2"/>
    <x v="1"/>
    <s v="CUST1157"/>
    <s v="Male"/>
    <x v="2"/>
    <x v="1"/>
    <x v="3"/>
    <s v="Helmet"/>
    <x v="7"/>
    <n v="5"/>
    <n v="1953.81"/>
    <n v="0.25"/>
    <n v="7326.79"/>
    <n v="5350.15"/>
    <n v="1976.64"/>
    <s v="Credit Card"/>
    <x v="0"/>
    <n v="5"/>
    <x v="5"/>
  </r>
  <r>
    <s v="ORD101254"/>
    <d v="2025-06-04T00:00:00"/>
    <s v="Decathlon Chennai"/>
    <x v="3"/>
    <x v="2"/>
    <s v="CUST1655"/>
    <s v="Male"/>
    <x v="2"/>
    <x v="1"/>
    <x v="5"/>
    <s v="Backpack"/>
    <x v="6"/>
    <n v="4"/>
    <n v="2915.9"/>
    <n v="0.05"/>
    <n v="11080.42"/>
    <n v="6560.51"/>
    <n v="4519.91"/>
    <s v="Credit Card"/>
    <x v="4"/>
    <n v="4"/>
    <x v="11"/>
  </r>
  <r>
    <s v="ORD101255"/>
    <d v="2025-12-03T00:00:00"/>
    <s v="Decathlon Jaipur"/>
    <x v="0"/>
    <x v="0"/>
    <s v="CUST1449"/>
    <s v="Male"/>
    <x v="1"/>
    <x v="0"/>
    <x v="3"/>
    <s v="Cycling Gloves"/>
    <x v="2"/>
    <n v="5"/>
    <n v="810.5"/>
    <n v="0.25"/>
    <n v="3039.38"/>
    <n v="1742.83"/>
    <n v="1296.55"/>
    <s v="Debit Card"/>
    <x v="0"/>
    <n v="5"/>
    <x v="0"/>
  </r>
  <r>
    <s v="ORD101256"/>
    <d v="2025-12-04T00:00:00"/>
    <s v="Decathlon Hyderabad"/>
    <x v="7"/>
    <x v="2"/>
    <s v="CUST1939"/>
    <s v="Female"/>
    <x v="3"/>
    <x v="2"/>
    <x v="2"/>
    <s v="Swimming Goggles"/>
    <x v="0"/>
    <n v="5"/>
    <n v="896.99"/>
    <n v="0.2"/>
    <n v="3587.96"/>
    <n v="2221.0500000000002"/>
    <n v="1366.91"/>
    <s v="Debit Card"/>
    <x v="4"/>
    <n v="4"/>
    <x v="0"/>
  </r>
  <r>
    <s v="ORD101257"/>
    <d v="2025-06-26T00:00:00"/>
    <s v="Decathlon Bengaluru"/>
    <x v="4"/>
    <x v="2"/>
    <s v="CUST1607"/>
    <s v="Female"/>
    <x v="0"/>
    <x v="2"/>
    <x v="5"/>
    <s v="Backpack"/>
    <x v="3"/>
    <n v="1"/>
    <n v="2878.95"/>
    <n v="0.1"/>
    <n v="2591.0500000000002"/>
    <n v="1727.01"/>
    <n v="864.04"/>
    <s v="Debit Card"/>
    <x v="1"/>
    <n v="4"/>
    <x v="11"/>
  </r>
  <r>
    <s v="ORD101258"/>
    <d v="2025-02-26T00:00:00"/>
    <s v="Decathlon Jaipur"/>
    <x v="0"/>
    <x v="0"/>
    <s v="CUST1738"/>
    <s v="Female"/>
    <x v="1"/>
    <x v="0"/>
    <x v="0"/>
    <s v="Running T-Shirt"/>
    <x v="7"/>
    <n v="5"/>
    <n v="1022.71"/>
    <n v="0.25"/>
    <n v="3835.16"/>
    <n v="2356.44"/>
    <n v="1478.72"/>
    <s v="Cash"/>
    <x v="4"/>
    <n v="5"/>
    <x v="6"/>
  </r>
  <r>
    <s v="ORD101259"/>
    <d v="2025-08-01T00:00:00"/>
    <s v="Decathlon Bengaluru"/>
    <x v="4"/>
    <x v="2"/>
    <s v="CUST1889"/>
    <s v="Female"/>
    <x v="2"/>
    <x v="1"/>
    <x v="3"/>
    <s v="Helmet"/>
    <x v="7"/>
    <n v="4"/>
    <n v="2051.94"/>
    <n v="0.25"/>
    <n v="6155.82"/>
    <n v="4230.42"/>
    <n v="1925.4"/>
    <s v="UPI"/>
    <x v="8"/>
    <n v="5"/>
    <x v="3"/>
  </r>
  <r>
    <s v="ORD101260"/>
    <d v="2025-12-02T00:00:00"/>
    <s v="Decathlon Hyderabad"/>
    <x v="7"/>
    <x v="2"/>
    <s v="CUST1778"/>
    <s v="Female"/>
    <x v="2"/>
    <x v="1"/>
    <x v="4"/>
    <s v="Football Boots"/>
    <x v="2"/>
    <n v="5"/>
    <n v="3590.51"/>
    <n v="0.25"/>
    <n v="13464.41"/>
    <n v="10304.540000000001"/>
    <n v="3159.87"/>
    <s v="Net Banking"/>
    <x v="5"/>
    <n v="4"/>
    <x v="0"/>
  </r>
  <r>
    <s v="ORD101261"/>
    <d v="2025-04-18T00:00:00"/>
    <s v="Decathlon Bengaluru"/>
    <x v="4"/>
    <x v="2"/>
    <s v="CUST1161"/>
    <s v="Female"/>
    <x v="0"/>
    <x v="0"/>
    <x v="1"/>
    <s v="Yoga Mat"/>
    <x v="4"/>
    <n v="3"/>
    <n v="1566.66"/>
    <n v="0.15"/>
    <n v="3994.98"/>
    <n v="2018.02"/>
    <n v="1976.96"/>
    <s v="Debit Card"/>
    <x v="6"/>
    <n v="5"/>
    <x v="5"/>
  </r>
  <r>
    <s v="ORD101262"/>
    <d v="2025-11-14T00:00:00"/>
    <s v="Decathlon Delhi"/>
    <x v="9"/>
    <x v="0"/>
    <s v="CUST1333"/>
    <s v="Male"/>
    <x v="3"/>
    <x v="0"/>
    <x v="1"/>
    <s v="Resistance Band"/>
    <x v="2"/>
    <n v="3"/>
    <n v="876.03"/>
    <n v="0.3"/>
    <n v="1839.66"/>
    <n v="1220.82"/>
    <n v="618.84"/>
    <s v="UPI"/>
    <x v="4"/>
    <n v="4"/>
    <x v="2"/>
  </r>
  <r>
    <s v="ORD101263"/>
    <d v="2025-04-27T00:00:00"/>
    <s v="Decathlon Noida"/>
    <x v="5"/>
    <x v="0"/>
    <s v="CUST1363"/>
    <s v="Female"/>
    <x v="2"/>
    <x v="2"/>
    <x v="1"/>
    <s v="Resistance Band"/>
    <x v="0"/>
    <n v="1"/>
    <n v="886.37"/>
    <n v="0.15"/>
    <n v="753.41"/>
    <n v="389.31"/>
    <n v="364.1"/>
    <s v="Debit Card"/>
    <x v="9"/>
    <n v="4"/>
    <x v="5"/>
  </r>
  <r>
    <s v="ORD101264"/>
    <d v="2025-11-27T00:00:00"/>
    <s v="Decathlon Hyderabad"/>
    <x v="7"/>
    <x v="2"/>
    <s v="CUST1893"/>
    <s v="Female"/>
    <x v="3"/>
    <x v="0"/>
    <x v="3"/>
    <s v="Cycling Gloves"/>
    <x v="6"/>
    <n v="1"/>
    <n v="790.52"/>
    <n v="0.1"/>
    <n v="711.47"/>
    <n v="337.1"/>
    <n v="374.37"/>
    <s v="Net Banking"/>
    <x v="0"/>
    <n v="3"/>
    <x v="2"/>
  </r>
  <r>
    <s v="ORD101265"/>
    <d v="2025-04-12T00:00:00"/>
    <s v="Decathlon Ahmedabad"/>
    <x v="2"/>
    <x v="1"/>
    <s v="CUST1297"/>
    <s v="Female"/>
    <x v="3"/>
    <x v="1"/>
    <x v="0"/>
    <s v="Running T-Shirt"/>
    <x v="4"/>
    <n v="3"/>
    <n v="1012.52"/>
    <n v="0.05"/>
    <n v="2885.68"/>
    <n v="1395.79"/>
    <n v="1489.89"/>
    <s v="UPI"/>
    <x v="0"/>
    <n v="3"/>
    <x v="5"/>
  </r>
  <r>
    <s v="ORD101266"/>
    <d v="2025-11-27T00:00:00"/>
    <s v="Decathlon Mumbai"/>
    <x v="6"/>
    <x v="1"/>
    <s v="CUST1980"/>
    <s v="Male"/>
    <x v="2"/>
    <x v="0"/>
    <x v="4"/>
    <s v="Shin Guards"/>
    <x v="0"/>
    <n v="4"/>
    <n v="995.96"/>
    <n v="0.15"/>
    <n v="3386.26"/>
    <n v="2036.59"/>
    <n v="1349.67"/>
    <s v="Net Banking"/>
    <x v="5"/>
    <n v="4"/>
    <x v="2"/>
  </r>
  <r>
    <s v="ORD101267"/>
    <d v="2025-05-11T00:00:00"/>
    <s v="Decathlon Delhi"/>
    <x v="9"/>
    <x v="0"/>
    <s v="CUST1943"/>
    <s v="Female"/>
    <x v="3"/>
    <x v="0"/>
    <x v="5"/>
    <s v="Trekking Shoes"/>
    <x v="1"/>
    <n v="5"/>
    <n v="5012.3900000000003"/>
    <n v="0.25"/>
    <n v="18796.46"/>
    <n v="16550.349999999999"/>
    <n v="2246.11"/>
    <s v="Net Banking"/>
    <x v="7"/>
    <n v="4"/>
    <x v="10"/>
  </r>
  <r>
    <s v="ORD101268"/>
    <d v="2025-03-31T00:00:00"/>
    <s v="Decathlon Jaipur"/>
    <x v="0"/>
    <x v="0"/>
    <s v="CUST1569"/>
    <s v="Female"/>
    <x v="3"/>
    <x v="2"/>
    <x v="4"/>
    <s v="Shin Guards"/>
    <x v="2"/>
    <n v="2"/>
    <n v="992.21"/>
    <n v="0.25"/>
    <n v="1488.32"/>
    <n v="976.65"/>
    <n v="511.67"/>
    <s v="Credit Card"/>
    <x v="0"/>
    <n v="5"/>
    <x v="1"/>
  </r>
  <r>
    <s v="ORD101269"/>
    <d v="2025-07-11T00:00:00"/>
    <s v="Decathlon Delhi"/>
    <x v="9"/>
    <x v="0"/>
    <s v="CUST1434"/>
    <s v="Female"/>
    <x v="0"/>
    <x v="2"/>
    <x v="1"/>
    <s v="Yoga Block"/>
    <x v="6"/>
    <n v="4"/>
    <n v="598.66"/>
    <n v="0.25"/>
    <n v="1795.98"/>
    <n v="1013.5"/>
    <n v="782.48"/>
    <s v="Credit Card"/>
    <x v="0"/>
    <n v="3"/>
    <x v="8"/>
  </r>
  <r>
    <s v="ORD101270"/>
    <d v="2025-10-16T00:00:00"/>
    <s v="Decathlon Bengaluru"/>
    <x v="4"/>
    <x v="2"/>
    <s v="CUST1073"/>
    <s v="Male"/>
    <x v="2"/>
    <x v="2"/>
    <x v="1"/>
    <s v="Resistance Band"/>
    <x v="3"/>
    <n v="1"/>
    <n v="879.67"/>
    <n v="0.2"/>
    <n v="703.74"/>
    <n v="390.55"/>
    <n v="313.19"/>
    <s v="Cash"/>
    <x v="2"/>
    <n v="3"/>
    <x v="9"/>
  </r>
  <r>
    <s v="ORD101271"/>
    <d v="2025-07-15T00:00:00"/>
    <s v="Decathlon Jaipur"/>
    <x v="0"/>
    <x v="0"/>
    <s v="CUST1272"/>
    <s v="Male"/>
    <x v="1"/>
    <x v="2"/>
    <x v="1"/>
    <s v="Yoga Mat"/>
    <x v="6"/>
    <n v="4"/>
    <n v="1503.18"/>
    <n v="0"/>
    <n v="6012.72"/>
    <n v="2671.49"/>
    <n v="3341.23"/>
    <s v="Net Banking"/>
    <x v="5"/>
    <n v="4"/>
    <x v="8"/>
  </r>
  <r>
    <s v="ORD101272"/>
    <d v="2025-04-01T00:00:00"/>
    <s v="Decathlon Gurugram"/>
    <x v="8"/>
    <x v="0"/>
    <s v="CUST1280"/>
    <s v="Male"/>
    <x v="1"/>
    <x v="1"/>
    <x v="4"/>
    <s v="Football"/>
    <x v="3"/>
    <n v="4"/>
    <n v="1328.51"/>
    <n v="0.2"/>
    <n v="4251.2299999999996"/>
    <n v="2692.74"/>
    <n v="1558.49"/>
    <s v="Credit Card"/>
    <x v="3"/>
    <n v="5"/>
    <x v="5"/>
  </r>
  <r>
    <s v="ORD101273"/>
    <d v="2025-08-19T00:00:00"/>
    <s v="Decathlon Chennai"/>
    <x v="3"/>
    <x v="2"/>
    <s v="CUST1605"/>
    <s v="Female"/>
    <x v="2"/>
    <x v="1"/>
    <x v="1"/>
    <s v="Yoga Block"/>
    <x v="3"/>
    <n v="2"/>
    <n v="571.6"/>
    <n v="0"/>
    <n v="1143.2"/>
    <n v="541.04"/>
    <n v="602.16"/>
    <s v="Net Banking"/>
    <x v="4"/>
    <n v="3"/>
    <x v="3"/>
  </r>
  <r>
    <s v="ORD101274"/>
    <d v="2025-06-12T00:00:00"/>
    <s v="Decathlon Mumbai"/>
    <x v="6"/>
    <x v="1"/>
    <s v="CUST1971"/>
    <s v="Female"/>
    <x v="3"/>
    <x v="1"/>
    <x v="3"/>
    <s v="Mountain Bike"/>
    <x v="2"/>
    <n v="5"/>
    <n v="24136.5"/>
    <n v="0.3"/>
    <n v="84477.75"/>
    <n v="91188.02"/>
    <n v="-6710.27"/>
    <s v="Cash"/>
    <x v="0"/>
    <n v="4"/>
    <x v="11"/>
  </r>
  <r>
    <s v="ORD101275"/>
    <d v="2025-12-09T00:00:00"/>
    <s v="Decathlon Jaipur"/>
    <x v="0"/>
    <x v="0"/>
    <s v="CUST1529"/>
    <s v="Male"/>
    <x v="3"/>
    <x v="1"/>
    <x v="2"/>
    <s v="Swimsuit"/>
    <x v="5"/>
    <n v="4"/>
    <n v="1474.2"/>
    <n v="0.1"/>
    <n v="5307.12"/>
    <n v="3488.78"/>
    <n v="1818.34"/>
    <s v="UPI"/>
    <x v="5"/>
    <n v="4"/>
    <x v="0"/>
  </r>
  <r>
    <s v="ORD101276"/>
    <d v="2025-07-06T00:00:00"/>
    <s v="Decathlon Hyderabad"/>
    <x v="7"/>
    <x v="2"/>
    <s v="CUST1566"/>
    <s v="Female"/>
    <x v="3"/>
    <x v="2"/>
    <x v="1"/>
    <s v="Yoga Block"/>
    <x v="4"/>
    <n v="1"/>
    <n v="577.14"/>
    <n v="0.3"/>
    <n v="404"/>
    <n v="257.76"/>
    <n v="146.24"/>
    <s v="Credit Card"/>
    <x v="8"/>
    <n v="4"/>
    <x v="8"/>
  </r>
  <r>
    <s v="ORD101277"/>
    <d v="2025-08-22T00:00:00"/>
    <s v="Decathlon Ahmedabad"/>
    <x v="2"/>
    <x v="1"/>
    <s v="CUST1327"/>
    <s v="Male"/>
    <x v="0"/>
    <x v="1"/>
    <x v="0"/>
    <s v="Fitness Band"/>
    <x v="4"/>
    <n v="1"/>
    <n v="2467.2600000000002"/>
    <n v="0.2"/>
    <n v="1973.81"/>
    <n v="1498.75"/>
    <n v="475.06"/>
    <s v="UPI"/>
    <x v="7"/>
    <n v="5"/>
    <x v="3"/>
  </r>
  <r>
    <s v="ORD101278"/>
    <d v="2025-05-15T00:00:00"/>
    <s v="Decathlon Noida"/>
    <x v="5"/>
    <x v="0"/>
    <s v="CUST1571"/>
    <s v="Female"/>
    <x v="2"/>
    <x v="2"/>
    <x v="0"/>
    <s v="Running T-Shirt"/>
    <x v="7"/>
    <n v="2"/>
    <n v="1022.76"/>
    <n v="0"/>
    <n v="2045.52"/>
    <n v="891.92"/>
    <n v="1153.5999999999999"/>
    <s v="Net Banking"/>
    <x v="7"/>
    <n v="3"/>
    <x v="10"/>
  </r>
  <r>
    <s v="ORD101279"/>
    <d v="2025-08-07T00:00:00"/>
    <s v="Decathlon Bengaluru"/>
    <x v="4"/>
    <x v="2"/>
    <s v="CUST1020"/>
    <s v="Male"/>
    <x v="2"/>
    <x v="2"/>
    <x v="1"/>
    <s v="Yoga Mat"/>
    <x v="2"/>
    <n v="1"/>
    <n v="1512.41"/>
    <n v="0"/>
    <n v="1512.41"/>
    <n v="669.61"/>
    <n v="842.8"/>
    <s v="Cash"/>
    <x v="7"/>
    <n v="4"/>
    <x v="3"/>
  </r>
  <r>
    <s v="ORD101280"/>
    <d v="2025-08-28T00:00:00"/>
    <s v="Decathlon Pune"/>
    <x v="1"/>
    <x v="1"/>
    <s v="CUST1490"/>
    <s v="Female"/>
    <x v="1"/>
    <x v="1"/>
    <x v="4"/>
    <s v="Football"/>
    <x v="7"/>
    <n v="5"/>
    <n v="1348.79"/>
    <n v="0"/>
    <n v="6743.95"/>
    <n v="3418.47"/>
    <n v="3325.48"/>
    <s v="Debit Card"/>
    <x v="3"/>
    <n v="5"/>
    <x v="3"/>
  </r>
  <r>
    <s v="ORD101281"/>
    <d v="2025-09-26T00:00:00"/>
    <s v="Decathlon Jaipur"/>
    <x v="0"/>
    <x v="0"/>
    <s v="CUST1180"/>
    <s v="Male"/>
    <x v="1"/>
    <x v="1"/>
    <x v="2"/>
    <s v="Swim Cap"/>
    <x v="7"/>
    <n v="4"/>
    <n v="481.88"/>
    <n v="0.2"/>
    <n v="1542.02"/>
    <n v="876.18"/>
    <n v="665.84"/>
    <s v="Net Banking"/>
    <x v="9"/>
    <n v="5"/>
    <x v="7"/>
  </r>
  <r>
    <s v="ORD101282"/>
    <d v="2025-12-12T00:00:00"/>
    <s v="Decathlon Ahmedabad"/>
    <x v="2"/>
    <x v="1"/>
    <s v="CUST1566"/>
    <s v="Male"/>
    <x v="2"/>
    <x v="2"/>
    <x v="2"/>
    <s v="Swimsuit"/>
    <x v="1"/>
    <n v="2"/>
    <n v="1489.57"/>
    <n v="0.1"/>
    <n v="2681.23"/>
    <n v="1674.47"/>
    <n v="1006.76"/>
    <s v="Debit Card"/>
    <x v="1"/>
    <n v="5"/>
    <x v="0"/>
  </r>
  <r>
    <s v="ORD101283"/>
    <d v="2025-04-30T00:00:00"/>
    <s v="Decathlon Pune"/>
    <x v="1"/>
    <x v="1"/>
    <s v="CUST1484"/>
    <s v="Female"/>
    <x v="1"/>
    <x v="2"/>
    <x v="5"/>
    <s v="Backpack"/>
    <x v="0"/>
    <n v="2"/>
    <n v="3074.29"/>
    <n v="0"/>
    <n v="6148.58"/>
    <n v="3473.13"/>
    <n v="2675.45"/>
    <s v="UPI"/>
    <x v="4"/>
    <n v="3"/>
    <x v="5"/>
  </r>
  <r>
    <s v="ORD101284"/>
    <d v="2025-07-08T00:00:00"/>
    <s v="Decathlon Ahmedabad"/>
    <x v="2"/>
    <x v="1"/>
    <s v="CUST1139"/>
    <s v="Male"/>
    <x v="2"/>
    <x v="1"/>
    <x v="0"/>
    <s v="Running Shoes"/>
    <x v="3"/>
    <n v="3"/>
    <n v="3899.57"/>
    <n v="0.1"/>
    <n v="10528.84"/>
    <n v="6757.54"/>
    <n v="3771.3"/>
    <s v="Net Banking"/>
    <x v="5"/>
    <n v="4"/>
    <x v="8"/>
  </r>
  <r>
    <s v="ORD101285"/>
    <d v="2025-09-08T00:00:00"/>
    <s v="Decathlon Noida"/>
    <x v="5"/>
    <x v="0"/>
    <s v="CUST1391"/>
    <s v="Female"/>
    <x v="1"/>
    <x v="1"/>
    <x v="1"/>
    <s v="Yoga Block"/>
    <x v="3"/>
    <n v="4"/>
    <n v="572.64"/>
    <n v="0.2"/>
    <n v="1832.45"/>
    <n v="1064.1099999999999"/>
    <n v="768.34"/>
    <s v="Cash"/>
    <x v="2"/>
    <n v="3"/>
    <x v="7"/>
  </r>
  <r>
    <s v="ORD101286"/>
    <d v="2025-06-28T00:00:00"/>
    <s v="Decathlon Bengaluru"/>
    <x v="4"/>
    <x v="2"/>
    <s v="CUST1471"/>
    <s v="Female"/>
    <x v="0"/>
    <x v="0"/>
    <x v="5"/>
    <s v="Backpack"/>
    <x v="5"/>
    <n v="1"/>
    <n v="3146.36"/>
    <n v="0.3"/>
    <n v="2202.4499999999998"/>
    <n v="1745.28"/>
    <n v="457.17"/>
    <s v="UPI"/>
    <x v="6"/>
    <n v="4"/>
    <x v="11"/>
  </r>
  <r>
    <s v="ORD101287"/>
    <d v="2025-04-25T00:00:00"/>
    <s v="Decathlon Chennai"/>
    <x v="3"/>
    <x v="2"/>
    <s v="CUST1189"/>
    <s v="Male"/>
    <x v="2"/>
    <x v="0"/>
    <x v="1"/>
    <s v="Resistance Band"/>
    <x v="2"/>
    <n v="3"/>
    <n v="942.22"/>
    <n v="0.15"/>
    <n v="2402.66"/>
    <n v="1219.19"/>
    <n v="1183.47"/>
    <s v="Debit Card"/>
    <x v="5"/>
    <n v="4"/>
    <x v="5"/>
  </r>
  <r>
    <s v="ORD101288"/>
    <d v="2025-06-10T00:00:00"/>
    <s v="Decathlon Gurugram"/>
    <x v="8"/>
    <x v="0"/>
    <s v="CUST1357"/>
    <s v="Female"/>
    <x v="2"/>
    <x v="0"/>
    <x v="4"/>
    <s v="Football"/>
    <x v="4"/>
    <n v="2"/>
    <n v="1297.96"/>
    <n v="0.1"/>
    <n v="2336.33"/>
    <n v="1459.97"/>
    <n v="876.36"/>
    <s v="Debit Card"/>
    <x v="2"/>
    <n v="5"/>
    <x v="11"/>
  </r>
  <r>
    <s v="ORD101289"/>
    <d v="2025-01-20T00:00:00"/>
    <s v="Decathlon Pune"/>
    <x v="1"/>
    <x v="1"/>
    <s v="CUST1903"/>
    <s v="Female"/>
    <x v="2"/>
    <x v="1"/>
    <x v="4"/>
    <s v="Shin Guards"/>
    <x v="1"/>
    <n v="3"/>
    <n v="978.99"/>
    <n v="0.15"/>
    <n v="2496.42"/>
    <n v="1427.81"/>
    <n v="1068.6099999999999"/>
    <s v="Net Banking"/>
    <x v="6"/>
    <n v="3"/>
    <x v="4"/>
  </r>
  <r>
    <s v="ORD101290"/>
    <d v="2025-05-03T00:00:00"/>
    <s v="Decathlon Ahmedabad"/>
    <x v="2"/>
    <x v="1"/>
    <s v="CUST1986"/>
    <s v="Male"/>
    <x v="2"/>
    <x v="1"/>
    <x v="5"/>
    <s v="Water Bottle"/>
    <x v="0"/>
    <n v="2"/>
    <n v="722.7"/>
    <n v="0.3"/>
    <n v="1011.78"/>
    <n v="504.46"/>
    <n v="507.32"/>
    <s v="Debit Card"/>
    <x v="0"/>
    <n v="5"/>
    <x v="10"/>
  </r>
  <r>
    <s v="ORD101291"/>
    <d v="2025-04-20T00:00:00"/>
    <s v="Decathlon Jaipur"/>
    <x v="0"/>
    <x v="0"/>
    <s v="CUST1683"/>
    <s v="Male"/>
    <x v="1"/>
    <x v="2"/>
    <x v="4"/>
    <s v="Football"/>
    <x v="2"/>
    <n v="5"/>
    <n v="1330.09"/>
    <n v="0.2"/>
    <n v="5320.36"/>
    <n v="3357.73"/>
    <n v="1962.63"/>
    <s v="Debit Card"/>
    <x v="1"/>
    <n v="3"/>
    <x v="5"/>
  </r>
  <r>
    <s v="ORD101292"/>
    <d v="2025-02-23T00:00:00"/>
    <s v="Decathlon Noida"/>
    <x v="5"/>
    <x v="0"/>
    <s v="CUST1058"/>
    <s v="Female"/>
    <x v="1"/>
    <x v="0"/>
    <x v="3"/>
    <s v="Mountain Bike"/>
    <x v="4"/>
    <n v="2"/>
    <n v="24929.55"/>
    <n v="0.3"/>
    <n v="34901.370000000003"/>
    <n v="36552.75"/>
    <n v="-1651.38"/>
    <s v="Debit Card"/>
    <x v="4"/>
    <n v="5"/>
    <x v="6"/>
  </r>
  <r>
    <s v="ORD101293"/>
    <d v="2025-04-20T00:00:00"/>
    <s v="Decathlon Bengaluru"/>
    <x v="4"/>
    <x v="2"/>
    <s v="CUST1721"/>
    <s v="Female"/>
    <x v="1"/>
    <x v="1"/>
    <x v="0"/>
    <s v="Fitness Band"/>
    <x v="5"/>
    <n v="3"/>
    <n v="2538.6999999999998"/>
    <n v="0"/>
    <n v="7616.1"/>
    <n v="4721.3599999999997"/>
    <n v="2894.74"/>
    <s v="Debit Card"/>
    <x v="5"/>
    <n v="5"/>
    <x v="5"/>
  </r>
  <r>
    <s v="ORD101294"/>
    <d v="2025-06-09T00:00:00"/>
    <s v="Decathlon Hyderabad"/>
    <x v="7"/>
    <x v="2"/>
    <s v="CUST1274"/>
    <s v="Female"/>
    <x v="2"/>
    <x v="2"/>
    <x v="1"/>
    <s v="Yoga Mat"/>
    <x v="6"/>
    <n v="1"/>
    <n v="1501.53"/>
    <n v="0.25"/>
    <n v="1126.1500000000001"/>
    <n v="665.5"/>
    <n v="460.65"/>
    <s v="Credit Card"/>
    <x v="6"/>
    <n v="3"/>
    <x v="11"/>
  </r>
  <r>
    <s v="ORD101295"/>
    <d v="2025-09-27T00:00:00"/>
    <s v="Decathlon Bengaluru"/>
    <x v="4"/>
    <x v="2"/>
    <s v="CUST1147"/>
    <s v="Male"/>
    <x v="0"/>
    <x v="1"/>
    <x v="0"/>
    <s v="Running Shoes"/>
    <x v="1"/>
    <n v="5"/>
    <n v="4095.18"/>
    <n v="0.3"/>
    <n v="14333.13"/>
    <n v="11015.43"/>
    <n v="3317.7"/>
    <s v="Net Banking"/>
    <x v="6"/>
    <n v="3"/>
    <x v="7"/>
  </r>
  <r>
    <s v="ORD101296"/>
    <d v="2025-11-16T00:00:00"/>
    <s v="Decathlon Ahmedabad"/>
    <x v="2"/>
    <x v="1"/>
    <s v="CUST1094"/>
    <s v="Male"/>
    <x v="1"/>
    <x v="1"/>
    <x v="4"/>
    <s v="Football Boots"/>
    <x v="7"/>
    <n v="5"/>
    <n v="3518.71"/>
    <n v="0.1"/>
    <n v="15834.19"/>
    <n v="10783.77"/>
    <n v="5050.42"/>
    <s v="UPI"/>
    <x v="6"/>
    <n v="3"/>
    <x v="2"/>
  </r>
  <r>
    <s v="ORD101297"/>
    <d v="2025-08-07T00:00:00"/>
    <s v="Decathlon Jaipur"/>
    <x v="0"/>
    <x v="0"/>
    <s v="CUST1071"/>
    <s v="Male"/>
    <x v="2"/>
    <x v="0"/>
    <x v="0"/>
    <s v="Running T-Shirt"/>
    <x v="6"/>
    <n v="4"/>
    <n v="1042.92"/>
    <n v="0.25"/>
    <n v="3128.76"/>
    <n v="1806.15"/>
    <n v="1322.61"/>
    <s v="Debit Card"/>
    <x v="6"/>
    <n v="5"/>
    <x v="3"/>
  </r>
  <r>
    <s v="ORD101298"/>
    <d v="2025-10-04T00:00:00"/>
    <s v="Decathlon Hyderabad"/>
    <x v="7"/>
    <x v="2"/>
    <s v="CUST1723"/>
    <s v="Male"/>
    <x v="0"/>
    <x v="1"/>
    <x v="3"/>
    <s v="Mountain Bike"/>
    <x v="7"/>
    <n v="4"/>
    <n v="24203.29"/>
    <n v="0.05"/>
    <n v="91972.5"/>
    <n v="70677.100000000006"/>
    <n v="21295.4"/>
    <s v="Net Banking"/>
    <x v="1"/>
    <n v="3"/>
    <x v="9"/>
  </r>
  <r>
    <s v="ORD101299"/>
    <d v="2025-05-23T00:00:00"/>
    <s v="Decathlon Chennai"/>
    <x v="3"/>
    <x v="2"/>
    <s v="CUST1566"/>
    <s v="Female"/>
    <x v="2"/>
    <x v="0"/>
    <x v="1"/>
    <s v="Yoga Mat"/>
    <x v="0"/>
    <n v="3"/>
    <n v="1525.97"/>
    <n v="0.05"/>
    <n v="4349.01"/>
    <n v="2065.7600000000002"/>
    <n v="2283.25"/>
    <s v="Debit Card"/>
    <x v="4"/>
    <n v="3"/>
    <x v="10"/>
  </r>
  <r>
    <s v="ORD101300"/>
    <d v="2025-09-27T00:00:00"/>
    <s v="Decathlon Pune"/>
    <x v="1"/>
    <x v="1"/>
    <s v="CUST1194"/>
    <s v="Female"/>
    <x v="1"/>
    <x v="0"/>
    <x v="3"/>
    <s v="Cycling Gloves"/>
    <x v="5"/>
    <n v="1"/>
    <n v="793.8"/>
    <n v="0.3"/>
    <n v="555.66"/>
    <n v="342.72"/>
    <n v="212.94"/>
    <s v="Cash"/>
    <x v="2"/>
    <n v="3"/>
    <x v="7"/>
  </r>
  <r>
    <s v="ORD101301"/>
    <d v="2025-12-26T00:00:00"/>
    <s v="Decathlon Delhi"/>
    <x v="9"/>
    <x v="0"/>
    <s v="CUST1684"/>
    <s v="Male"/>
    <x v="0"/>
    <x v="1"/>
    <x v="4"/>
    <s v="Football Boots"/>
    <x v="3"/>
    <n v="2"/>
    <n v="3582.27"/>
    <n v="0.2"/>
    <n v="5731.63"/>
    <n v="4138.3"/>
    <n v="1593.33"/>
    <s v="Cash"/>
    <x v="2"/>
    <n v="3"/>
    <x v="0"/>
  </r>
  <r>
    <s v="ORD101302"/>
    <d v="2025-07-29T00:00:00"/>
    <s v="Decathlon Delhi"/>
    <x v="9"/>
    <x v="0"/>
    <s v="CUST1441"/>
    <s v="Male"/>
    <x v="0"/>
    <x v="0"/>
    <x v="4"/>
    <s v="Football Boots"/>
    <x v="0"/>
    <n v="2"/>
    <n v="3650.88"/>
    <n v="0.2"/>
    <n v="5841.41"/>
    <n v="4221.78"/>
    <n v="1619.63"/>
    <s v="Cash"/>
    <x v="0"/>
    <n v="5"/>
    <x v="8"/>
  </r>
  <r>
    <s v="ORD101303"/>
    <d v="2025-05-26T00:00:00"/>
    <s v="Decathlon Jaipur"/>
    <x v="0"/>
    <x v="0"/>
    <s v="CUST1193"/>
    <s v="Male"/>
    <x v="0"/>
    <x v="1"/>
    <x v="0"/>
    <s v="Running T-Shirt"/>
    <x v="5"/>
    <n v="3"/>
    <n v="1033.5999999999999"/>
    <n v="0"/>
    <n v="3100.8"/>
    <n v="1356.69"/>
    <n v="1744.11"/>
    <s v="Net Banking"/>
    <x v="4"/>
    <n v="3"/>
    <x v="10"/>
  </r>
  <r>
    <s v="ORD101304"/>
    <d v="2025-11-23T00:00:00"/>
    <s v="Decathlon Jaipur"/>
    <x v="0"/>
    <x v="0"/>
    <s v="CUST1109"/>
    <s v="Female"/>
    <x v="2"/>
    <x v="0"/>
    <x v="0"/>
    <s v="Running Shoes"/>
    <x v="2"/>
    <n v="4"/>
    <n v="3908.29"/>
    <n v="0.1"/>
    <n v="14069.84"/>
    <n v="8634.9699999999993"/>
    <n v="5434.87"/>
    <s v="UPI"/>
    <x v="0"/>
    <n v="4"/>
    <x v="2"/>
  </r>
  <r>
    <s v="ORD101305"/>
    <d v="2025-01-30T00:00:00"/>
    <s v="Decathlon Mumbai"/>
    <x v="6"/>
    <x v="1"/>
    <s v="CUST1419"/>
    <s v="Male"/>
    <x v="2"/>
    <x v="2"/>
    <x v="4"/>
    <s v="Football"/>
    <x v="1"/>
    <n v="5"/>
    <n v="1251.51"/>
    <n v="0.2"/>
    <n v="5006.04"/>
    <n v="3649.79"/>
    <n v="1356.25"/>
    <s v="UPI"/>
    <x v="0"/>
    <n v="3"/>
    <x v="4"/>
  </r>
  <r>
    <s v="ORD101306"/>
    <d v="2025-06-30T00:00:00"/>
    <s v="Decathlon Mumbai"/>
    <x v="6"/>
    <x v="1"/>
    <s v="CUST1635"/>
    <s v="Male"/>
    <x v="1"/>
    <x v="1"/>
    <x v="3"/>
    <s v="Helmet"/>
    <x v="4"/>
    <n v="1"/>
    <n v="1953.11"/>
    <n v="0.25"/>
    <n v="1464.83"/>
    <n v="1046.95"/>
    <n v="417.88"/>
    <s v="Debit Card"/>
    <x v="3"/>
    <n v="3"/>
    <x v="11"/>
  </r>
  <r>
    <s v="ORD101307"/>
    <d v="2025-08-15T00:00:00"/>
    <s v="Decathlon Pune"/>
    <x v="1"/>
    <x v="1"/>
    <s v="CUST1873"/>
    <s v="Female"/>
    <x v="0"/>
    <x v="1"/>
    <x v="3"/>
    <s v="Helmet"/>
    <x v="0"/>
    <n v="1"/>
    <n v="1930.12"/>
    <n v="0.15"/>
    <n v="1640.6"/>
    <n v="1062.06"/>
    <n v="578.54"/>
    <s v="Cash"/>
    <x v="7"/>
    <n v="5"/>
    <x v="3"/>
  </r>
  <r>
    <s v="ORD101308"/>
    <d v="2025-12-01T00:00:00"/>
    <s v="Decathlon Hyderabad"/>
    <x v="7"/>
    <x v="2"/>
    <s v="CUST1633"/>
    <s v="Female"/>
    <x v="3"/>
    <x v="1"/>
    <x v="3"/>
    <s v="Helmet"/>
    <x v="7"/>
    <n v="1"/>
    <n v="2048.5700000000002"/>
    <n v="0.1"/>
    <n v="1843.71"/>
    <n v="1089.03"/>
    <n v="754.68"/>
    <s v="UPI"/>
    <x v="7"/>
    <n v="3"/>
    <x v="0"/>
  </r>
  <r>
    <s v="ORD101309"/>
    <d v="2025-10-02T00:00:00"/>
    <s v="Decathlon Noida"/>
    <x v="5"/>
    <x v="0"/>
    <s v="CUST1714"/>
    <s v="Male"/>
    <x v="3"/>
    <x v="1"/>
    <x v="2"/>
    <s v="Swim Cap"/>
    <x v="1"/>
    <n v="5"/>
    <n v="509.65"/>
    <n v="0.15"/>
    <n v="2166.0100000000002"/>
    <n v="1066.57"/>
    <n v="1099.44"/>
    <s v="Cash"/>
    <x v="8"/>
    <n v="4"/>
    <x v="9"/>
  </r>
  <r>
    <s v="ORD101310"/>
    <d v="2025-01-20T00:00:00"/>
    <s v="Decathlon Bengaluru"/>
    <x v="4"/>
    <x v="2"/>
    <s v="CUST1608"/>
    <s v="Male"/>
    <x v="0"/>
    <x v="2"/>
    <x v="1"/>
    <s v="Resistance Band"/>
    <x v="5"/>
    <n v="2"/>
    <n v="855.47"/>
    <n v="0.25"/>
    <n v="1283.2"/>
    <n v="833.6"/>
    <n v="449.6"/>
    <s v="UPI"/>
    <x v="9"/>
    <n v="3"/>
    <x v="4"/>
  </r>
  <r>
    <s v="ORD101311"/>
    <d v="2025-09-27T00:00:00"/>
    <s v="Decathlon Chennai"/>
    <x v="3"/>
    <x v="2"/>
    <s v="CUST1290"/>
    <s v="Female"/>
    <x v="0"/>
    <x v="2"/>
    <x v="0"/>
    <s v="Fitness Band"/>
    <x v="5"/>
    <n v="2"/>
    <n v="2450.46"/>
    <n v="0.2"/>
    <n v="3920.74"/>
    <n v="2866.02"/>
    <n v="1054.72"/>
    <s v="UPI"/>
    <x v="1"/>
    <n v="3"/>
    <x v="7"/>
  </r>
  <r>
    <s v="ORD101312"/>
    <d v="2025-06-04T00:00:00"/>
    <s v="Decathlon Pune"/>
    <x v="1"/>
    <x v="1"/>
    <s v="CUST1075"/>
    <s v="Female"/>
    <x v="1"/>
    <x v="1"/>
    <x v="0"/>
    <s v="Running T-Shirt"/>
    <x v="1"/>
    <n v="4"/>
    <n v="1036.3800000000001"/>
    <n v="0.2"/>
    <n v="3316.42"/>
    <n v="1770.15"/>
    <n v="1546.27"/>
    <s v="Cash"/>
    <x v="4"/>
    <n v="4"/>
    <x v="11"/>
  </r>
  <r>
    <s v="ORD101313"/>
    <d v="2025-07-10T00:00:00"/>
    <s v="Decathlon Hyderabad"/>
    <x v="7"/>
    <x v="2"/>
    <s v="CUST1507"/>
    <s v="Male"/>
    <x v="3"/>
    <x v="2"/>
    <x v="0"/>
    <s v="Running Shoes"/>
    <x v="3"/>
    <n v="1"/>
    <n v="4183.6899999999996"/>
    <n v="0.15"/>
    <n v="3556.14"/>
    <n v="2118.58"/>
    <n v="1437.56"/>
    <s v="Net Banking"/>
    <x v="5"/>
    <n v="5"/>
    <x v="8"/>
  </r>
  <r>
    <s v="ORD101314"/>
    <d v="2025-04-14T00:00:00"/>
    <s v="Decathlon Noida"/>
    <x v="5"/>
    <x v="0"/>
    <s v="CUST1249"/>
    <s v="Female"/>
    <x v="2"/>
    <x v="2"/>
    <x v="4"/>
    <s v="Shin Guards"/>
    <x v="6"/>
    <n v="4"/>
    <n v="1033.52"/>
    <n v="0.25"/>
    <n v="3100.56"/>
    <n v="2042.25"/>
    <n v="1058.31"/>
    <s v="Debit Card"/>
    <x v="7"/>
    <n v="3"/>
    <x v="5"/>
  </r>
  <r>
    <s v="ORD101315"/>
    <d v="2025-04-23T00:00:00"/>
    <s v="Decathlon Jaipur"/>
    <x v="0"/>
    <x v="0"/>
    <s v="CUST1087"/>
    <s v="Female"/>
    <x v="0"/>
    <x v="2"/>
    <x v="2"/>
    <s v="Swimsuit"/>
    <x v="6"/>
    <n v="1"/>
    <n v="1524.05"/>
    <n v="0.1"/>
    <n v="1371.64"/>
    <n v="854.65"/>
    <n v="516.99"/>
    <s v="Cash"/>
    <x v="2"/>
    <n v="5"/>
    <x v="5"/>
  </r>
  <r>
    <s v="ORD101316"/>
    <d v="2025-01-07T00:00:00"/>
    <s v="Decathlon Hyderabad"/>
    <x v="7"/>
    <x v="2"/>
    <s v="CUST1646"/>
    <s v="Female"/>
    <x v="2"/>
    <x v="1"/>
    <x v="4"/>
    <s v="Football"/>
    <x v="0"/>
    <n v="1"/>
    <n v="1292.8399999999999"/>
    <n v="0.05"/>
    <n v="1228.2"/>
    <n v="702.71"/>
    <n v="525.49"/>
    <s v="UPI"/>
    <x v="8"/>
    <n v="5"/>
    <x v="4"/>
  </r>
  <r>
    <s v="ORD101317"/>
    <d v="2025-06-13T00:00:00"/>
    <s v="Decathlon Mumbai"/>
    <x v="6"/>
    <x v="1"/>
    <s v="CUST1830"/>
    <s v="Male"/>
    <x v="2"/>
    <x v="2"/>
    <x v="3"/>
    <s v="Helmet"/>
    <x v="4"/>
    <n v="4"/>
    <n v="1969.47"/>
    <n v="0.05"/>
    <n v="7483.99"/>
    <n v="4585.09"/>
    <n v="2898.9"/>
    <s v="Net Banking"/>
    <x v="0"/>
    <n v="4"/>
    <x v="11"/>
  </r>
  <r>
    <s v="ORD101318"/>
    <d v="2025-06-24T00:00:00"/>
    <s v="Decathlon Noida"/>
    <x v="5"/>
    <x v="0"/>
    <s v="CUST1541"/>
    <s v="Male"/>
    <x v="2"/>
    <x v="0"/>
    <x v="5"/>
    <s v="Water Bottle"/>
    <x v="0"/>
    <n v="2"/>
    <n v="729"/>
    <n v="0"/>
    <n v="1458"/>
    <n v="495.29"/>
    <n v="962.71"/>
    <s v="Net Banking"/>
    <x v="0"/>
    <n v="5"/>
    <x v="11"/>
  </r>
  <r>
    <s v="ORD101319"/>
    <d v="2025-11-01T00:00:00"/>
    <s v="Decathlon Jaipur"/>
    <x v="0"/>
    <x v="0"/>
    <s v="CUST1403"/>
    <s v="Female"/>
    <x v="3"/>
    <x v="0"/>
    <x v="5"/>
    <s v="Backpack"/>
    <x v="6"/>
    <n v="4"/>
    <n v="2884.6"/>
    <n v="0.2"/>
    <n v="9230.7199999999993"/>
    <n v="6972.05"/>
    <n v="2258.67"/>
    <s v="Net Banking"/>
    <x v="3"/>
    <n v="4"/>
    <x v="2"/>
  </r>
  <r>
    <s v="ORD101320"/>
    <d v="2025-10-25T00:00:00"/>
    <s v="Decathlon Noida"/>
    <x v="5"/>
    <x v="0"/>
    <s v="CUST1209"/>
    <s v="Male"/>
    <x v="2"/>
    <x v="1"/>
    <x v="3"/>
    <s v="Helmet"/>
    <x v="5"/>
    <n v="3"/>
    <n v="1991.58"/>
    <n v="0.15"/>
    <n v="5078.53"/>
    <n v="3405.58"/>
    <n v="1672.95"/>
    <s v="Net Banking"/>
    <x v="5"/>
    <n v="4"/>
    <x v="9"/>
  </r>
  <r>
    <s v="ORD101321"/>
    <d v="2025-05-19T00:00:00"/>
    <s v="Decathlon Noida"/>
    <x v="5"/>
    <x v="0"/>
    <s v="CUST1540"/>
    <s v="Male"/>
    <x v="3"/>
    <x v="0"/>
    <x v="0"/>
    <s v="Running Shoes"/>
    <x v="2"/>
    <n v="1"/>
    <n v="3944.88"/>
    <n v="0"/>
    <n v="3944.88"/>
    <n v="2135.6999999999998"/>
    <n v="1809.18"/>
    <s v="Credit Card"/>
    <x v="5"/>
    <n v="4"/>
    <x v="10"/>
  </r>
  <r>
    <s v="ORD101322"/>
    <d v="2025-04-17T00:00:00"/>
    <s v="Decathlon Noida"/>
    <x v="5"/>
    <x v="0"/>
    <s v="CUST1514"/>
    <s v="Female"/>
    <x v="1"/>
    <x v="0"/>
    <x v="4"/>
    <s v="Football Boots"/>
    <x v="7"/>
    <n v="4"/>
    <n v="3442.08"/>
    <n v="0.1"/>
    <n v="12391.49"/>
    <n v="8300.7900000000009"/>
    <n v="4090.7"/>
    <s v="Credit Card"/>
    <x v="0"/>
    <n v="5"/>
    <x v="5"/>
  </r>
  <r>
    <s v="ORD101323"/>
    <d v="2025-09-12T00:00:00"/>
    <s v="Decathlon Pune"/>
    <x v="1"/>
    <x v="1"/>
    <s v="CUST1937"/>
    <s v="Female"/>
    <x v="2"/>
    <x v="1"/>
    <x v="1"/>
    <s v="Yoga Block"/>
    <x v="1"/>
    <n v="4"/>
    <n v="585.23"/>
    <n v="0.15"/>
    <n v="1989.78"/>
    <n v="996.65"/>
    <n v="993.13"/>
    <s v="Credit Card"/>
    <x v="0"/>
    <n v="4"/>
    <x v="7"/>
  </r>
  <r>
    <s v="ORD101324"/>
    <d v="2025-02-19T00:00:00"/>
    <s v="Decathlon Pune"/>
    <x v="1"/>
    <x v="1"/>
    <s v="CUST1074"/>
    <s v="Female"/>
    <x v="2"/>
    <x v="1"/>
    <x v="1"/>
    <s v="Yoga Mat"/>
    <x v="0"/>
    <n v="4"/>
    <n v="1478.04"/>
    <n v="0.05"/>
    <n v="5616.55"/>
    <n v="2688.72"/>
    <n v="2927.83"/>
    <s v="Debit Card"/>
    <x v="3"/>
    <n v="5"/>
    <x v="6"/>
  </r>
  <r>
    <s v="ORD101325"/>
    <d v="2025-01-29T00:00:00"/>
    <s v="Decathlon Noida"/>
    <x v="5"/>
    <x v="0"/>
    <s v="CUST1535"/>
    <s v="Female"/>
    <x v="1"/>
    <x v="1"/>
    <x v="0"/>
    <s v="Running T-Shirt"/>
    <x v="7"/>
    <n v="5"/>
    <n v="1041.75"/>
    <n v="0.05"/>
    <n v="4948.3100000000004"/>
    <n v="2162.11"/>
    <n v="2786.2"/>
    <s v="Net Banking"/>
    <x v="8"/>
    <n v="3"/>
    <x v="4"/>
  </r>
  <r>
    <s v="ORD101326"/>
    <d v="2025-06-12T00:00:00"/>
    <s v="Decathlon Pune"/>
    <x v="1"/>
    <x v="1"/>
    <s v="CUST1108"/>
    <s v="Male"/>
    <x v="1"/>
    <x v="1"/>
    <x v="2"/>
    <s v="Swim Cap"/>
    <x v="7"/>
    <n v="1"/>
    <n v="505.41"/>
    <n v="0"/>
    <n v="505.41"/>
    <n v="230.85"/>
    <n v="274.56"/>
    <s v="Cash"/>
    <x v="4"/>
    <n v="5"/>
    <x v="11"/>
  </r>
  <r>
    <s v="ORD101327"/>
    <d v="2025-07-02T00:00:00"/>
    <s v="Decathlon Mumbai"/>
    <x v="6"/>
    <x v="1"/>
    <s v="CUST1227"/>
    <s v="Female"/>
    <x v="3"/>
    <x v="2"/>
    <x v="0"/>
    <s v="Fitness Band"/>
    <x v="5"/>
    <n v="5"/>
    <n v="2466.7399999999998"/>
    <n v="0.1"/>
    <n v="11100.33"/>
    <n v="7488.68"/>
    <n v="3611.65"/>
    <s v="Net Banking"/>
    <x v="3"/>
    <n v="4"/>
    <x v="8"/>
  </r>
  <r>
    <s v="ORD101328"/>
    <d v="2025-09-10T00:00:00"/>
    <s v="Decathlon Delhi"/>
    <x v="9"/>
    <x v="0"/>
    <s v="CUST1092"/>
    <s v="Male"/>
    <x v="0"/>
    <x v="2"/>
    <x v="0"/>
    <s v="Running T-Shirt"/>
    <x v="2"/>
    <n v="2"/>
    <n v="1002.8"/>
    <n v="0.3"/>
    <n v="1403.92"/>
    <n v="919.34"/>
    <n v="484.58"/>
    <s v="Credit Card"/>
    <x v="7"/>
    <n v="3"/>
    <x v="7"/>
  </r>
  <r>
    <s v="ORD101329"/>
    <d v="2025-09-04T00:00:00"/>
    <s v="Decathlon Chennai"/>
    <x v="3"/>
    <x v="2"/>
    <s v="CUST1294"/>
    <s v="Male"/>
    <x v="3"/>
    <x v="2"/>
    <x v="0"/>
    <s v="Running Shoes"/>
    <x v="6"/>
    <n v="1"/>
    <n v="4087.41"/>
    <n v="0.2"/>
    <n v="3269.93"/>
    <n v="2195.83"/>
    <n v="1074.0999999999999"/>
    <s v="Debit Card"/>
    <x v="5"/>
    <n v="3"/>
    <x v="7"/>
  </r>
  <r>
    <s v="ORD101330"/>
    <d v="2025-11-06T00:00:00"/>
    <s v="Decathlon Chennai"/>
    <x v="3"/>
    <x v="2"/>
    <s v="CUST1091"/>
    <s v="Male"/>
    <x v="1"/>
    <x v="1"/>
    <x v="3"/>
    <s v="Cycling Gloves"/>
    <x v="1"/>
    <n v="3"/>
    <n v="773.37"/>
    <n v="0.2"/>
    <n v="1856.09"/>
    <n v="1023.03"/>
    <n v="833.06"/>
    <s v="Cash"/>
    <x v="2"/>
    <n v="5"/>
    <x v="2"/>
  </r>
  <r>
    <s v="ORD101331"/>
    <d v="2025-03-06T00:00:00"/>
    <s v="Decathlon Ahmedabad"/>
    <x v="2"/>
    <x v="1"/>
    <s v="CUST1925"/>
    <s v="Female"/>
    <x v="2"/>
    <x v="0"/>
    <x v="0"/>
    <s v="Running Shoes"/>
    <x v="7"/>
    <n v="2"/>
    <n v="4196.68"/>
    <n v="0.15"/>
    <n v="7134.36"/>
    <n v="4194"/>
    <n v="2940.36"/>
    <s v="Cash"/>
    <x v="9"/>
    <n v="5"/>
    <x v="1"/>
  </r>
  <r>
    <s v="ORD101332"/>
    <d v="2025-02-07T00:00:00"/>
    <s v="Decathlon Delhi"/>
    <x v="9"/>
    <x v="0"/>
    <s v="CUST1835"/>
    <s v="Female"/>
    <x v="1"/>
    <x v="1"/>
    <x v="1"/>
    <s v="Resistance Band"/>
    <x v="2"/>
    <n v="3"/>
    <n v="861.67"/>
    <n v="0.1"/>
    <n v="2326.5100000000002"/>
    <n v="1214.73"/>
    <n v="1111.78"/>
    <s v="Net Banking"/>
    <x v="7"/>
    <n v="4"/>
    <x v="6"/>
  </r>
  <r>
    <s v="ORD101333"/>
    <d v="2025-09-27T00:00:00"/>
    <s v="Decathlon Hyderabad"/>
    <x v="7"/>
    <x v="2"/>
    <s v="CUST1382"/>
    <s v="Male"/>
    <x v="1"/>
    <x v="1"/>
    <x v="5"/>
    <s v="Backpack"/>
    <x v="5"/>
    <n v="4"/>
    <n v="3108.91"/>
    <n v="0.05"/>
    <n v="11813.86"/>
    <n v="6809.76"/>
    <n v="5004.1000000000004"/>
    <s v="Credit Card"/>
    <x v="5"/>
    <n v="3"/>
    <x v="7"/>
  </r>
  <r>
    <s v="ORD101334"/>
    <d v="2025-03-16T00:00:00"/>
    <s v="Decathlon Jaipur"/>
    <x v="0"/>
    <x v="0"/>
    <s v="CUST1154"/>
    <s v="Male"/>
    <x v="2"/>
    <x v="0"/>
    <x v="1"/>
    <s v="Yoga Mat"/>
    <x v="7"/>
    <n v="4"/>
    <n v="1543.62"/>
    <n v="0.05"/>
    <n v="5865.76"/>
    <n v="2669.38"/>
    <n v="3196.38"/>
    <s v="Debit Card"/>
    <x v="4"/>
    <n v="3"/>
    <x v="1"/>
  </r>
  <r>
    <s v="ORD101335"/>
    <d v="2025-07-01T00:00:00"/>
    <s v="Decathlon Ahmedabad"/>
    <x v="2"/>
    <x v="1"/>
    <s v="CUST1449"/>
    <s v="Female"/>
    <x v="3"/>
    <x v="0"/>
    <x v="3"/>
    <s v="Cycling Gloves"/>
    <x v="0"/>
    <n v="5"/>
    <n v="772.38"/>
    <n v="0.15"/>
    <n v="3282.61"/>
    <n v="1757.75"/>
    <n v="1524.86"/>
    <s v="Net Banking"/>
    <x v="6"/>
    <n v="5"/>
    <x v="8"/>
  </r>
  <r>
    <s v="ORD101336"/>
    <d v="2025-10-29T00:00:00"/>
    <s v="Decathlon Pune"/>
    <x v="1"/>
    <x v="1"/>
    <s v="CUST1653"/>
    <s v="Female"/>
    <x v="2"/>
    <x v="1"/>
    <x v="2"/>
    <s v="Swimsuit"/>
    <x v="3"/>
    <n v="2"/>
    <n v="1504.03"/>
    <n v="0.1"/>
    <n v="2707.25"/>
    <n v="1769.13"/>
    <n v="938.12"/>
    <s v="Net Banking"/>
    <x v="9"/>
    <n v="4"/>
    <x v="9"/>
  </r>
  <r>
    <s v="ORD101337"/>
    <d v="2025-07-03T00:00:00"/>
    <s v="Decathlon Gurugram"/>
    <x v="8"/>
    <x v="0"/>
    <s v="CUST1747"/>
    <s v="Female"/>
    <x v="1"/>
    <x v="1"/>
    <x v="5"/>
    <s v="Trekking Shoes"/>
    <x v="0"/>
    <n v="5"/>
    <n v="4932.53"/>
    <n v="0.15"/>
    <n v="20963.25"/>
    <n v="15252.84"/>
    <n v="5710.41"/>
    <s v="Debit Card"/>
    <x v="3"/>
    <n v="5"/>
    <x v="8"/>
  </r>
  <r>
    <s v="ORD101338"/>
    <d v="2025-09-13T00:00:00"/>
    <s v="Decathlon Noida"/>
    <x v="5"/>
    <x v="0"/>
    <s v="CUST1974"/>
    <s v="Male"/>
    <x v="1"/>
    <x v="2"/>
    <x v="3"/>
    <s v="Mountain Bike"/>
    <x v="4"/>
    <n v="1"/>
    <n v="24984.03"/>
    <n v="0.05"/>
    <n v="23734.83"/>
    <n v="18273.310000000001"/>
    <n v="5461.52"/>
    <s v="UPI"/>
    <x v="0"/>
    <n v="4"/>
    <x v="7"/>
  </r>
  <r>
    <s v="ORD101339"/>
    <d v="2025-01-31T00:00:00"/>
    <s v="Decathlon Bengaluru"/>
    <x v="4"/>
    <x v="2"/>
    <s v="CUST1440"/>
    <s v="Male"/>
    <x v="3"/>
    <x v="2"/>
    <x v="0"/>
    <s v="Fitness Band"/>
    <x v="6"/>
    <n v="3"/>
    <n v="2555.04"/>
    <n v="0.25"/>
    <n v="5748.84"/>
    <n v="4458.22"/>
    <n v="1290.6199999999999"/>
    <s v="Cash"/>
    <x v="6"/>
    <n v="5"/>
    <x v="4"/>
  </r>
  <r>
    <s v="ORD101340"/>
    <d v="2025-09-09T00:00:00"/>
    <s v="Decathlon Delhi"/>
    <x v="9"/>
    <x v="0"/>
    <s v="CUST1208"/>
    <s v="Male"/>
    <x v="1"/>
    <x v="0"/>
    <x v="5"/>
    <s v="Water Bottle"/>
    <x v="6"/>
    <n v="1"/>
    <n v="714.26"/>
    <n v="0.2"/>
    <n v="571.41"/>
    <n v="237.89"/>
    <n v="333.52"/>
    <s v="UPI"/>
    <x v="4"/>
    <n v="3"/>
    <x v="7"/>
  </r>
  <r>
    <s v="ORD101341"/>
    <d v="2025-09-16T00:00:00"/>
    <s v="Decathlon Noida"/>
    <x v="5"/>
    <x v="0"/>
    <s v="CUST1431"/>
    <s v="Male"/>
    <x v="0"/>
    <x v="0"/>
    <x v="3"/>
    <s v="Helmet"/>
    <x v="1"/>
    <n v="4"/>
    <n v="1961.67"/>
    <n v="0"/>
    <n v="7846.68"/>
    <n v="4339.1000000000004"/>
    <n v="3507.58"/>
    <s v="Credit Card"/>
    <x v="6"/>
    <n v="4"/>
    <x v="7"/>
  </r>
  <r>
    <s v="ORD101342"/>
    <d v="2025-09-08T00:00:00"/>
    <s v="Decathlon Jaipur"/>
    <x v="0"/>
    <x v="0"/>
    <s v="CUST1226"/>
    <s v="Female"/>
    <x v="2"/>
    <x v="2"/>
    <x v="2"/>
    <s v="Swimming Goggles"/>
    <x v="5"/>
    <n v="1"/>
    <n v="928.27"/>
    <n v="0.05"/>
    <n v="881.86"/>
    <n v="431.55"/>
    <n v="450.31"/>
    <s v="Credit Card"/>
    <x v="3"/>
    <n v="3"/>
    <x v="7"/>
  </r>
  <r>
    <s v="ORD101343"/>
    <d v="2025-02-23T00:00:00"/>
    <s v="Decathlon Bengaluru"/>
    <x v="4"/>
    <x v="2"/>
    <s v="CUST1163"/>
    <s v="Female"/>
    <x v="1"/>
    <x v="2"/>
    <x v="5"/>
    <s v="Trekking Shoes"/>
    <x v="6"/>
    <n v="3"/>
    <n v="5067.2700000000004"/>
    <n v="0.3"/>
    <n v="10641.27"/>
    <n v="9750.2199999999993"/>
    <n v="891.05"/>
    <s v="Net Banking"/>
    <x v="0"/>
    <n v="4"/>
    <x v="6"/>
  </r>
  <r>
    <s v="ORD101344"/>
    <d v="2025-01-09T00:00:00"/>
    <s v="Decathlon Noida"/>
    <x v="5"/>
    <x v="0"/>
    <s v="CUST1471"/>
    <s v="Female"/>
    <x v="1"/>
    <x v="1"/>
    <x v="4"/>
    <s v="Shin Guards"/>
    <x v="4"/>
    <n v="2"/>
    <n v="1043.8"/>
    <n v="0.3"/>
    <n v="1461.32"/>
    <n v="1004.8"/>
    <n v="456.52"/>
    <s v="Net Banking"/>
    <x v="9"/>
    <n v="5"/>
    <x v="4"/>
  </r>
  <r>
    <s v="ORD101345"/>
    <d v="2025-11-24T00:00:00"/>
    <s v="Decathlon Chennai"/>
    <x v="3"/>
    <x v="2"/>
    <s v="CUST1872"/>
    <s v="Male"/>
    <x v="1"/>
    <x v="0"/>
    <x v="3"/>
    <s v="Cycling Gloves"/>
    <x v="4"/>
    <n v="2"/>
    <n v="797.99"/>
    <n v="0.1"/>
    <n v="1436.38"/>
    <n v="711.01"/>
    <n v="725.37"/>
    <s v="Net Banking"/>
    <x v="8"/>
    <n v="5"/>
    <x v="2"/>
  </r>
  <r>
    <s v="ORD101346"/>
    <d v="2025-07-31T00:00:00"/>
    <s v="Decathlon Mumbai"/>
    <x v="6"/>
    <x v="1"/>
    <s v="CUST1016"/>
    <s v="Female"/>
    <x v="2"/>
    <x v="2"/>
    <x v="2"/>
    <s v="Swimming Goggles"/>
    <x v="6"/>
    <n v="3"/>
    <n v="895.82"/>
    <n v="0.25"/>
    <n v="2015.6"/>
    <n v="1297.6500000000001"/>
    <n v="717.95"/>
    <s v="Net Banking"/>
    <x v="0"/>
    <n v="4"/>
    <x v="8"/>
  </r>
  <r>
    <s v="ORD101347"/>
    <d v="2025-08-15T00:00:00"/>
    <s v="Decathlon Delhi"/>
    <x v="9"/>
    <x v="0"/>
    <s v="CUST1763"/>
    <s v="Male"/>
    <x v="0"/>
    <x v="1"/>
    <x v="3"/>
    <s v="Cycling Gloves"/>
    <x v="1"/>
    <n v="3"/>
    <n v="833.17"/>
    <n v="0.1"/>
    <n v="2249.56"/>
    <n v="1038"/>
    <n v="1211.56"/>
    <s v="Credit Card"/>
    <x v="3"/>
    <n v="4"/>
    <x v="3"/>
  </r>
  <r>
    <s v="ORD101348"/>
    <d v="2025-11-27T00:00:00"/>
    <s v="Decathlon Hyderabad"/>
    <x v="7"/>
    <x v="2"/>
    <s v="CUST1591"/>
    <s v="Male"/>
    <x v="3"/>
    <x v="0"/>
    <x v="2"/>
    <s v="Swim Cap"/>
    <x v="1"/>
    <n v="4"/>
    <n v="496.28"/>
    <n v="0.1"/>
    <n v="1786.61"/>
    <n v="906.9"/>
    <n v="879.71"/>
    <s v="Cash"/>
    <x v="6"/>
    <n v="4"/>
    <x v="2"/>
  </r>
  <r>
    <s v="ORD101349"/>
    <d v="2025-08-22T00:00:00"/>
    <s v="Decathlon Gurugram"/>
    <x v="8"/>
    <x v="0"/>
    <s v="CUST1786"/>
    <s v="Male"/>
    <x v="1"/>
    <x v="2"/>
    <x v="0"/>
    <s v="Running T-Shirt"/>
    <x v="3"/>
    <n v="3"/>
    <n v="1047.3800000000001"/>
    <n v="0"/>
    <n v="3142.14"/>
    <n v="1374.1"/>
    <n v="1768.04"/>
    <s v="Credit Card"/>
    <x v="4"/>
    <n v="5"/>
    <x v="3"/>
  </r>
  <r>
    <s v="ORD101350"/>
    <d v="2025-05-31T00:00:00"/>
    <s v="Decathlon Hyderabad"/>
    <x v="7"/>
    <x v="2"/>
    <s v="CUST1483"/>
    <s v="Male"/>
    <x v="2"/>
    <x v="1"/>
    <x v="4"/>
    <s v="Shin Guards"/>
    <x v="4"/>
    <n v="3"/>
    <n v="949.09"/>
    <n v="0.25"/>
    <n v="2135.4499999999998"/>
    <n v="1467.8"/>
    <n v="667.65"/>
    <s v="Net Banking"/>
    <x v="9"/>
    <n v="5"/>
    <x v="10"/>
  </r>
  <r>
    <s v="ORD101351"/>
    <d v="2025-05-22T00:00:00"/>
    <s v="Decathlon Bengaluru"/>
    <x v="4"/>
    <x v="2"/>
    <s v="CUST1402"/>
    <s v="Female"/>
    <x v="3"/>
    <x v="2"/>
    <x v="0"/>
    <s v="Running T-Shirt"/>
    <x v="0"/>
    <n v="2"/>
    <n v="993.41"/>
    <n v="0.3"/>
    <n v="1390.77"/>
    <n v="894.57"/>
    <n v="496.2"/>
    <s v="Cash"/>
    <x v="2"/>
    <n v="3"/>
    <x v="10"/>
  </r>
  <r>
    <s v="ORD101352"/>
    <d v="2025-06-20T00:00:00"/>
    <s v="Decathlon Noida"/>
    <x v="5"/>
    <x v="0"/>
    <s v="CUST1201"/>
    <s v="Male"/>
    <x v="1"/>
    <x v="1"/>
    <x v="5"/>
    <s v="Water Bottle"/>
    <x v="3"/>
    <n v="5"/>
    <n v="699.9"/>
    <n v="0.1"/>
    <n v="3149.55"/>
    <n v="1196.1199999999999"/>
    <n v="1953.43"/>
    <s v="Cash"/>
    <x v="0"/>
    <n v="4"/>
    <x v="11"/>
  </r>
  <r>
    <s v="ORD101353"/>
    <d v="2025-12-29T00:00:00"/>
    <s v="Decathlon Ahmedabad"/>
    <x v="2"/>
    <x v="1"/>
    <s v="CUST1217"/>
    <s v="Male"/>
    <x v="3"/>
    <x v="0"/>
    <x v="4"/>
    <s v="Football Boots"/>
    <x v="1"/>
    <n v="5"/>
    <n v="3332.32"/>
    <n v="0.2"/>
    <n v="13329.28"/>
    <n v="10549.95"/>
    <n v="2779.33"/>
    <s v="Credit Card"/>
    <x v="1"/>
    <n v="3"/>
    <x v="0"/>
  </r>
  <r>
    <s v="ORD101354"/>
    <d v="2025-01-15T00:00:00"/>
    <s v="Decathlon Pune"/>
    <x v="1"/>
    <x v="1"/>
    <s v="CUST1618"/>
    <s v="Female"/>
    <x v="3"/>
    <x v="1"/>
    <x v="5"/>
    <s v="Water Bottle"/>
    <x v="0"/>
    <n v="5"/>
    <n v="686.94"/>
    <n v="0.3"/>
    <n v="2404.29"/>
    <n v="1265.83"/>
    <n v="1138.46"/>
    <s v="Credit Card"/>
    <x v="7"/>
    <n v="4"/>
    <x v="4"/>
  </r>
  <r>
    <s v="ORD101355"/>
    <d v="2025-08-24T00:00:00"/>
    <s v="Decathlon Hyderabad"/>
    <x v="7"/>
    <x v="2"/>
    <s v="CUST1725"/>
    <s v="Female"/>
    <x v="3"/>
    <x v="1"/>
    <x v="5"/>
    <s v="Backpack"/>
    <x v="2"/>
    <n v="1"/>
    <n v="2966.32"/>
    <n v="0.2"/>
    <n v="2373.06"/>
    <n v="1697.9"/>
    <n v="675.16"/>
    <s v="Cash"/>
    <x v="5"/>
    <n v="5"/>
    <x v="3"/>
  </r>
  <r>
    <s v="ORD101356"/>
    <d v="2025-12-12T00:00:00"/>
    <s v="Decathlon Pune"/>
    <x v="1"/>
    <x v="1"/>
    <s v="CUST1311"/>
    <s v="Male"/>
    <x v="3"/>
    <x v="0"/>
    <x v="2"/>
    <s v="Swimming Goggles"/>
    <x v="6"/>
    <n v="3"/>
    <n v="895.83"/>
    <n v="0.2"/>
    <n v="2149.9899999999998"/>
    <n v="1417.01"/>
    <n v="732.98"/>
    <s v="UPI"/>
    <x v="0"/>
    <n v="3"/>
    <x v="0"/>
  </r>
  <r>
    <s v="ORD101357"/>
    <d v="2025-03-12T00:00:00"/>
    <s v="Decathlon Hyderabad"/>
    <x v="7"/>
    <x v="2"/>
    <s v="CUST1935"/>
    <s v="Female"/>
    <x v="1"/>
    <x v="0"/>
    <x v="4"/>
    <s v="Football Boots"/>
    <x v="0"/>
    <n v="2"/>
    <n v="3371.37"/>
    <n v="0.1"/>
    <n v="6068.47"/>
    <n v="4332.01"/>
    <n v="1736.46"/>
    <s v="Debit Card"/>
    <x v="8"/>
    <n v="4"/>
    <x v="1"/>
  </r>
  <r>
    <s v="ORD101358"/>
    <d v="2025-12-15T00:00:00"/>
    <s v="Decathlon Chennai"/>
    <x v="3"/>
    <x v="2"/>
    <s v="CUST1686"/>
    <s v="Female"/>
    <x v="0"/>
    <x v="1"/>
    <x v="1"/>
    <s v="Resistance Band"/>
    <x v="7"/>
    <n v="1"/>
    <n v="858.66"/>
    <n v="0"/>
    <n v="858.66"/>
    <n v="391.29"/>
    <n v="467.37"/>
    <s v="Cash"/>
    <x v="4"/>
    <n v="5"/>
    <x v="0"/>
  </r>
  <r>
    <s v="ORD101359"/>
    <d v="2025-02-10T00:00:00"/>
    <s v="Decathlon Mumbai"/>
    <x v="6"/>
    <x v="1"/>
    <s v="CUST1290"/>
    <s v="Male"/>
    <x v="1"/>
    <x v="0"/>
    <x v="1"/>
    <s v="Yoga Block"/>
    <x v="6"/>
    <n v="5"/>
    <n v="607.57000000000005"/>
    <n v="0"/>
    <n v="3037.85"/>
    <n v="1327.31"/>
    <n v="1710.54"/>
    <s v="Debit Card"/>
    <x v="2"/>
    <n v="5"/>
    <x v="6"/>
  </r>
  <r>
    <s v="ORD101360"/>
    <d v="2025-03-05T00:00:00"/>
    <s v="Decathlon Noida"/>
    <x v="5"/>
    <x v="0"/>
    <s v="CUST1888"/>
    <s v="Female"/>
    <x v="3"/>
    <x v="2"/>
    <x v="1"/>
    <s v="Resistance Band"/>
    <x v="6"/>
    <n v="3"/>
    <n v="942.71"/>
    <n v="0.2"/>
    <n v="2262.5"/>
    <n v="1176.49"/>
    <n v="1086.01"/>
    <s v="UPI"/>
    <x v="6"/>
    <n v="5"/>
    <x v="1"/>
  </r>
  <r>
    <s v="ORD101361"/>
    <d v="2025-04-21T00:00:00"/>
    <s v="Decathlon Mumbai"/>
    <x v="6"/>
    <x v="1"/>
    <s v="CUST1944"/>
    <s v="Male"/>
    <x v="2"/>
    <x v="0"/>
    <x v="1"/>
    <s v="Yoga Block"/>
    <x v="4"/>
    <n v="1"/>
    <n v="593.11"/>
    <n v="0.2"/>
    <n v="474.49"/>
    <n v="257.20999999999998"/>
    <n v="217.28"/>
    <s v="UPI"/>
    <x v="9"/>
    <n v="4"/>
    <x v="5"/>
  </r>
  <r>
    <s v="ORD101362"/>
    <d v="2025-11-10T00:00:00"/>
    <s v="Decathlon Gurugram"/>
    <x v="8"/>
    <x v="0"/>
    <s v="CUST1126"/>
    <s v="Female"/>
    <x v="2"/>
    <x v="1"/>
    <x v="5"/>
    <s v="Backpack"/>
    <x v="2"/>
    <n v="3"/>
    <n v="3148.1"/>
    <n v="0.15"/>
    <n v="8027.65"/>
    <n v="4950.54"/>
    <n v="3077.11"/>
    <s v="Cash"/>
    <x v="4"/>
    <n v="4"/>
    <x v="2"/>
  </r>
  <r>
    <s v="ORD101363"/>
    <d v="2025-01-03T00:00:00"/>
    <s v="Decathlon Gurugram"/>
    <x v="8"/>
    <x v="0"/>
    <s v="CUST1485"/>
    <s v="Female"/>
    <x v="2"/>
    <x v="1"/>
    <x v="1"/>
    <s v="Yoga Block"/>
    <x v="3"/>
    <n v="3"/>
    <n v="593.97"/>
    <n v="0.1"/>
    <n v="1603.72"/>
    <n v="754.85"/>
    <n v="848.87"/>
    <s v="Credit Card"/>
    <x v="4"/>
    <n v="3"/>
    <x v="4"/>
  </r>
  <r>
    <s v="ORD101364"/>
    <d v="2025-10-24T00:00:00"/>
    <s v="Decathlon Ahmedabad"/>
    <x v="2"/>
    <x v="1"/>
    <s v="CUST1731"/>
    <s v="Female"/>
    <x v="0"/>
    <x v="1"/>
    <x v="1"/>
    <s v="Yoga Mat"/>
    <x v="6"/>
    <n v="1"/>
    <n v="1554.85"/>
    <n v="0.15"/>
    <n v="1321.62"/>
    <n v="720.04"/>
    <n v="601.58000000000004"/>
    <s v="Debit Card"/>
    <x v="4"/>
    <n v="4"/>
    <x v="9"/>
  </r>
  <r>
    <s v="ORD101365"/>
    <d v="2025-10-22T00:00:00"/>
    <s v="Decathlon Mumbai"/>
    <x v="6"/>
    <x v="1"/>
    <s v="CUST1057"/>
    <s v="Female"/>
    <x v="2"/>
    <x v="2"/>
    <x v="1"/>
    <s v="Resistance Band"/>
    <x v="4"/>
    <n v="1"/>
    <n v="879.08"/>
    <n v="0.3"/>
    <n v="615.36"/>
    <n v="407.67"/>
    <n v="207.69"/>
    <s v="Net Banking"/>
    <x v="2"/>
    <n v="5"/>
    <x v="9"/>
  </r>
  <r>
    <s v="ORD101366"/>
    <d v="2025-03-15T00:00:00"/>
    <s v="Decathlon Pune"/>
    <x v="1"/>
    <x v="1"/>
    <s v="CUST1576"/>
    <s v="Female"/>
    <x v="0"/>
    <x v="1"/>
    <x v="2"/>
    <s v="Swim Cap"/>
    <x v="7"/>
    <n v="2"/>
    <n v="515.21"/>
    <n v="0.3"/>
    <n v="721.29"/>
    <n v="423.1"/>
    <n v="298.19"/>
    <s v="Net Banking"/>
    <x v="7"/>
    <n v="3"/>
    <x v="1"/>
  </r>
  <r>
    <s v="ORD101367"/>
    <d v="2025-02-19T00:00:00"/>
    <s v="Decathlon Ahmedabad"/>
    <x v="2"/>
    <x v="1"/>
    <s v="CUST1508"/>
    <s v="Female"/>
    <x v="1"/>
    <x v="1"/>
    <x v="4"/>
    <s v="Football Boots"/>
    <x v="3"/>
    <n v="2"/>
    <n v="3652.53"/>
    <n v="0.15"/>
    <n v="6209.3"/>
    <n v="4009.6"/>
    <n v="2199.6999999999998"/>
    <s v="Net Banking"/>
    <x v="2"/>
    <n v="4"/>
    <x v="6"/>
  </r>
  <r>
    <s v="ORD101368"/>
    <d v="2025-08-08T00:00:00"/>
    <s v="Decathlon Chennai"/>
    <x v="3"/>
    <x v="2"/>
    <s v="CUST1992"/>
    <s v="Male"/>
    <x v="0"/>
    <x v="2"/>
    <x v="0"/>
    <s v="Running Shoes"/>
    <x v="4"/>
    <n v="1"/>
    <n v="4108.87"/>
    <n v="0.05"/>
    <n v="3903.43"/>
    <n v="2126.6"/>
    <n v="1776.83"/>
    <s v="Credit Card"/>
    <x v="3"/>
    <n v="3"/>
    <x v="3"/>
  </r>
  <r>
    <s v="ORD101369"/>
    <d v="2025-06-08T00:00:00"/>
    <s v="Decathlon Bengaluru"/>
    <x v="4"/>
    <x v="2"/>
    <s v="CUST1680"/>
    <s v="Male"/>
    <x v="1"/>
    <x v="0"/>
    <x v="2"/>
    <s v="Swimming Goggles"/>
    <x v="3"/>
    <n v="3"/>
    <n v="917.71"/>
    <n v="0.2"/>
    <n v="2202.5"/>
    <n v="1344.33"/>
    <n v="858.17"/>
    <s v="UPI"/>
    <x v="4"/>
    <n v="3"/>
    <x v="11"/>
  </r>
  <r>
    <s v="ORD101370"/>
    <d v="2025-01-29T00:00:00"/>
    <s v="Decathlon Ahmedabad"/>
    <x v="2"/>
    <x v="1"/>
    <s v="CUST1415"/>
    <s v="Female"/>
    <x v="2"/>
    <x v="0"/>
    <x v="3"/>
    <s v="Cycling Gloves"/>
    <x v="3"/>
    <n v="5"/>
    <n v="823.13"/>
    <n v="0.25"/>
    <n v="3086.74"/>
    <n v="1815.14"/>
    <n v="1271.5999999999999"/>
    <s v="UPI"/>
    <x v="7"/>
    <n v="3"/>
    <x v="4"/>
  </r>
  <r>
    <s v="ORD101371"/>
    <d v="2025-06-23T00:00:00"/>
    <s v="Decathlon Pune"/>
    <x v="1"/>
    <x v="1"/>
    <s v="CUST1513"/>
    <s v="Female"/>
    <x v="2"/>
    <x v="0"/>
    <x v="2"/>
    <s v="Swimsuit"/>
    <x v="7"/>
    <n v="3"/>
    <n v="1503.13"/>
    <n v="0.05"/>
    <n v="4283.92"/>
    <n v="2477.4899999999998"/>
    <n v="1806.43"/>
    <s v="UPI"/>
    <x v="7"/>
    <n v="3"/>
    <x v="11"/>
  </r>
  <r>
    <s v="ORD101372"/>
    <d v="2025-11-25T00:00:00"/>
    <s v="Decathlon Hyderabad"/>
    <x v="7"/>
    <x v="2"/>
    <s v="CUST1318"/>
    <s v="Male"/>
    <x v="1"/>
    <x v="0"/>
    <x v="4"/>
    <s v="Football Boots"/>
    <x v="2"/>
    <n v="4"/>
    <n v="3440.09"/>
    <n v="0.2"/>
    <n v="11008.29"/>
    <n v="8453.9599999999991"/>
    <n v="2554.33"/>
    <s v="Credit Card"/>
    <x v="4"/>
    <n v="4"/>
    <x v="2"/>
  </r>
  <r>
    <s v="ORD101373"/>
    <d v="2025-11-25T00:00:00"/>
    <s v="Decathlon Pune"/>
    <x v="1"/>
    <x v="1"/>
    <s v="CUST1522"/>
    <s v="Male"/>
    <x v="2"/>
    <x v="0"/>
    <x v="4"/>
    <s v="Football Boots"/>
    <x v="3"/>
    <n v="5"/>
    <n v="3370.01"/>
    <n v="0.2"/>
    <n v="13480.04"/>
    <n v="10610.45"/>
    <n v="2869.59"/>
    <s v="Net Banking"/>
    <x v="0"/>
    <n v="3"/>
    <x v="2"/>
  </r>
  <r>
    <s v="ORD101374"/>
    <d v="2025-06-27T00:00:00"/>
    <s v="Decathlon Mumbai"/>
    <x v="6"/>
    <x v="1"/>
    <s v="CUST1264"/>
    <s v="Female"/>
    <x v="3"/>
    <x v="1"/>
    <x v="4"/>
    <s v="Shin Guards"/>
    <x v="6"/>
    <n v="1"/>
    <n v="1026.3599999999999"/>
    <n v="0.05"/>
    <n v="975.04"/>
    <n v="487.62"/>
    <n v="487.42"/>
    <s v="UPI"/>
    <x v="9"/>
    <n v="5"/>
    <x v="11"/>
  </r>
  <r>
    <s v="ORD101375"/>
    <d v="2025-06-19T00:00:00"/>
    <s v="Decathlon Hyderabad"/>
    <x v="7"/>
    <x v="2"/>
    <s v="CUST1579"/>
    <s v="Male"/>
    <x v="2"/>
    <x v="2"/>
    <x v="0"/>
    <s v="Running T-Shirt"/>
    <x v="6"/>
    <n v="1"/>
    <n v="976.45"/>
    <n v="0.15"/>
    <n v="829.98"/>
    <n v="463.93"/>
    <n v="366.05"/>
    <s v="UPI"/>
    <x v="2"/>
    <n v="3"/>
    <x v="11"/>
  </r>
  <r>
    <s v="ORD101376"/>
    <d v="2025-06-08T00:00:00"/>
    <s v="Decathlon Jaipur"/>
    <x v="0"/>
    <x v="0"/>
    <s v="CUST1153"/>
    <s v="Female"/>
    <x v="1"/>
    <x v="1"/>
    <x v="3"/>
    <s v="Cycling Gloves"/>
    <x v="6"/>
    <n v="5"/>
    <n v="771.65"/>
    <n v="0.3"/>
    <n v="2700.77"/>
    <n v="1670.33"/>
    <n v="1030.44"/>
    <s v="Net Banking"/>
    <x v="8"/>
    <n v="4"/>
    <x v="11"/>
  </r>
  <r>
    <s v="ORD101377"/>
    <d v="2025-10-03T00:00:00"/>
    <s v="Decathlon Noida"/>
    <x v="5"/>
    <x v="0"/>
    <s v="CUST1368"/>
    <s v="Female"/>
    <x v="3"/>
    <x v="1"/>
    <x v="2"/>
    <s v="Swim Cap"/>
    <x v="6"/>
    <n v="1"/>
    <n v="523.85"/>
    <n v="0.2"/>
    <n v="419.08"/>
    <n v="214.28"/>
    <n v="204.8"/>
    <s v="UPI"/>
    <x v="7"/>
    <n v="4"/>
    <x v="9"/>
  </r>
  <r>
    <s v="ORD101378"/>
    <d v="2025-03-13T00:00:00"/>
    <s v="Decathlon Delhi"/>
    <x v="9"/>
    <x v="0"/>
    <s v="CUST1786"/>
    <s v="Female"/>
    <x v="0"/>
    <x v="2"/>
    <x v="5"/>
    <s v="Trekking Shoes"/>
    <x v="1"/>
    <n v="5"/>
    <n v="5051.7700000000004"/>
    <n v="0.3"/>
    <n v="17681.189999999999"/>
    <n v="15757.54"/>
    <n v="1923.65"/>
    <s v="UPI"/>
    <x v="9"/>
    <n v="3"/>
    <x v="1"/>
  </r>
  <r>
    <s v="ORD101379"/>
    <d v="2025-01-03T00:00:00"/>
    <s v="Decathlon Noida"/>
    <x v="5"/>
    <x v="0"/>
    <s v="CUST1187"/>
    <s v="Female"/>
    <x v="0"/>
    <x v="0"/>
    <x v="0"/>
    <s v="Running T-Shirt"/>
    <x v="4"/>
    <n v="4"/>
    <n v="950.33"/>
    <n v="0.15"/>
    <n v="3231.12"/>
    <n v="1875.8"/>
    <n v="1355.32"/>
    <s v="UPI"/>
    <x v="1"/>
    <n v="4"/>
    <x v="4"/>
  </r>
  <r>
    <s v="ORD101380"/>
    <d v="2025-06-12T00:00:00"/>
    <s v="Decathlon Gurugram"/>
    <x v="8"/>
    <x v="0"/>
    <s v="CUST1257"/>
    <s v="Male"/>
    <x v="2"/>
    <x v="2"/>
    <x v="3"/>
    <s v="Cycling Gloves"/>
    <x v="3"/>
    <n v="1"/>
    <n v="779.32"/>
    <n v="0.25"/>
    <n v="584.49"/>
    <n v="359.56"/>
    <n v="224.93"/>
    <s v="Net Banking"/>
    <x v="2"/>
    <n v="4"/>
    <x v="11"/>
  </r>
  <r>
    <s v="ORD101381"/>
    <d v="2025-05-10T00:00:00"/>
    <s v="Decathlon Hyderabad"/>
    <x v="7"/>
    <x v="2"/>
    <s v="CUST1006"/>
    <s v="Female"/>
    <x v="1"/>
    <x v="1"/>
    <x v="1"/>
    <s v="Yoga Block"/>
    <x v="6"/>
    <n v="4"/>
    <n v="611.46"/>
    <n v="0.15"/>
    <n v="2078.96"/>
    <n v="1083.29"/>
    <n v="995.67"/>
    <s v="Debit Card"/>
    <x v="8"/>
    <n v="5"/>
    <x v="10"/>
  </r>
  <r>
    <s v="ORD101382"/>
    <d v="2025-07-31T00:00:00"/>
    <s v="Decathlon Noida"/>
    <x v="5"/>
    <x v="0"/>
    <s v="CUST1236"/>
    <s v="Male"/>
    <x v="0"/>
    <x v="2"/>
    <x v="4"/>
    <s v="Football Boots"/>
    <x v="7"/>
    <n v="4"/>
    <n v="3431.86"/>
    <n v="0.15"/>
    <n v="11668.32"/>
    <n v="8081.8"/>
    <n v="3586.52"/>
    <s v="Debit Card"/>
    <x v="3"/>
    <n v="4"/>
    <x v="8"/>
  </r>
  <r>
    <s v="ORD101383"/>
    <d v="2025-01-14T00:00:00"/>
    <s v="Decathlon Jaipur"/>
    <x v="0"/>
    <x v="0"/>
    <s v="CUST1881"/>
    <s v="Male"/>
    <x v="3"/>
    <x v="1"/>
    <x v="3"/>
    <s v="Helmet"/>
    <x v="2"/>
    <n v="1"/>
    <n v="2090.0300000000002"/>
    <n v="0.25"/>
    <n v="1567.52"/>
    <n v="1061"/>
    <n v="506.52"/>
    <s v="Cash"/>
    <x v="7"/>
    <n v="3"/>
    <x v="4"/>
  </r>
  <r>
    <s v="ORD101384"/>
    <d v="2025-06-28T00:00:00"/>
    <s v="Decathlon Mumbai"/>
    <x v="6"/>
    <x v="1"/>
    <s v="CUST1158"/>
    <s v="Male"/>
    <x v="0"/>
    <x v="1"/>
    <x v="3"/>
    <s v="Cycling Gloves"/>
    <x v="1"/>
    <n v="1"/>
    <n v="821.37"/>
    <n v="0.15"/>
    <n v="698.16"/>
    <n v="355.01"/>
    <n v="343.15"/>
    <s v="Net Banking"/>
    <x v="8"/>
    <n v="3"/>
    <x v="11"/>
  </r>
  <r>
    <s v="ORD101385"/>
    <d v="2025-06-02T00:00:00"/>
    <s v="Decathlon Gurugram"/>
    <x v="8"/>
    <x v="0"/>
    <s v="CUST1063"/>
    <s v="Male"/>
    <x v="1"/>
    <x v="1"/>
    <x v="2"/>
    <s v="Swimsuit"/>
    <x v="0"/>
    <n v="1"/>
    <n v="1505.78"/>
    <n v="0.15"/>
    <n v="1279.9100000000001"/>
    <n v="857.64"/>
    <n v="422.27"/>
    <s v="Debit Card"/>
    <x v="3"/>
    <n v="4"/>
    <x v="11"/>
  </r>
  <r>
    <s v="ORD101386"/>
    <d v="2025-11-10T00:00:00"/>
    <s v="Decathlon Hyderabad"/>
    <x v="7"/>
    <x v="2"/>
    <s v="CUST1973"/>
    <s v="Male"/>
    <x v="0"/>
    <x v="0"/>
    <x v="1"/>
    <s v="Yoga Block"/>
    <x v="7"/>
    <n v="4"/>
    <n v="628.24"/>
    <n v="0.25"/>
    <n v="1884.72"/>
    <n v="1046.31"/>
    <n v="838.41"/>
    <s v="Credit Card"/>
    <x v="9"/>
    <n v="3"/>
    <x v="2"/>
  </r>
  <r>
    <s v="ORD101387"/>
    <d v="2025-03-31T00:00:00"/>
    <s v="Decathlon Pune"/>
    <x v="1"/>
    <x v="1"/>
    <s v="CUST1809"/>
    <s v="Male"/>
    <x v="0"/>
    <x v="1"/>
    <x v="1"/>
    <s v="Yoga Block"/>
    <x v="2"/>
    <n v="2"/>
    <n v="597.51"/>
    <n v="0.25"/>
    <n v="896.26"/>
    <n v="499.7"/>
    <n v="396.56"/>
    <s v="UPI"/>
    <x v="2"/>
    <n v="5"/>
    <x v="1"/>
  </r>
  <r>
    <s v="ORD101388"/>
    <d v="2025-08-17T00:00:00"/>
    <s v="Decathlon Noida"/>
    <x v="5"/>
    <x v="0"/>
    <s v="CUST1833"/>
    <s v="Male"/>
    <x v="1"/>
    <x v="0"/>
    <x v="3"/>
    <s v="Helmet"/>
    <x v="3"/>
    <n v="5"/>
    <n v="1990.63"/>
    <n v="0.05"/>
    <n v="9455.49"/>
    <n v="5556.51"/>
    <n v="3898.98"/>
    <s v="Net Banking"/>
    <x v="9"/>
    <n v="4"/>
    <x v="3"/>
  </r>
  <r>
    <s v="ORD101389"/>
    <d v="2025-05-17T00:00:00"/>
    <s v="Decathlon Noida"/>
    <x v="5"/>
    <x v="0"/>
    <s v="CUST1179"/>
    <s v="Female"/>
    <x v="1"/>
    <x v="1"/>
    <x v="5"/>
    <s v="Backpack"/>
    <x v="5"/>
    <n v="3"/>
    <n v="2910.42"/>
    <n v="0.15"/>
    <n v="7421.57"/>
    <n v="5070.9799999999996"/>
    <n v="2350.59"/>
    <s v="Debit Card"/>
    <x v="1"/>
    <n v="5"/>
    <x v="10"/>
  </r>
  <r>
    <s v="ORD101390"/>
    <d v="2025-12-27T00:00:00"/>
    <s v="Decathlon Chennai"/>
    <x v="3"/>
    <x v="2"/>
    <s v="CUST1856"/>
    <s v="Female"/>
    <x v="1"/>
    <x v="2"/>
    <x v="0"/>
    <s v="Fitness Band"/>
    <x v="5"/>
    <n v="1"/>
    <n v="2446.04"/>
    <n v="0"/>
    <n v="2446.04"/>
    <n v="1519.26"/>
    <n v="926.78"/>
    <s v="Cash"/>
    <x v="4"/>
    <n v="5"/>
    <x v="0"/>
  </r>
  <r>
    <s v="ORD101391"/>
    <d v="2025-12-17T00:00:00"/>
    <s v="Decathlon Delhi"/>
    <x v="9"/>
    <x v="0"/>
    <s v="CUST1136"/>
    <s v="Male"/>
    <x v="0"/>
    <x v="0"/>
    <x v="5"/>
    <s v="Trekking Shoes"/>
    <x v="7"/>
    <n v="3"/>
    <n v="4956.74"/>
    <n v="0.25"/>
    <n v="11152.66"/>
    <n v="9746.6"/>
    <n v="1406.06"/>
    <s v="Cash"/>
    <x v="5"/>
    <n v="4"/>
    <x v="0"/>
  </r>
  <r>
    <s v="ORD101392"/>
    <d v="2025-11-16T00:00:00"/>
    <s v="Decathlon Mumbai"/>
    <x v="6"/>
    <x v="1"/>
    <s v="CUST1721"/>
    <s v="Female"/>
    <x v="0"/>
    <x v="2"/>
    <x v="4"/>
    <s v="Shin Guards"/>
    <x v="5"/>
    <n v="3"/>
    <n v="960.22"/>
    <n v="0"/>
    <n v="2880.66"/>
    <n v="1469.71"/>
    <n v="1410.95"/>
    <s v="Cash"/>
    <x v="1"/>
    <n v="5"/>
    <x v="2"/>
  </r>
  <r>
    <s v="ORD101393"/>
    <d v="2025-10-15T00:00:00"/>
    <s v="Decathlon Jaipur"/>
    <x v="0"/>
    <x v="0"/>
    <s v="CUST1041"/>
    <s v="Male"/>
    <x v="1"/>
    <x v="2"/>
    <x v="0"/>
    <s v="Running Shoes"/>
    <x v="3"/>
    <n v="2"/>
    <n v="3966.27"/>
    <n v="0"/>
    <n v="7932.54"/>
    <n v="4420.46"/>
    <n v="3512.08"/>
    <s v="Net Banking"/>
    <x v="8"/>
    <n v="4"/>
    <x v="9"/>
  </r>
  <r>
    <s v="ORD101394"/>
    <d v="2025-01-04T00:00:00"/>
    <s v="Decathlon Bengaluru"/>
    <x v="4"/>
    <x v="2"/>
    <s v="CUST1430"/>
    <s v="Male"/>
    <x v="3"/>
    <x v="2"/>
    <x v="3"/>
    <s v="Cycling Gloves"/>
    <x v="3"/>
    <n v="1"/>
    <n v="788.93"/>
    <n v="0.1"/>
    <n v="710.04"/>
    <n v="334.55"/>
    <n v="375.49"/>
    <s v="Debit Card"/>
    <x v="1"/>
    <n v="3"/>
    <x v="4"/>
  </r>
  <r>
    <s v="ORD101395"/>
    <d v="2025-08-17T00:00:00"/>
    <s v="Decathlon Ahmedabad"/>
    <x v="2"/>
    <x v="1"/>
    <s v="CUST1873"/>
    <s v="Female"/>
    <x v="2"/>
    <x v="2"/>
    <x v="3"/>
    <s v="Helmet"/>
    <x v="7"/>
    <n v="3"/>
    <n v="1953.44"/>
    <n v="0"/>
    <n v="5860.32"/>
    <n v="3315.07"/>
    <n v="2545.25"/>
    <s v="Debit Card"/>
    <x v="9"/>
    <n v="4"/>
    <x v="3"/>
  </r>
  <r>
    <s v="ORD101396"/>
    <d v="2025-10-23T00:00:00"/>
    <s v="Decathlon Mumbai"/>
    <x v="6"/>
    <x v="1"/>
    <s v="CUST1015"/>
    <s v="Female"/>
    <x v="0"/>
    <x v="1"/>
    <x v="2"/>
    <s v="Swimsuit"/>
    <x v="0"/>
    <n v="4"/>
    <n v="1515.38"/>
    <n v="0"/>
    <n v="6061.52"/>
    <n v="3449.96"/>
    <n v="2611.56"/>
    <s v="Credit Card"/>
    <x v="0"/>
    <n v="3"/>
    <x v="9"/>
  </r>
  <r>
    <s v="ORD101397"/>
    <d v="2025-06-26T00:00:00"/>
    <s v="Decathlon Ahmedabad"/>
    <x v="2"/>
    <x v="1"/>
    <s v="CUST1970"/>
    <s v="Male"/>
    <x v="0"/>
    <x v="0"/>
    <x v="0"/>
    <s v="Running T-Shirt"/>
    <x v="1"/>
    <n v="5"/>
    <n v="1048.6300000000001"/>
    <n v="0.1"/>
    <n v="4718.84"/>
    <n v="2331.34"/>
    <n v="2387.5"/>
    <s v="Credit Card"/>
    <x v="5"/>
    <n v="5"/>
    <x v="11"/>
  </r>
  <r>
    <s v="ORD101398"/>
    <d v="2025-11-23T00:00:00"/>
    <s v="Decathlon Delhi"/>
    <x v="9"/>
    <x v="0"/>
    <s v="CUST1438"/>
    <s v="Male"/>
    <x v="1"/>
    <x v="0"/>
    <x v="0"/>
    <s v="Fitness Band"/>
    <x v="7"/>
    <n v="2"/>
    <n v="2374.16"/>
    <n v="0.1"/>
    <n v="4273.49"/>
    <n v="2885.3"/>
    <n v="1388.19"/>
    <s v="UPI"/>
    <x v="7"/>
    <n v="5"/>
    <x v="2"/>
  </r>
  <r>
    <s v="ORD101399"/>
    <d v="2025-06-18T00:00:00"/>
    <s v="Decathlon Mumbai"/>
    <x v="6"/>
    <x v="1"/>
    <s v="CUST1507"/>
    <s v="Male"/>
    <x v="1"/>
    <x v="0"/>
    <x v="4"/>
    <s v="Football Boots"/>
    <x v="0"/>
    <n v="4"/>
    <n v="3642.45"/>
    <n v="0.2"/>
    <n v="11655.84"/>
    <n v="8415.39"/>
    <n v="3240.45"/>
    <s v="Cash"/>
    <x v="1"/>
    <n v="4"/>
    <x v="11"/>
  </r>
  <r>
    <s v="ORD101400"/>
    <d v="2025-10-31T00:00:00"/>
    <s v="Decathlon Hyderabad"/>
    <x v="7"/>
    <x v="2"/>
    <s v="CUST1656"/>
    <s v="Male"/>
    <x v="2"/>
    <x v="0"/>
    <x v="4"/>
    <s v="Shin Guards"/>
    <x v="5"/>
    <n v="5"/>
    <n v="1001.01"/>
    <n v="0.25"/>
    <n v="3753.79"/>
    <n v="2501.83"/>
    <n v="1251.96"/>
    <s v="Debit Card"/>
    <x v="0"/>
    <n v="3"/>
    <x v="9"/>
  </r>
  <r>
    <s v="ORD101401"/>
    <d v="2025-03-13T00:00:00"/>
    <s v="Decathlon Mumbai"/>
    <x v="6"/>
    <x v="1"/>
    <s v="CUST1044"/>
    <s v="Male"/>
    <x v="0"/>
    <x v="2"/>
    <x v="3"/>
    <s v="Mountain Bike"/>
    <x v="5"/>
    <n v="5"/>
    <n v="26184.55"/>
    <n v="0.1"/>
    <n v="117830.48"/>
    <n v="86346.53"/>
    <n v="31483.95"/>
    <s v="Debit Card"/>
    <x v="2"/>
    <n v="3"/>
    <x v="1"/>
  </r>
  <r>
    <s v="ORD101402"/>
    <d v="2025-10-03T00:00:00"/>
    <s v="Decathlon Mumbai"/>
    <x v="6"/>
    <x v="1"/>
    <s v="CUST1670"/>
    <s v="Female"/>
    <x v="2"/>
    <x v="0"/>
    <x v="3"/>
    <s v="Mountain Bike"/>
    <x v="7"/>
    <n v="5"/>
    <n v="26235.24"/>
    <n v="0.2"/>
    <n v="104940.96"/>
    <n v="90187.81"/>
    <n v="14753.15"/>
    <s v="UPI"/>
    <x v="1"/>
    <n v="4"/>
    <x v="9"/>
  </r>
  <r>
    <s v="ORD101403"/>
    <d v="2025-12-01T00:00:00"/>
    <s v="Decathlon Mumbai"/>
    <x v="6"/>
    <x v="1"/>
    <s v="CUST1053"/>
    <s v="Male"/>
    <x v="0"/>
    <x v="0"/>
    <x v="1"/>
    <s v="Resistance Band"/>
    <x v="7"/>
    <n v="1"/>
    <n v="901.28"/>
    <n v="0.1"/>
    <n v="811.15"/>
    <n v="412.32"/>
    <n v="398.83"/>
    <s v="Debit Card"/>
    <x v="9"/>
    <n v="5"/>
    <x v="0"/>
  </r>
  <r>
    <s v="ORD101404"/>
    <d v="2025-03-05T00:00:00"/>
    <s v="Decathlon Jaipur"/>
    <x v="0"/>
    <x v="0"/>
    <s v="CUST1074"/>
    <s v="Female"/>
    <x v="2"/>
    <x v="1"/>
    <x v="5"/>
    <s v="Water Bottle"/>
    <x v="1"/>
    <n v="4"/>
    <n v="710.31"/>
    <n v="0.15"/>
    <n v="2415.0500000000002"/>
    <n v="953.77"/>
    <n v="1461.28"/>
    <s v="Debit Card"/>
    <x v="3"/>
    <n v="3"/>
    <x v="1"/>
  </r>
  <r>
    <s v="ORD101405"/>
    <d v="2025-04-13T00:00:00"/>
    <s v="Decathlon Delhi"/>
    <x v="9"/>
    <x v="0"/>
    <s v="CUST1544"/>
    <s v="Female"/>
    <x v="2"/>
    <x v="1"/>
    <x v="3"/>
    <s v="Mountain Bike"/>
    <x v="6"/>
    <n v="3"/>
    <n v="25938.65"/>
    <n v="0.3"/>
    <n v="54471.17"/>
    <n v="52434.09"/>
    <n v="2037.08"/>
    <s v="Debit Card"/>
    <x v="6"/>
    <n v="4"/>
    <x v="5"/>
  </r>
  <r>
    <s v="ORD101406"/>
    <d v="2025-02-25T00:00:00"/>
    <s v="Decathlon Pune"/>
    <x v="1"/>
    <x v="1"/>
    <s v="CUST1850"/>
    <s v="Male"/>
    <x v="3"/>
    <x v="1"/>
    <x v="1"/>
    <s v="Yoga Mat"/>
    <x v="6"/>
    <n v="2"/>
    <n v="1536.62"/>
    <n v="0"/>
    <n v="3073.24"/>
    <n v="1354.89"/>
    <n v="1718.35"/>
    <s v="UPI"/>
    <x v="1"/>
    <n v="4"/>
    <x v="6"/>
  </r>
  <r>
    <s v="ORD101407"/>
    <d v="2025-05-15T00:00:00"/>
    <s v="Decathlon Gurugram"/>
    <x v="8"/>
    <x v="0"/>
    <s v="CUST1228"/>
    <s v="Female"/>
    <x v="2"/>
    <x v="0"/>
    <x v="0"/>
    <s v="Running T-Shirt"/>
    <x v="4"/>
    <n v="1"/>
    <n v="1043.6400000000001"/>
    <n v="0.15"/>
    <n v="887.09"/>
    <n v="462.85"/>
    <n v="424.24"/>
    <s v="Cash"/>
    <x v="1"/>
    <n v="3"/>
    <x v="10"/>
  </r>
  <r>
    <s v="ORD101408"/>
    <d v="2025-01-14T00:00:00"/>
    <s v="Decathlon Jaipur"/>
    <x v="0"/>
    <x v="0"/>
    <s v="CUST1723"/>
    <s v="Female"/>
    <x v="1"/>
    <x v="2"/>
    <x v="4"/>
    <s v="Shin Guards"/>
    <x v="1"/>
    <n v="2"/>
    <n v="1031.3900000000001"/>
    <n v="0.05"/>
    <n v="1959.64"/>
    <n v="977.89"/>
    <n v="981.75"/>
    <s v="Cash"/>
    <x v="8"/>
    <n v="3"/>
    <x v="4"/>
  </r>
  <r>
    <s v="ORD101409"/>
    <d v="2025-02-06T00:00:00"/>
    <s v="Decathlon Gurugram"/>
    <x v="8"/>
    <x v="0"/>
    <s v="CUST1381"/>
    <s v="Male"/>
    <x v="0"/>
    <x v="0"/>
    <x v="2"/>
    <s v="Swimsuit"/>
    <x v="6"/>
    <n v="4"/>
    <n v="1492.3"/>
    <n v="0.3"/>
    <n v="4178.4399999999996"/>
    <n v="3343.42"/>
    <n v="835.02"/>
    <s v="Debit Card"/>
    <x v="9"/>
    <n v="4"/>
    <x v="6"/>
  </r>
  <r>
    <s v="ORD101410"/>
    <d v="2025-06-14T00:00:00"/>
    <s v="Decathlon Hyderabad"/>
    <x v="7"/>
    <x v="2"/>
    <s v="CUST1970"/>
    <s v="Female"/>
    <x v="3"/>
    <x v="2"/>
    <x v="0"/>
    <s v="Fitness Band"/>
    <x v="5"/>
    <n v="3"/>
    <n v="2574.8200000000002"/>
    <n v="0.3"/>
    <n v="5407.12"/>
    <n v="4284.55"/>
    <n v="1122.57"/>
    <s v="Net Banking"/>
    <x v="0"/>
    <n v="5"/>
    <x v="11"/>
  </r>
  <r>
    <s v="ORD101411"/>
    <d v="2025-04-16T00:00:00"/>
    <s v="Decathlon Hyderabad"/>
    <x v="7"/>
    <x v="2"/>
    <s v="CUST1324"/>
    <s v="Male"/>
    <x v="1"/>
    <x v="0"/>
    <x v="3"/>
    <s v="Mountain Bike"/>
    <x v="3"/>
    <n v="3"/>
    <n v="24860.78"/>
    <n v="0.3"/>
    <n v="52207.64"/>
    <n v="53974.66"/>
    <n v="-1767.02"/>
    <s v="Net Banking"/>
    <x v="9"/>
    <n v="5"/>
    <x v="5"/>
  </r>
  <r>
    <s v="ORD101412"/>
    <d v="2025-04-06T00:00:00"/>
    <s v="Decathlon Ahmedabad"/>
    <x v="2"/>
    <x v="1"/>
    <s v="CUST1174"/>
    <s v="Female"/>
    <x v="0"/>
    <x v="1"/>
    <x v="4"/>
    <s v="Football"/>
    <x v="3"/>
    <n v="5"/>
    <n v="1344.59"/>
    <n v="0.3"/>
    <n v="4706.0600000000004"/>
    <n v="3432.76"/>
    <n v="1273.3"/>
    <s v="Debit Card"/>
    <x v="1"/>
    <n v="4"/>
    <x v="5"/>
  </r>
  <r>
    <s v="ORD101413"/>
    <d v="2025-01-04T00:00:00"/>
    <s v="Decathlon Gurugram"/>
    <x v="8"/>
    <x v="0"/>
    <s v="CUST1632"/>
    <s v="Female"/>
    <x v="2"/>
    <x v="1"/>
    <x v="3"/>
    <s v="Cycling Gloves"/>
    <x v="5"/>
    <n v="3"/>
    <n v="826.87"/>
    <n v="0.25"/>
    <n v="1860.46"/>
    <n v="1047.02"/>
    <n v="813.44"/>
    <s v="Net Banking"/>
    <x v="1"/>
    <n v="4"/>
    <x v="4"/>
  </r>
  <r>
    <s v="ORD101414"/>
    <d v="2025-03-26T00:00:00"/>
    <s v="Decathlon Mumbai"/>
    <x v="6"/>
    <x v="1"/>
    <s v="CUST1925"/>
    <s v="Male"/>
    <x v="2"/>
    <x v="0"/>
    <x v="1"/>
    <s v="Yoga Block"/>
    <x v="7"/>
    <n v="5"/>
    <n v="575.70000000000005"/>
    <n v="0.3"/>
    <n v="2014.95"/>
    <n v="1335.66"/>
    <n v="679.29"/>
    <s v="UPI"/>
    <x v="5"/>
    <n v="3"/>
    <x v="1"/>
  </r>
  <r>
    <s v="ORD101415"/>
    <d v="2025-05-08T00:00:00"/>
    <s v="Decathlon Gurugram"/>
    <x v="8"/>
    <x v="0"/>
    <s v="CUST1616"/>
    <s v="Female"/>
    <x v="1"/>
    <x v="1"/>
    <x v="3"/>
    <s v="Helmet"/>
    <x v="7"/>
    <n v="2"/>
    <n v="1908.76"/>
    <n v="0.25"/>
    <n v="2863.14"/>
    <n v="2122.15"/>
    <n v="740.99"/>
    <s v="UPI"/>
    <x v="7"/>
    <n v="5"/>
    <x v="10"/>
  </r>
  <r>
    <s v="ORD101416"/>
    <d v="2025-08-08T00:00:00"/>
    <s v="Decathlon Bengaluru"/>
    <x v="4"/>
    <x v="2"/>
    <s v="CUST1783"/>
    <s v="Male"/>
    <x v="3"/>
    <x v="1"/>
    <x v="2"/>
    <s v="Swimming Goggles"/>
    <x v="7"/>
    <n v="2"/>
    <n v="922.99"/>
    <n v="0.25"/>
    <n v="1384.49"/>
    <n v="921.93"/>
    <n v="462.56"/>
    <s v="Credit Card"/>
    <x v="6"/>
    <n v="3"/>
    <x v="3"/>
  </r>
  <r>
    <s v="ORD101417"/>
    <d v="2025-10-17T00:00:00"/>
    <s v="Decathlon Chennai"/>
    <x v="3"/>
    <x v="2"/>
    <s v="CUST1341"/>
    <s v="Male"/>
    <x v="1"/>
    <x v="2"/>
    <x v="4"/>
    <s v="Shin Guards"/>
    <x v="6"/>
    <n v="3"/>
    <n v="973.45"/>
    <n v="0.3"/>
    <n v="2044.25"/>
    <n v="1466.57"/>
    <n v="577.67999999999995"/>
    <s v="Net Banking"/>
    <x v="9"/>
    <n v="5"/>
    <x v="9"/>
  </r>
  <r>
    <s v="ORD101418"/>
    <d v="2025-07-28T00:00:00"/>
    <s v="Decathlon Delhi"/>
    <x v="9"/>
    <x v="0"/>
    <s v="CUST1342"/>
    <s v="Female"/>
    <x v="1"/>
    <x v="0"/>
    <x v="2"/>
    <s v="Swimming Goggles"/>
    <x v="3"/>
    <n v="1"/>
    <n v="897.96"/>
    <n v="0.3"/>
    <n v="628.57000000000005"/>
    <n v="466.01"/>
    <n v="162.56"/>
    <s v="Debit Card"/>
    <x v="6"/>
    <n v="4"/>
    <x v="8"/>
  </r>
  <r>
    <s v="ORD101419"/>
    <d v="2025-05-14T00:00:00"/>
    <s v="Decathlon Delhi"/>
    <x v="9"/>
    <x v="0"/>
    <s v="CUST1226"/>
    <s v="Female"/>
    <x v="1"/>
    <x v="1"/>
    <x v="2"/>
    <s v="Swimsuit"/>
    <x v="4"/>
    <n v="3"/>
    <n v="1464.04"/>
    <n v="0.3"/>
    <n v="3074.48"/>
    <n v="2430.11"/>
    <n v="644.37"/>
    <s v="Credit Card"/>
    <x v="2"/>
    <n v="4"/>
    <x v="10"/>
  </r>
  <r>
    <s v="ORD101420"/>
    <d v="2025-08-30T00:00:00"/>
    <s v="Decathlon Chennai"/>
    <x v="3"/>
    <x v="2"/>
    <s v="CUST1980"/>
    <s v="Female"/>
    <x v="1"/>
    <x v="1"/>
    <x v="2"/>
    <s v="Swimsuit"/>
    <x v="1"/>
    <n v="3"/>
    <n v="1459.5"/>
    <n v="0.3"/>
    <n v="3064.95"/>
    <n v="2541.54"/>
    <n v="523.41"/>
    <s v="Net Banking"/>
    <x v="6"/>
    <n v="4"/>
    <x v="3"/>
  </r>
  <r>
    <s v="ORD101421"/>
    <d v="2025-02-24T00:00:00"/>
    <s v="Decathlon Chennai"/>
    <x v="3"/>
    <x v="2"/>
    <s v="CUST1178"/>
    <s v="Female"/>
    <x v="0"/>
    <x v="1"/>
    <x v="0"/>
    <s v="Running T-Shirt"/>
    <x v="0"/>
    <n v="5"/>
    <n v="1015.98"/>
    <n v="0.2"/>
    <n v="4063.92"/>
    <n v="2291.08"/>
    <n v="1772.84"/>
    <s v="Net Banking"/>
    <x v="2"/>
    <n v="5"/>
    <x v="6"/>
  </r>
  <r>
    <s v="ORD101422"/>
    <d v="2025-10-16T00:00:00"/>
    <s v="Decathlon Hyderabad"/>
    <x v="7"/>
    <x v="2"/>
    <s v="CUST1782"/>
    <s v="Female"/>
    <x v="3"/>
    <x v="2"/>
    <x v="4"/>
    <s v="Shin Guards"/>
    <x v="7"/>
    <n v="4"/>
    <n v="968.81"/>
    <n v="0.25"/>
    <n v="2906.43"/>
    <n v="1999.75"/>
    <n v="906.68"/>
    <s v="Cash"/>
    <x v="9"/>
    <n v="3"/>
    <x v="9"/>
  </r>
  <r>
    <s v="ORD101423"/>
    <d v="2025-06-12T00:00:00"/>
    <s v="Decathlon Ahmedabad"/>
    <x v="2"/>
    <x v="1"/>
    <s v="CUST1800"/>
    <s v="Male"/>
    <x v="2"/>
    <x v="0"/>
    <x v="0"/>
    <s v="Running T-Shirt"/>
    <x v="0"/>
    <n v="3"/>
    <n v="992.29"/>
    <n v="0.3"/>
    <n v="2083.81"/>
    <n v="1348.8"/>
    <n v="735.01"/>
    <s v="Debit Card"/>
    <x v="9"/>
    <n v="4"/>
    <x v="11"/>
  </r>
  <r>
    <s v="ORD101424"/>
    <d v="2025-01-31T00:00:00"/>
    <s v="Decathlon Gurugram"/>
    <x v="8"/>
    <x v="0"/>
    <s v="CUST1050"/>
    <s v="Male"/>
    <x v="0"/>
    <x v="0"/>
    <x v="4"/>
    <s v="Football"/>
    <x v="5"/>
    <n v="4"/>
    <n v="1277.51"/>
    <n v="0.2"/>
    <n v="4088.03"/>
    <n v="2800.15"/>
    <n v="1287.8800000000001"/>
    <s v="Net Banking"/>
    <x v="0"/>
    <n v="4"/>
    <x v="4"/>
  </r>
  <r>
    <s v="ORD101425"/>
    <d v="2025-12-06T00:00:00"/>
    <s v="Decathlon Gurugram"/>
    <x v="8"/>
    <x v="0"/>
    <s v="CUST1294"/>
    <s v="Male"/>
    <x v="2"/>
    <x v="0"/>
    <x v="5"/>
    <s v="Water Bottle"/>
    <x v="2"/>
    <n v="5"/>
    <n v="718.48"/>
    <n v="0.25"/>
    <n v="2694.3"/>
    <n v="1221.3"/>
    <n v="1473"/>
    <s v="Debit Card"/>
    <x v="9"/>
    <n v="4"/>
    <x v="0"/>
  </r>
  <r>
    <s v="ORD101426"/>
    <d v="2025-03-27T00:00:00"/>
    <s v="Decathlon Mumbai"/>
    <x v="6"/>
    <x v="1"/>
    <s v="CUST1456"/>
    <s v="Female"/>
    <x v="2"/>
    <x v="0"/>
    <x v="2"/>
    <s v="Swim Cap"/>
    <x v="0"/>
    <n v="2"/>
    <n v="484.34"/>
    <n v="0.05"/>
    <n v="920.25"/>
    <n v="457.66"/>
    <n v="462.59"/>
    <s v="Cash"/>
    <x v="5"/>
    <n v="4"/>
    <x v="1"/>
  </r>
  <r>
    <s v="ORD101427"/>
    <d v="2025-04-25T00:00:00"/>
    <s v="Decathlon Noida"/>
    <x v="5"/>
    <x v="0"/>
    <s v="CUST1054"/>
    <s v="Male"/>
    <x v="2"/>
    <x v="0"/>
    <x v="4"/>
    <s v="Football Boots"/>
    <x v="1"/>
    <n v="4"/>
    <n v="3388.22"/>
    <n v="0.1"/>
    <n v="12197.59"/>
    <n v="8269.35"/>
    <n v="3928.24"/>
    <s v="Cash"/>
    <x v="3"/>
    <n v="3"/>
    <x v="5"/>
  </r>
  <r>
    <s v="ORD101428"/>
    <d v="2025-03-24T00:00:00"/>
    <s v="Decathlon Delhi"/>
    <x v="9"/>
    <x v="0"/>
    <s v="CUST1663"/>
    <s v="Male"/>
    <x v="2"/>
    <x v="2"/>
    <x v="5"/>
    <s v="Backpack"/>
    <x v="3"/>
    <n v="3"/>
    <n v="3010.96"/>
    <n v="0.25"/>
    <n v="6774.66"/>
    <n v="4958.79"/>
    <n v="1815.87"/>
    <s v="Debit Card"/>
    <x v="3"/>
    <n v="5"/>
    <x v="1"/>
  </r>
  <r>
    <s v="ORD101429"/>
    <d v="2025-08-27T00:00:00"/>
    <s v="Decathlon Bengaluru"/>
    <x v="4"/>
    <x v="2"/>
    <s v="CUST1842"/>
    <s v="Female"/>
    <x v="2"/>
    <x v="1"/>
    <x v="5"/>
    <s v="Water Bottle"/>
    <x v="7"/>
    <n v="4"/>
    <n v="668.23"/>
    <n v="0.15"/>
    <n v="2271.98"/>
    <n v="1021.88"/>
    <n v="1250.0999999999999"/>
    <s v="Net Banking"/>
    <x v="9"/>
    <n v="4"/>
    <x v="3"/>
  </r>
  <r>
    <s v="ORD101430"/>
    <d v="2025-02-25T00:00:00"/>
    <s v="Decathlon Gurugram"/>
    <x v="8"/>
    <x v="0"/>
    <s v="CUST1249"/>
    <s v="Female"/>
    <x v="1"/>
    <x v="0"/>
    <x v="4"/>
    <s v="Football Boots"/>
    <x v="5"/>
    <n v="2"/>
    <n v="3483.77"/>
    <n v="0.15"/>
    <n v="5922.41"/>
    <n v="4033.68"/>
    <n v="1888.73"/>
    <s v="UPI"/>
    <x v="4"/>
    <n v="3"/>
    <x v="6"/>
  </r>
  <r>
    <s v="ORD101431"/>
    <d v="2025-06-23T00:00:00"/>
    <s v="Decathlon Delhi"/>
    <x v="9"/>
    <x v="0"/>
    <s v="CUST1511"/>
    <s v="Female"/>
    <x v="2"/>
    <x v="1"/>
    <x v="5"/>
    <s v="Water Bottle"/>
    <x v="2"/>
    <n v="1"/>
    <n v="673.83"/>
    <n v="0.05"/>
    <n v="640.14"/>
    <n v="254.19"/>
    <n v="385.95"/>
    <s v="Net Banking"/>
    <x v="3"/>
    <n v="3"/>
    <x v="11"/>
  </r>
  <r>
    <s v="ORD101432"/>
    <d v="2025-06-01T00:00:00"/>
    <s v="Decathlon Jaipur"/>
    <x v="0"/>
    <x v="0"/>
    <s v="CUST1981"/>
    <s v="Female"/>
    <x v="3"/>
    <x v="1"/>
    <x v="3"/>
    <s v="Helmet"/>
    <x v="5"/>
    <n v="3"/>
    <n v="2090.42"/>
    <n v="0.25"/>
    <n v="4703.4399999999996"/>
    <n v="3186.13"/>
    <n v="1517.31"/>
    <s v="UPI"/>
    <x v="2"/>
    <n v="4"/>
    <x v="11"/>
  </r>
  <r>
    <s v="ORD101433"/>
    <d v="2025-04-29T00:00:00"/>
    <s v="Decathlon Pune"/>
    <x v="1"/>
    <x v="1"/>
    <s v="CUST1559"/>
    <s v="Female"/>
    <x v="2"/>
    <x v="1"/>
    <x v="2"/>
    <s v="Swimming Goggles"/>
    <x v="1"/>
    <n v="3"/>
    <n v="894.06"/>
    <n v="0.25"/>
    <n v="2011.63"/>
    <n v="1327.42"/>
    <n v="684.21"/>
    <s v="UPI"/>
    <x v="5"/>
    <n v="4"/>
    <x v="5"/>
  </r>
  <r>
    <s v="ORD101434"/>
    <d v="2025-07-17T00:00:00"/>
    <s v="Decathlon Delhi"/>
    <x v="9"/>
    <x v="0"/>
    <s v="CUST1358"/>
    <s v="Male"/>
    <x v="1"/>
    <x v="2"/>
    <x v="1"/>
    <s v="Yoga Mat"/>
    <x v="5"/>
    <n v="1"/>
    <n v="1446.82"/>
    <n v="0.2"/>
    <n v="1157.46"/>
    <n v="724.87"/>
    <n v="432.59"/>
    <s v="Debit Card"/>
    <x v="9"/>
    <n v="3"/>
    <x v="8"/>
  </r>
  <r>
    <s v="ORD101435"/>
    <d v="2025-07-21T00:00:00"/>
    <s v="Decathlon Gurugram"/>
    <x v="8"/>
    <x v="0"/>
    <s v="CUST1962"/>
    <s v="Male"/>
    <x v="2"/>
    <x v="1"/>
    <x v="5"/>
    <s v="Trekking Shoes"/>
    <x v="7"/>
    <n v="5"/>
    <n v="4996.63"/>
    <n v="0.1"/>
    <n v="22484.84"/>
    <n v="15522.3"/>
    <n v="6962.54"/>
    <s v="UPI"/>
    <x v="6"/>
    <n v="3"/>
    <x v="8"/>
  </r>
  <r>
    <s v="ORD101436"/>
    <d v="2025-05-22T00:00:00"/>
    <s v="Decathlon Gurugram"/>
    <x v="8"/>
    <x v="0"/>
    <s v="CUST1701"/>
    <s v="Female"/>
    <x v="0"/>
    <x v="0"/>
    <x v="3"/>
    <s v="Cycling Gloves"/>
    <x v="5"/>
    <n v="5"/>
    <n v="761.45"/>
    <n v="0.3"/>
    <n v="2665.07"/>
    <n v="1834.35"/>
    <n v="830.72"/>
    <s v="Debit Card"/>
    <x v="2"/>
    <n v="4"/>
    <x v="10"/>
  </r>
  <r>
    <s v="ORD101437"/>
    <d v="2025-04-13T00:00:00"/>
    <s v="Decathlon Gurugram"/>
    <x v="8"/>
    <x v="0"/>
    <s v="CUST1985"/>
    <s v="Female"/>
    <x v="2"/>
    <x v="0"/>
    <x v="4"/>
    <s v="Football Boots"/>
    <x v="5"/>
    <n v="1"/>
    <n v="3352.44"/>
    <n v="0.3"/>
    <n v="2346.71"/>
    <n v="2178.65"/>
    <n v="168.06"/>
    <s v="Debit Card"/>
    <x v="1"/>
    <n v="5"/>
    <x v="5"/>
  </r>
  <r>
    <s v="ORD101438"/>
    <d v="2025-02-10T00:00:00"/>
    <s v="Decathlon Jaipur"/>
    <x v="0"/>
    <x v="0"/>
    <s v="CUST1694"/>
    <s v="Female"/>
    <x v="2"/>
    <x v="2"/>
    <x v="0"/>
    <s v="Running Shoes"/>
    <x v="6"/>
    <n v="2"/>
    <n v="4026.55"/>
    <n v="0"/>
    <n v="8053.1"/>
    <n v="4565.03"/>
    <n v="3488.07"/>
    <s v="Net Banking"/>
    <x v="6"/>
    <n v="3"/>
    <x v="6"/>
  </r>
  <r>
    <s v="ORD101439"/>
    <d v="2025-11-09T00:00:00"/>
    <s v="Decathlon Jaipur"/>
    <x v="0"/>
    <x v="0"/>
    <s v="CUST1805"/>
    <s v="Male"/>
    <x v="1"/>
    <x v="0"/>
    <x v="1"/>
    <s v="Yoga Block"/>
    <x v="4"/>
    <n v="5"/>
    <n v="621.97"/>
    <n v="0"/>
    <n v="3109.85"/>
    <n v="1316.79"/>
    <n v="1793.06"/>
    <s v="Cash"/>
    <x v="9"/>
    <n v="3"/>
    <x v="2"/>
  </r>
  <r>
    <s v="ORD101440"/>
    <d v="2025-03-27T00:00:00"/>
    <s v="Decathlon Chennai"/>
    <x v="3"/>
    <x v="2"/>
    <s v="CUST1484"/>
    <s v="Female"/>
    <x v="1"/>
    <x v="2"/>
    <x v="0"/>
    <s v="Running Shoes"/>
    <x v="7"/>
    <n v="3"/>
    <n v="3945.99"/>
    <n v="0.3"/>
    <n v="8286.58"/>
    <n v="6664.57"/>
    <n v="1622.01"/>
    <s v="Cash"/>
    <x v="8"/>
    <n v="3"/>
    <x v="1"/>
  </r>
  <r>
    <s v="ORD101441"/>
    <d v="2025-06-08T00:00:00"/>
    <s v="Decathlon Bengaluru"/>
    <x v="4"/>
    <x v="2"/>
    <s v="CUST1192"/>
    <s v="Female"/>
    <x v="3"/>
    <x v="2"/>
    <x v="1"/>
    <s v="Yoga Block"/>
    <x v="0"/>
    <n v="1"/>
    <n v="619.95000000000005"/>
    <n v="0.15"/>
    <n v="526.96"/>
    <n v="269.64999999999998"/>
    <n v="257.31"/>
    <s v="Credit Card"/>
    <x v="6"/>
    <n v="3"/>
    <x v="11"/>
  </r>
  <r>
    <s v="ORD101442"/>
    <d v="2025-12-07T00:00:00"/>
    <s v="Decathlon Pune"/>
    <x v="1"/>
    <x v="1"/>
    <s v="CUST1350"/>
    <s v="Female"/>
    <x v="1"/>
    <x v="0"/>
    <x v="4"/>
    <s v="Football Boots"/>
    <x v="6"/>
    <n v="3"/>
    <n v="3513.28"/>
    <n v="0.15"/>
    <n v="8958.86"/>
    <n v="6407.31"/>
    <n v="2551.5500000000002"/>
    <s v="Net Banking"/>
    <x v="0"/>
    <n v="3"/>
    <x v="0"/>
  </r>
  <r>
    <s v="ORD101443"/>
    <d v="2025-07-09T00:00:00"/>
    <s v="Decathlon Mumbai"/>
    <x v="6"/>
    <x v="1"/>
    <s v="CUST1042"/>
    <s v="Male"/>
    <x v="1"/>
    <x v="2"/>
    <x v="3"/>
    <s v="Helmet"/>
    <x v="6"/>
    <n v="5"/>
    <n v="1978.12"/>
    <n v="0.15"/>
    <n v="8407.01"/>
    <n v="5693.82"/>
    <n v="2713.19"/>
    <s v="Debit Card"/>
    <x v="9"/>
    <n v="4"/>
    <x v="8"/>
  </r>
  <r>
    <s v="ORD101444"/>
    <d v="2025-01-06T00:00:00"/>
    <s v="Decathlon Noida"/>
    <x v="5"/>
    <x v="0"/>
    <s v="CUST1947"/>
    <s v="Male"/>
    <x v="0"/>
    <x v="2"/>
    <x v="3"/>
    <s v="Helmet"/>
    <x v="2"/>
    <n v="2"/>
    <n v="1967.29"/>
    <n v="0.3"/>
    <n v="2754.21"/>
    <n v="2284.71"/>
    <n v="469.5"/>
    <s v="Credit Card"/>
    <x v="8"/>
    <n v="4"/>
    <x v="4"/>
  </r>
  <r>
    <s v="ORD101445"/>
    <d v="2025-01-31T00:00:00"/>
    <s v="Decathlon Mumbai"/>
    <x v="6"/>
    <x v="1"/>
    <s v="CUST1212"/>
    <s v="Female"/>
    <x v="2"/>
    <x v="2"/>
    <x v="4"/>
    <s v="Football"/>
    <x v="1"/>
    <n v="2"/>
    <n v="1240.32"/>
    <n v="0.3"/>
    <n v="1736.45"/>
    <n v="1370.47"/>
    <n v="365.98"/>
    <s v="Debit Card"/>
    <x v="9"/>
    <n v="5"/>
    <x v="4"/>
  </r>
  <r>
    <s v="ORD101446"/>
    <d v="2025-08-22T00:00:00"/>
    <s v="Decathlon Jaipur"/>
    <x v="0"/>
    <x v="0"/>
    <s v="CUST1955"/>
    <s v="Female"/>
    <x v="2"/>
    <x v="0"/>
    <x v="3"/>
    <s v="Cycling Gloves"/>
    <x v="6"/>
    <n v="3"/>
    <n v="825.55"/>
    <n v="0.05"/>
    <n v="2352.8200000000002"/>
    <n v="1029.27"/>
    <n v="1323.55"/>
    <s v="Cash"/>
    <x v="5"/>
    <n v="5"/>
    <x v="3"/>
  </r>
  <r>
    <s v="ORD101447"/>
    <d v="2025-11-16T00:00:00"/>
    <s v="Decathlon Hyderabad"/>
    <x v="7"/>
    <x v="2"/>
    <s v="CUST1900"/>
    <s v="Male"/>
    <x v="1"/>
    <x v="1"/>
    <x v="5"/>
    <s v="Trekking Shoes"/>
    <x v="6"/>
    <n v="3"/>
    <n v="4817.97"/>
    <n v="0.05"/>
    <n v="13731.21"/>
    <n v="9352.43"/>
    <n v="4378.78"/>
    <s v="Net Banking"/>
    <x v="0"/>
    <n v="5"/>
    <x v="2"/>
  </r>
  <r>
    <s v="ORD101448"/>
    <d v="2025-07-19T00:00:00"/>
    <s v="Decathlon Noida"/>
    <x v="5"/>
    <x v="0"/>
    <s v="CUST1510"/>
    <s v="Female"/>
    <x v="1"/>
    <x v="2"/>
    <x v="1"/>
    <s v="Yoga Block"/>
    <x v="0"/>
    <n v="4"/>
    <n v="612.57000000000005"/>
    <n v="0.15"/>
    <n v="2082.7399999999998"/>
    <n v="1078"/>
    <n v="1004.74"/>
    <s v="Debit Card"/>
    <x v="1"/>
    <n v="3"/>
    <x v="8"/>
  </r>
  <r>
    <s v="ORD101449"/>
    <d v="2025-06-01T00:00:00"/>
    <s v="Decathlon Pune"/>
    <x v="1"/>
    <x v="1"/>
    <s v="CUST1817"/>
    <s v="Male"/>
    <x v="0"/>
    <x v="0"/>
    <x v="0"/>
    <s v="Fitness Band"/>
    <x v="7"/>
    <n v="1"/>
    <n v="2514.58"/>
    <n v="0.25"/>
    <n v="1885.93"/>
    <n v="1449.08"/>
    <n v="436.85"/>
    <s v="UPI"/>
    <x v="7"/>
    <n v="5"/>
    <x v="11"/>
  </r>
  <r>
    <s v="ORD101450"/>
    <d v="2025-07-29T00:00:00"/>
    <s v="Decathlon Hyderabad"/>
    <x v="7"/>
    <x v="2"/>
    <s v="CUST1825"/>
    <s v="Male"/>
    <x v="1"/>
    <x v="1"/>
    <x v="4"/>
    <s v="Football"/>
    <x v="5"/>
    <n v="3"/>
    <n v="1294.79"/>
    <n v="0.05"/>
    <n v="3690.15"/>
    <n v="2007.57"/>
    <n v="1682.58"/>
    <s v="Cash"/>
    <x v="1"/>
    <n v="3"/>
    <x v="8"/>
  </r>
  <r>
    <s v="ORD101451"/>
    <d v="2025-09-19T00:00:00"/>
    <s v="Decathlon Delhi"/>
    <x v="9"/>
    <x v="0"/>
    <s v="CUST1667"/>
    <s v="Female"/>
    <x v="1"/>
    <x v="0"/>
    <x v="2"/>
    <s v="Swimming Goggles"/>
    <x v="0"/>
    <n v="1"/>
    <n v="881.55"/>
    <n v="0.2"/>
    <n v="705.24"/>
    <n v="463.13"/>
    <n v="242.11"/>
    <s v="Debit Card"/>
    <x v="8"/>
    <n v="3"/>
    <x v="7"/>
  </r>
  <r>
    <s v="ORD101452"/>
    <d v="2025-12-27T00:00:00"/>
    <s v="Decathlon Mumbai"/>
    <x v="6"/>
    <x v="1"/>
    <s v="CUST1351"/>
    <s v="Male"/>
    <x v="2"/>
    <x v="1"/>
    <x v="1"/>
    <s v="Yoga Block"/>
    <x v="5"/>
    <n v="1"/>
    <n v="587.70000000000005"/>
    <n v="0.1"/>
    <n v="528.92999999999995"/>
    <n v="271.16000000000003"/>
    <n v="257.77"/>
    <s v="UPI"/>
    <x v="1"/>
    <n v="4"/>
    <x v="0"/>
  </r>
  <r>
    <s v="ORD101453"/>
    <d v="2025-06-14T00:00:00"/>
    <s v="Decathlon Noida"/>
    <x v="5"/>
    <x v="0"/>
    <s v="CUST1311"/>
    <s v="Female"/>
    <x v="2"/>
    <x v="2"/>
    <x v="3"/>
    <s v="Cycling Gloves"/>
    <x v="0"/>
    <n v="5"/>
    <n v="819.33"/>
    <n v="0.15"/>
    <n v="3482.15"/>
    <n v="1779.12"/>
    <n v="1703.03"/>
    <s v="Net Banking"/>
    <x v="5"/>
    <n v="3"/>
    <x v="11"/>
  </r>
  <r>
    <s v="ORD101454"/>
    <d v="2025-11-20T00:00:00"/>
    <s v="Decathlon Hyderabad"/>
    <x v="7"/>
    <x v="2"/>
    <s v="CUST1268"/>
    <s v="Female"/>
    <x v="2"/>
    <x v="1"/>
    <x v="1"/>
    <s v="Resistance Band"/>
    <x v="0"/>
    <n v="2"/>
    <n v="859.57"/>
    <n v="0.1"/>
    <n v="1547.23"/>
    <n v="784.07"/>
    <n v="763.16"/>
    <s v="Debit Card"/>
    <x v="9"/>
    <n v="3"/>
    <x v="2"/>
  </r>
  <r>
    <s v="ORD101455"/>
    <d v="2025-01-31T00:00:00"/>
    <s v="Decathlon Chennai"/>
    <x v="3"/>
    <x v="2"/>
    <s v="CUST1897"/>
    <s v="Male"/>
    <x v="3"/>
    <x v="1"/>
    <x v="0"/>
    <s v="Running T-Shirt"/>
    <x v="0"/>
    <n v="1"/>
    <n v="991.02"/>
    <n v="0.15"/>
    <n v="842.37"/>
    <n v="434.58"/>
    <n v="407.79"/>
    <s v="Cash"/>
    <x v="4"/>
    <n v="4"/>
    <x v="4"/>
  </r>
  <r>
    <s v="ORD101456"/>
    <d v="2025-09-05T00:00:00"/>
    <s v="Decathlon Delhi"/>
    <x v="9"/>
    <x v="0"/>
    <s v="CUST1088"/>
    <s v="Female"/>
    <x v="1"/>
    <x v="0"/>
    <x v="2"/>
    <s v="Swimsuit"/>
    <x v="0"/>
    <n v="2"/>
    <n v="1546.9"/>
    <n v="0.25"/>
    <n v="2320.35"/>
    <n v="1764.95"/>
    <n v="555.4"/>
    <s v="Debit Card"/>
    <x v="9"/>
    <n v="5"/>
    <x v="7"/>
  </r>
  <r>
    <s v="ORD101457"/>
    <d v="2025-10-23T00:00:00"/>
    <s v="Decathlon Chennai"/>
    <x v="3"/>
    <x v="2"/>
    <s v="CUST1952"/>
    <s v="Female"/>
    <x v="3"/>
    <x v="0"/>
    <x v="4"/>
    <s v="Football"/>
    <x v="3"/>
    <n v="5"/>
    <n v="1284.55"/>
    <n v="0"/>
    <n v="6422.75"/>
    <n v="3657.97"/>
    <n v="2764.78"/>
    <s v="UPI"/>
    <x v="0"/>
    <n v="5"/>
    <x v="9"/>
  </r>
  <r>
    <s v="ORD101458"/>
    <d v="2025-04-18T00:00:00"/>
    <s v="Decathlon Delhi"/>
    <x v="9"/>
    <x v="0"/>
    <s v="CUST1991"/>
    <s v="Male"/>
    <x v="1"/>
    <x v="1"/>
    <x v="1"/>
    <s v="Resistance Band"/>
    <x v="6"/>
    <n v="1"/>
    <n v="894.69"/>
    <n v="0.25"/>
    <n v="671.02"/>
    <n v="402.69"/>
    <n v="268.33"/>
    <s v="Debit Card"/>
    <x v="5"/>
    <n v="5"/>
    <x v="5"/>
  </r>
  <r>
    <s v="ORD101459"/>
    <d v="2025-12-08T00:00:00"/>
    <s v="Decathlon Chennai"/>
    <x v="3"/>
    <x v="2"/>
    <s v="CUST1708"/>
    <s v="Female"/>
    <x v="0"/>
    <x v="2"/>
    <x v="1"/>
    <s v="Yoga Block"/>
    <x v="4"/>
    <n v="4"/>
    <n v="580.6"/>
    <n v="0.25"/>
    <n v="1741.8"/>
    <n v="1070.42"/>
    <n v="671.38"/>
    <s v="Net Banking"/>
    <x v="8"/>
    <n v="3"/>
    <x v="0"/>
  </r>
  <r>
    <s v="ORD101460"/>
    <d v="2025-01-31T00:00:00"/>
    <s v="Decathlon Jaipur"/>
    <x v="0"/>
    <x v="0"/>
    <s v="CUST1170"/>
    <s v="Male"/>
    <x v="0"/>
    <x v="0"/>
    <x v="4"/>
    <s v="Football Boots"/>
    <x v="1"/>
    <n v="3"/>
    <n v="3623.81"/>
    <n v="0.2"/>
    <n v="8697.14"/>
    <n v="6433.06"/>
    <n v="2264.08"/>
    <s v="Net Banking"/>
    <x v="9"/>
    <n v="3"/>
    <x v="4"/>
  </r>
  <r>
    <s v="ORD101461"/>
    <d v="2025-02-10T00:00:00"/>
    <s v="Decathlon Chennai"/>
    <x v="3"/>
    <x v="2"/>
    <s v="CUST1881"/>
    <s v="Male"/>
    <x v="2"/>
    <x v="0"/>
    <x v="4"/>
    <s v="Football"/>
    <x v="1"/>
    <n v="4"/>
    <n v="1241.98"/>
    <n v="0.2"/>
    <n v="3974.34"/>
    <n v="2918.53"/>
    <n v="1055.81"/>
    <s v="Credit Card"/>
    <x v="7"/>
    <n v="3"/>
    <x v="6"/>
  </r>
  <r>
    <s v="ORD101462"/>
    <d v="2025-11-26T00:00:00"/>
    <s v="Decathlon Gurugram"/>
    <x v="8"/>
    <x v="0"/>
    <s v="CUST1306"/>
    <s v="Female"/>
    <x v="1"/>
    <x v="2"/>
    <x v="4"/>
    <s v="Football"/>
    <x v="1"/>
    <n v="4"/>
    <n v="1313.86"/>
    <n v="0.1"/>
    <n v="4729.8999999999996"/>
    <n v="2749.95"/>
    <n v="1979.95"/>
    <s v="Net Banking"/>
    <x v="5"/>
    <n v="3"/>
    <x v="2"/>
  </r>
  <r>
    <s v="ORD101463"/>
    <d v="2025-03-31T00:00:00"/>
    <s v="Decathlon Pune"/>
    <x v="1"/>
    <x v="1"/>
    <s v="CUST1790"/>
    <s v="Female"/>
    <x v="0"/>
    <x v="1"/>
    <x v="4"/>
    <s v="Shin Guards"/>
    <x v="3"/>
    <n v="1"/>
    <n v="976.96"/>
    <n v="0"/>
    <n v="976.96"/>
    <n v="479.43"/>
    <n v="497.53"/>
    <s v="Net Banking"/>
    <x v="0"/>
    <n v="5"/>
    <x v="1"/>
  </r>
  <r>
    <s v="ORD101464"/>
    <d v="2025-03-11T00:00:00"/>
    <s v="Decathlon Hyderabad"/>
    <x v="7"/>
    <x v="2"/>
    <s v="CUST1492"/>
    <s v="Male"/>
    <x v="0"/>
    <x v="1"/>
    <x v="0"/>
    <s v="Running Shoes"/>
    <x v="5"/>
    <n v="2"/>
    <n v="3836.83"/>
    <n v="0.15"/>
    <n v="6522.61"/>
    <n v="4531.3100000000004"/>
    <n v="1991.3"/>
    <s v="UPI"/>
    <x v="6"/>
    <n v="5"/>
    <x v="1"/>
  </r>
  <r>
    <s v="ORD101465"/>
    <d v="2025-05-25T00:00:00"/>
    <s v="Decathlon Bengaluru"/>
    <x v="4"/>
    <x v="2"/>
    <s v="CUST1560"/>
    <s v="Female"/>
    <x v="3"/>
    <x v="1"/>
    <x v="4"/>
    <s v="Football"/>
    <x v="7"/>
    <n v="1"/>
    <n v="1294.77"/>
    <n v="0"/>
    <n v="1294.77"/>
    <n v="710.24"/>
    <n v="584.53"/>
    <s v="Debit Card"/>
    <x v="2"/>
    <n v="4"/>
    <x v="10"/>
  </r>
  <r>
    <s v="ORD101466"/>
    <d v="2025-01-22T00:00:00"/>
    <s v="Decathlon Gurugram"/>
    <x v="8"/>
    <x v="0"/>
    <s v="CUST1427"/>
    <s v="Male"/>
    <x v="3"/>
    <x v="2"/>
    <x v="2"/>
    <s v="Swimsuit"/>
    <x v="7"/>
    <n v="3"/>
    <n v="1444.89"/>
    <n v="0.3"/>
    <n v="3034.27"/>
    <n v="2593.52"/>
    <n v="440.75"/>
    <s v="Net Banking"/>
    <x v="7"/>
    <n v="5"/>
    <x v="4"/>
  </r>
  <r>
    <s v="ORD101467"/>
    <d v="2025-06-08T00:00:00"/>
    <s v="Decathlon Pune"/>
    <x v="1"/>
    <x v="1"/>
    <s v="CUST1327"/>
    <s v="Male"/>
    <x v="2"/>
    <x v="2"/>
    <x v="0"/>
    <s v="Running Shoes"/>
    <x v="1"/>
    <n v="1"/>
    <n v="4003.6"/>
    <n v="0.1"/>
    <n v="3603.24"/>
    <n v="2154.96"/>
    <n v="1448.28"/>
    <s v="Debit Card"/>
    <x v="6"/>
    <n v="5"/>
    <x v="11"/>
  </r>
  <r>
    <s v="ORD101468"/>
    <d v="2025-07-11T00:00:00"/>
    <s v="Decathlon Noida"/>
    <x v="5"/>
    <x v="0"/>
    <s v="CUST1254"/>
    <s v="Male"/>
    <x v="1"/>
    <x v="0"/>
    <x v="3"/>
    <s v="Helmet"/>
    <x v="1"/>
    <n v="2"/>
    <n v="2053.2600000000002"/>
    <n v="0.05"/>
    <n v="3901.19"/>
    <n v="2259.67"/>
    <n v="1641.52"/>
    <s v="Debit Card"/>
    <x v="1"/>
    <n v="5"/>
    <x v="8"/>
  </r>
  <r>
    <s v="ORD101469"/>
    <d v="2025-02-28T00:00:00"/>
    <s v="Decathlon Noida"/>
    <x v="5"/>
    <x v="0"/>
    <s v="CUST1945"/>
    <s v="Female"/>
    <x v="1"/>
    <x v="1"/>
    <x v="4"/>
    <s v="Football Boots"/>
    <x v="5"/>
    <n v="5"/>
    <n v="3562.98"/>
    <n v="0.2"/>
    <n v="14251.92"/>
    <n v="10013.94"/>
    <n v="4237.9799999999996"/>
    <s v="Cash"/>
    <x v="5"/>
    <n v="3"/>
    <x v="6"/>
  </r>
  <r>
    <s v="ORD101470"/>
    <d v="2025-09-16T00:00:00"/>
    <s v="Decathlon Hyderabad"/>
    <x v="7"/>
    <x v="2"/>
    <s v="CUST1170"/>
    <s v="Female"/>
    <x v="0"/>
    <x v="1"/>
    <x v="2"/>
    <s v="Swim Cap"/>
    <x v="4"/>
    <n v="3"/>
    <n v="517.54999999999995"/>
    <n v="0.1"/>
    <n v="1397.38"/>
    <n v="677.08"/>
    <n v="720.3"/>
    <s v="UPI"/>
    <x v="7"/>
    <n v="3"/>
    <x v="7"/>
  </r>
  <r>
    <s v="ORD101471"/>
    <d v="2025-05-31T00:00:00"/>
    <s v="Decathlon Pune"/>
    <x v="1"/>
    <x v="1"/>
    <s v="CUST1351"/>
    <s v="Female"/>
    <x v="3"/>
    <x v="1"/>
    <x v="3"/>
    <s v="Helmet"/>
    <x v="3"/>
    <n v="3"/>
    <n v="1969.44"/>
    <n v="0"/>
    <n v="5908.32"/>
    <n v="3420.25"/>
    <n v="2488.0700000000002"/>
    <s v="Credit Card"/>
    <x v="0"/>
    <n v="3"/>
    <x v="10"/>
  </r>
  <r>
    <s v="ORD101472"/>
    <d v="2025-04-06T00:00:00"/>
    <s v="Decathlon Delhi"/>
    <x v="9"/>
    <x v="0"/>
    <s v="CUST1990"/>
    <s v="Male"/>
    <x v="2"/>
    <x v="0"/>
    <x v="1"/>
    <s v="Resistance Band"/>
    <x v="3"/>
    <n v="3"/>
    <n v="864.95"/>
    <n v="0.05"/>
    <n v="2465.11"/>
    <n v="1236.3599999999999"/>
    <n v="1228.75"/>
    <s v="Debit Card"/>
    <x v="8"/>
    <n v="3"/>
    <x v="5"/>
  </r>
  <r>
    <s v="ORD101473"/>
    <d v="2025-06-18T00:00:00"/>
    <s v="Decathlon Pune"/>
    <x v="1"/>
    <x v="1"/>
    <s v="CUST1509"/>
    <s v="Female"/>
    <x v="1"/>
    <x v="2"/>
    <x v="2"/>
    <s v="Swimming Goggles"/>
    <x v="3"/>
    <n v="4"/>
    <n v="869.05"/>
    <n v="0.15"/>
    <n v="2954.77"/>
    <n v="1782.09"/>
    <n v="1172.68"/>
    <s v="Debit Card"/>
    <x v="2"/>
    <n v="4"/>
    <x v="11"/>
  </r>
  <r>
    <s v="ORD101474"/>
    <d v="2025-04-18T00:00:00"/>
    <s v="Decathlon Pune"/>
    <x v="1"/>
    <x v="1"/>
    <s v="CUST1167"/>
    <s v="Male"/>
    <x v="3"/>
    <x v="0"/>
    <x v="3"/>
    <s v="Helmet"/>
    <x v="6"/>
    <n v="2"/>
    <n v="2041.47"/>
    <n v="0.1"/>
    <n v="3674.65"/>
    <n v="2265.63"/>
    <n v="1409.02"/>
    <s v="UPI"/>
    <x v="9"/>
    <n v="5"/>
    <x v="5"/>
  </r>
  <r>
    <s v="ORD101475"/>
    <d v="2025-09-21T00:00:00"/>
    <s v="Decathlon Ahmedabad"/>
    <x v="2"/>
    <x v="1"/>
    <s v="CUST1585"/>
    <s v="Male"/>
    <x v="2"/>
    <x v="2"/>
    <x v="4"/>
    <s v="Football"/>
    <x v="5"/>
    <n v="2"/>
    <n v="1334.97"/>
    <n v="0"/>
    <n v="2669.94"/>
    <n v="1467.11"/>
    <n v="1202.83"/>
    <s v="UPI"/>
    <x v="0"/>
    <n v="3"/>
    <x v="7"/>
  </r>
  <r>
    <s v="ORD101476"/>
    <d v="2025-09-19T00:00:00"/>
    <s v="Decathlon Pune"/>
    <x v="1"/>
    <x v="1"/>
    <s v="CUST1806"/>
    <s v="Female"/>
    <x v="2"/>
    <x v="2"/>
    <x v="4"/>
    <s v="Shin Guards"/>
    <x v="2"/>
    <n v="1"/>
    <n v="1002.38"/>
    <n v="0.25"/>
    <n v="751.78"/>
    <n v="479.32"/>
    <n v="272.45999999999998"/>
    <s v="Debit Card"/>
    <x v="5"/>
    <n v="5"/>
    <x v="7"/>
  </r>
  <r>
    <s v="ORD101477"/>
    <d v="2025-07-22T00:00:00"/>
    <s v="Decathlon Jaipur"/>
    <x v="0"/>
    <x v="0"/>
    <s v="CUST1192"/>
    <s v="Female"/>
    <x v="2"/>
    <x v="0"/>
    <x v="1"/>
    <s v="Yoga Mat"/>
    <x v="3"/>
    <n v="1"/>
    <n v="1518.21"/>
    <n v="0.05"/>
    <n v="1442.3"/>
    <n v="720.38"/>
    <n v="721.92"/>
    <s v="UPI"/>
    <x v="5"/>
    <n v="3"/>
    <x v="8"/>
  </r>
  <r>
    <s v="ORD101478"/>
    <d v="2025-06-09T00:00:00"/>
    <s v="Decathlon Gurugram"/>
    <x v="8"/>
    <x v="0"/>
    <s v="CUST1440"/>
    <s v="Female"/>
    <x v="3"/>
    <x v="1"/>
    <x v="4"/>
    <s v="Football"/>
    <x v="6"/>
    <n v="5"/>
    <n v="1272.25"/>
    <n v="0.05"/>
    <n v="6043.19"/>
    <n v="3578.49"/>
    <n v="2464.6999999999998"/>
    <s v="Credit Card"/>
    <x v="9"/>
    <n v="5"/>
    <x v="11"/>
  </r>
  <r>
    <s v="ORD101479"/>
    <d v="2025-04-15T00:00:00"/>
    <s v="Decathlon Jaipur"/>
    <x v="0"/>
    <x v="0"/>
    <s v="CUST1046"/>
    <s v="Male"/>
    <x v="2"/>
    <x v="0"/>
    <x v="5"/>
    <s v="Water Bottle"/>
    <x v="6"/>
    <n v="1"/>
    <n v="726.07"/>
    <n v="0.3"/>
    <n v="508.25"/>
    <n v="259.54000000000002"/>
    <n v="248.71"/>
    <s v="UPI"/>
    <x v="7"/>
    <n v="5"/>
    <x v="5"/>
  </r>
  <r>
    <s v="ORD101480"/>
    <d v="2025-01-08T00:00:00"/>
    <s v="Decathlon Ahmedabad"/>
    <x v="2"/>
    <x v="1"/>
    <s v="CUST1936"/>
    <s v="Female"/>
    <x v="0"/>
    <x v="0"/>
    <x v="0"/>
    <s v="Running T-Shirt"/>
    <x v="4"/>
    <n v="1"/>
    <n v="1034.07"/>
    <n v="0.05"/>
    <n v="982.37"/>
    <n v="442.98"/>
    <n v="539.39"/>
    <s v="Debit Card"/>
    <x v="9"/>
    <n v="3"/>
    <x v="4"/>
  </r>
  <r>
    <s v="ORD101481"/>
    <d v="2025-08-01T00:00:00"/>
    <s v="Decathlon Jaipur"/>
    <x v="0"/>
    <x v="0"/>
    <s v="CUST1363"/>
    <s v="Male"/>
    <x v="3"/>
    <x v="0"/>
    <x v="4"/>
    <s v="Shin Guards"/>
    <x v="4"/>
    <n v="3"/>
    <n v="965.7"/>
    <n v="0.3"/>
    <n v="2027.97"/>
    <n v="1551.14"/>
    <n v="476.83"/>
    <s v="Debit Card"/>
    <x v="7"/>
    <n v="4"/>
    <x v="3"/>
  </r>
  <r>
    <s v="ORD101482"/>
    <d v="2025-04-21T00:00:00"/>
    <s v="Decathlon Pune"/>
    <x v="1"/>
    <x v="1"/>
    <s v="CUST1881"/>
    <s v="Male"/>
    <x v="3"/>
    <x v="0"/>
    <x v="2"/>
    <s v="Swimming Goggles"/>
    <x v="7"/>
    <n v="2"/>
    <n v="930.4"/>
    <n v="0.1"/>
    <n v="1674.72"/>
    <n v="938.96"/>
    <n v="735.76"/>
    <s v="Net Banking"/>
    <x v="3"/>
    <n v="5"/>
    <x v="5"/>
  </r>
  <r>
    <s v="ORD101483"/>
    <d v="2025-08-04T00:00:00"/>
    <s v="Decathlon Bengaluru"/>
    <x v="4"/>
    <x v="2"/>
    <s v="CUST1261"/>
    <s v="Female"/>
    <x v="0"/>
    <x v="1"/>
    <x v="3"/>
    <s v="Helmet"/>
    <x v="3"/>
    <n v="1"/>
    <n v="1961.03"/>
    <n v="0.1"/>
    <n v="1764.93"/>
    <n v="1051.4000000000001"/>
    <n v="713.53"/>
    <s v="Net Banking"/>
    <x v="5"/>
    <n v="3"/>
    <x v="3"/>
  </r>
  <r>
    <s v="ORD101484"/>
    <d v="2025-05-25T00:00:00"/>
    <s v="Decathlon Delhi"/>
    <x v="9"/>
    <x v="0"/>
    <s v="CUST1092"/>
    <s v="Male"/>
    <x v="3"/>
    <x v="1"/>
    <x v="1"/>
    <s v="Yoga Block"/>
    <x v="2"/>
    <n v="5"/>
    <n v="585.9"/>
    <n v="0.2"/>
    <n v="2343.6"/>
    <n v="1302.28"/>
    <n v="1041.32"/>
    <s v="Cash"/>
    <x v="9"/>
    <n v="3"/>
    <x v="10"/>
  </r>
  <r>
    <s v="ORD101485"/>
    <d v="2025-11-27T00:00:00"/>
    <s v="Decathlon Gurugram"/>
    <x v="8"/>
    <x v="0"/>
    <s v="CUST1077"/>
    <s v="Male"/>
    <x v="1"/>
    <x v="2"/>
    <x v="2"/>
    <s v="Swim Cap"/>
    <x v="7"/>
    <n v="5"/>
    <n v="491.4"/>
    <n v="0"/>
    <n v="2457"/>
    <n v="1067.6199999999999"/>
    <n v="1389.38"/>
    <s v="UPI"/>
    <x v="3"/>
    <n v="5"/>
    <x v="2"/>
  </r>
  <r>
    <s v="ORD101486"/>
    <d v="2025-08-28T00:00:00"/>
    <s v="Decathlon Delhi"/>
    <x v="9"/>
    <x v="0"/>
    <s v="CUST1448"/>
    <s v="Male"/>
    <x v="3"/>
    <x v="1"/>
    <x v="4"/>
    <s v="Football Boots"/>
    <x v="0"/>
    <n v="1"/>
    <n v="3336.14"/>
    <n v="0.1"/>
    <n v="3002.53"/>
    <n v="2085.77"/>
    <n v="916.76"/>
    <s v="UPI"/>
    <x v="8"/>
    <n v="4"/>
    <x v="3"/>
  </r>
  <r>
    <s v="ORD101487"/>
    <d v="2025-02-13T00:00:00"/>
    <s v="Decathlon Jaipur"/>
    <x v="0"/>
    <x v="0"/>
    <s v="CUST1219"/>
    <s v="Female"/>
    <x v="0"/>
    <x v="1"/>
    <x v="5"/>
    <s v="Backpack"/>
    <x v="0"/>
    <n v="4"/>
    <n v="2962.69"/>
    <n v="0"/>
    <n v="11850.76"/>
    <n v="7005.87"/>
    <n v="4844.8900000000003"/>
    <s v="Net Banking"/>
    <x v="5"/>
    <n v="5"/>
    <x v="6"/>
  </r>
  <r>
    <s v="ORD101488"/>
    <d v="2025-06-19T00:00:00"/>
    <s v="Decathlon Hyderabad"/>
    <x v="7"/>
    <x v="2"/>
    <s v="CUST1688"/>
    <s v="Female"/>
    <x v="0"/>
    <x v="2"/>
    <x v="1"/>
    <s v="Yoga Block"/>
    <x v="3"/>
    <n v="4"/>
    <n v="594.52"/>
    <n v="0.05"/>
    <n v="2259.1799999999998"/>
    <n v="1009.93"/>
    <n v="1249.25"/>
    <s v="Cash"/>
    <x v="6"/>
    <n v="3"/>
    <x v="11"/>
  </r>
  <r>
    <s v="ORD101489"/>
    <d v="2025-11-16T00:00:00"/>
    <s v="Decathlon Pune"/>
    <x v="1"/>
    <x v="1"/>
    <s v="CUST1322"/>
    <s v="Male"/>
    <x v="2"/>
    <x v="1"/>
    <x v="5"/>
    <s v="Trekking Shoes"/>
    <x v="2"/>
    <n v="5"/>
    <n v="4954.41"/>
    <n v="0.2"/>
    <n v="19817.64"/>
    <n v="15794.24"/>
    <n v="4023.4"/>
    <s v="Cash"/>
    <x v="9"/>
    <n v="4"/>
    <x v="2"/>
  </r>
  <r>
    <s v="ORD101490"/>
    <d v="2025-11-14T00:00:00"/>
    <s v="Decathlon Pune"/>
    <x v="1"/>
    <x v="1"/>
    <s v="CUST1092"/>
    <s v="Male"/>
    <x v="0"/>
    <x v="0"/>
    <x v="1"/>
    <s v="Yoga Mat"/>
    <x v="1"/>
    <n v="4"/>
    <n v="1429.77"/>
    <n v="0.15"/>
    <n v="4861.22"/>
    <n v="2867.06"/>
    <n v="1994.16"/>
    <s v="Cash"/>
    <x v="9"/>
    <n v="4"/>
    <x v="2"/>
  </r>
  <r>
    <s v="ORD101491"/>
    <d v="2025-11-12T00:00:00"/>
    <s v="Decathlon Jaipur"/>
    <x v="0"/>
    <x v="0"/>
    <s v="CUST1193"/>
    <s v="Male"/>
    <x v="1"/>
    <x v="2"/>
    <x v="1"/>
    <s v="Resistance Band"/>
    <x v="4"/>
    <n v="2"/>
    <n v="907.86"/>
    <n v="0.3"/>
    <n v="1271"/>
    <n v="770.8"/>
    <n v="500.2"/>
    <s v="Cash"/>
    <x v="5"/>
    <n v="4"/>
    <x v="2"/>
  </r>
  <r>
    <s v="ORD101492"/>
    <d v="2025-11-09T00:00:00"/>
    <s v="Decathlon Hyderabad"/>
    <x v="7"/>
    <x v="2"/>
    <s v="CUST1069"/>
    <s v="Male"/>
    <x v="3"/>
    <x v="0"/>
    <x v="1"/>
    <s v="Yoga Block"/>
    <x v="3"/>
    <n v="1"/>
    <n v="627.5"/>
    <n v="0"/>
    <n v="627.5"/>
    <n v="252.16"/>
    <n v="375.34"/>
    <s v="Debit Card"/>
    <x v="9"/>
    <n v="3"/>
    <x v="2"/>
  </r>
  <r>
    <s v="ORD101493"/>
    <d v="2025-01-22T00:00:00"/>
    <s v="Decathlon Chennai"/>
    <x v="3"/>
    <x v="2"/>
    <s v="CUST1571"/>
    <s v="Male"/>
    <x v="3"/>
    <x v="2"/>
    <x v="1"/>
    <s v="Yoga Block"/>
    <x v="0"/>
    <n v="3"/>
    <n v="619.66999999999996"/>
    <n v="0.05"/>
    <n v="1766.06"/>
    <n v="772.59"/>
    <n v="993.47"/>
    <s v="Credit Card"/>
    <x v="1"/>
    <n v="3"/>
    <x v="4"/>
  </r>
  <r>
    <s v="ORD101494"/>
    <d v="2025-03-28T00:00:00"/>
    <s v="Decathlon Gurugram"/>
    <x v="8"/>
    <x v="0"/>
    <s v="CUST1729"/>
    <s v="Male"/>
    <x v="0"/>
    <x v="0"/>
    <x v="1"/>
    <s v="Resistance Band"/>
    <x v="4"/>
    <n v="3"/>
    <n v="915.13"/>
    <n v="0.05"/>
    <n v="2608.12"/>
    <n v="1208.8399999999999"/>
    <n v="1399.28"/>
    <s v="Cash"/>
    <x v="1"/>
    <n v="3"/>
    <x v="1"/>
  </r>
  <r>
    <s v="ORD101495"/>
    <d v="2025-08-19T00:00:00"/>
    <s v="Decathlon Mumbai"/>
    <x v="6"/>
    <x v="1"/>
    <s v="CUST1066"/>
    <s v="Female"/>
    <x v="3"/>
    <x v="0"/>
    <x v="4"/>
    <s v="Football Boots"/>
    <x v="2"/>
    <n v="4"/>
    <n v="3622.45"/>
    <n v="0.3"/>
    <n v="10142.86"/>
    <n v="8444.8700000000008"/>
    <n v="1697.99"/>
    <s v="Debit Card"/>
    <x v="5"/>
    <n v="3"/>
    <x v="3"/>
  </r>
  <r>
    <s v="ORD101496"/>
    <d v="2025-11-15T00:00:00"/>
    <s v="Decathlon Chennai"/>
    <x v="3"/>
    <x v="2"/>
    <s v="CUST1650"/>
    <s v="Female"/>
    <x v="1"/>
    <x v="0"/>
    <x v="0"/>
    <s v="Fitness Band"/>
    <x v="4"/>
    <n v="4"/>
    <n v="2524.98"/>
    <n v="0.15"/>
    <n v="8584.93"/>
    <n v="6296.99"/>
    <n v="2287.94"/>
    <s v="Cash"/>
    <x v="7"/>
    <n v="3"/>
    <x v="2"/>
  </r>
  <r>
    <s v="ORD101497"/>
    <d v="2025-01-30T00:00:00"/>
    <s v="Decathlon Jaipur"/>
    <x v="0"/>
    <x v="0"/>
    <s v="CUST1654"/>
    <s v="Male"/>
    <x v="1"/>
    <x v="0"/>
    <x v="4"/>
    <s v="Shin Guards"/>
    <x v="1"/>
    <n v="2"/>
    <n v="978.41"/>
    <n v="0.15"/>
    <n v="1663.3"/>
    <n v="974.49"/>
    <n v="688.81"/>
    <s v="Net Banking"/>
    <x v="2"/>
    <n v="5"/>
    <x v="4"/>
  </r>
  <r>
    <s v="ORD101498"/>
    <d v="2025-04-07T00:00:00"/>
    <s v="Decathlon Jaipur"/>
    <x v="0"/>
    <x v="0"/>
    <s v="CUST1326"/>
    <s v="Male"/>
    <x v="0"/>
    <x v="2"/>
    <x v="5"/>
    <s v="Water Bottle"/>
    <x v="4"/>
    <n v="2"/>
    <n v="676.94"/>
    <n v="0.15"/>
    <n v="1150.8"/>
    <n v="507.51"/>
    <n v="643.29"/>
    <s v="UPI"/>
    <x v="9"/>
    <n v="4"/>
    <x v="5"/>
  </r>
  <r>
    <s v="ORD101499"/>
    <d v="2025-11-19T00:00:00"/>
    <s v="Decathlon Pune"/>
    <x v="1"/>
    <x v="1"/>
    <s v="CUST1242"/>
    <s v="Female"/>
    <x v="3"/>
    <x v="0"/>
    <x v="3"/>
    <s v="Helmet"/>
    <x v="6"/>
    <n v="1"/>
    <n v="1990.26"/>
    <n v="0"/>
    <n v="1990.26"/>
    <n v="1065.54"/>
    <n v="924.72"/>
    <s v="UPI"/>
    <x v="7"/>
    <n v="4"/>
    <x v="2"/>
  </r>
  <r>
    <s v="ORD101500"/>
    <d v="2025-04-26T00:00:00"/>
    <s v="Decathlon Bengaluru"/>
    <x v="4"/>
    <x v="2"/>
    <s v="CUST1598"/>
    <s v="Female"/>
    <x v="1"/>
    <x v="0"/>
    <x v="0"/>
    <s v="Running T-Shirt"/>
    <x v="7"/>
    <n v="3"/>
    <n v="1001.12"/>
    <n v="0.15"/>
    <n v="2552.86"/>
    <n v="1319.08"/>
    <n v="1233.78"/>
    <s v="Debit Card"/>
    <x v="3"/>
    <n v="5"/>
    <x v="5"/>
  </r>
  <r>
    <s v="ORD101501"/>
    <d v="2025-09-08T00:00:00"/>
    <s v="Decathlon Noida"/>
    <x v="5"/>
    <x v="0"/>
    <s v="CUST1561"/>
    <s v="Female"/>
    <x v="0"/>
    <x v="2"/>
    <x v="1"/>
    <s v="Yoga Mat"/>
    <x v="6"/>
    <n v="2"/>
    <n v="1565.88"/>
    <n v="0.15"/>
    <n v="2662"/>
    <n v="1390.04"/>
    <n v="1271.96"/>
    <s v="Net Banking"/>
    <x v="7"/>
    <n v="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E7A25-DB83-463F-B83A-58FEC2329609}" name="p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rand">
  <location ref="R4:S13" firstHeaderRow="1" firstDataRow="1" firstDataCol="1"/>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axis="axisRow" showAll="0" sortType="descending">
      <items count="9">
        <item x="7"/>
        <item x="4"/>
        <item x="1"/>
        <item x="5"/>
        <item x="0"/>
        <item x="6"/>
        <item x="3"/>
        <item x="2"/>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dataField="1" numFmtId="165" showAll="0"/>
    <pivotField numFmtId="165" showAll="0"/>
    <pivotField numFmtId="165" showAll="0"/>
    <pivotField showAll="0"/>
    <pivotField showAll="0"/>
    <pivotField showAll="0"/>
    <pivotField showAll="0"/>
  </pivotFields>
  <rowFields count="1">
    <field x="11"/>
  </rowFields>
  <rowItems count="9">
    <i>
      <x v="5"/>
    </i>
    <i>
      <x v="6"/>
    </i>
    <i>
      <x v="3"/>
    </i>
    <i>
      <x/>
    </i>
    <i>
      <x v="4"/>
    </i>
    <i>
      <x v="1"/>
    </i>
    <i>
      <x v="2"/>
    </i>
    <i>
      <x v="7"/>
    </i>
    <i t="grand">
      <x/>
    </i>
  </rowItems>
  <colItems count="1">
    <i/>
  </colItems>
  <dataFields count="1">
    <dataField name="Total Sales" fld="15" baseField="0" baseItem="0" numFmtId="165"/>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411A4-9448-4897-96DE-AD65A32BC0AC}" name="p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B4:C17" firstHeaderRow="1" firstDataRow="1" firstDataCol="1"/>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pivotField axis="axisRow" showAll="0">
      <items count="13">
        <item x="4"/>
        <item x="6"/>
        <item x="1"/>
        <item x="5"/>
        <item x="10"/>
        <item x="11"/>
        <item x="8"/>
        <item x="3"/>
        <item x="7"/>
        <item x="9"/>
        <item x="2"/>
        <item x="0"/>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Total Sales" fld="15" baseField="0"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83EA5-AAFF-4703-B340-C6A369AB92BE}" name="pS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port_Category">
  <location ref="F4:G11" firstHeaderRow="1" firstDataRow="1" firstDataCol="1"/>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axis="axisRow" showAll="0" sortType="descending">
      <items count="7">
        <item x="3"/>
        <item x="4"/>
        <item x="5"/>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pivotField showAll="0"/>
  </pivotFields>
  <rowFields count="1">
    <field x="9"/>
  </rowFields>
  <rowItems count="7">
    <i>
      <x/>
    </i>
    <i>
      <x v="2"/>
    </i>
    <i>
      <x v="3"/>
    </i>
    <i>
      <x v="1"/>
    </i>
    <i>
      <x v="5"/>
    </i>
    <i>
      <x v="4"/>
    </i>
    <i t="grand">
      <x/>
    </i>
  </rowItems>
  <colItems count="1">
    <i/>
  </colItems>
  <dataFields count="1">
    <dataField name="Total Sales" fld="15" baseField="0" baseItem="0" numFmtId="165"/>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21A1E4-35DE-4F57-A613-CF88C7872F31}" name="kS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B34" firstHeaderRow="1" firstDataRow="1" firstDataCol="0"/>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pivotField showAll="0"/>
  </pivotFields>
  <rowItems count="1">
    <i/>
  </rowItems>
  <colItems count="1">
    <i/>
  </colItems>
  <dataFields count="1">
    <dataField name="Total Sales"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0F5432-8A52-4E52-9E2C-22AC95C4AC2C}" name="kO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H34" firstHeaderRow="1" firstDataRow="1" firstDataCol="0"/>
  <pivotFields count="22">
    <pivotField dataField="1"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numFmtId="165" showAll="0"/>
    <pivotField numFmtId="165" showAll="0"/>
    <pivotField numFmtId="165" showAll="0"/>
    <pivotField showAll="0"/>
    <pivotField showAll="0"/>
    <pivotField showAll="0"/>
    <pivotField showAll="0"/>
  </pivotFields>
  <rowItems count="1">
    <i/>
  </rowItems>
  <colItems count="1">
    <i/>
  </colItems>
  <dataFields count="1">
    <dataField name="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96FF3F-FB4B-4413-82B3-FDD1232BEE85}" name="kR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K34" firstHeaderRow="1" firstDataRow="1" firstDataCol="0"/>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numFmtId="165" showAll="0"/>
    <pivotField numFmtId="165" showAll="0"/>
    <pivotField numFmtId="165" showAll="0"/>
    <pivotField showAll="0"/>
    <pivotField showAll="0"/>
    <pivotField dataField="1" showAll="0"/>
    <pivotField showAll="0"/>
  </pivotFields>
  <rowItems count="1">
    <i/>
  </rowItems>
  <colItems count="1">
    <i/>
  </colItems>
  <dataFields count="1">
    <dataField name="Rating"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9C005-4EC7-41F5-8BFA-6A0797D60224}" name="p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N4:O15" firstHeaderRow="1" firstDataRow="1" firstDataCol="1"/>
  <pivotFields count="22">
    <pivotField showAll="0"/>
    <pivotField numFmtId="164" showAll="0"/>
    <pivotField showAll="0"/>
    <pivotField axis="axisRow" showAll="0" sortType="descending">
      <items count="11">
        <item x="2"/>
        <item x="4"/>
        <item x="3"/>
        <item x="8"/>
        <item x="7"/>
        <item x="0"/>
        <item x="6"/>
        <item x="9"/>
        <item x="5"/>
        <item x="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pivotField showAll="0"/>
  </pivotFields>
  <rowFields count="1">
    <field x="3"/>
  </rowFields>
  <rowItems count="11">
    <i>
      <x v="6"/>
    </i>
    <i>
      <x v="8"/>
    </i>
    <i>
      <x v="5"/>
    </i>
    <i>
      <x v="4"/>
    </i>
    <i>
      <x v="7"/>
    </i>
    <i>
      <x/>
    </i>
    <i>
      <x v="3"/>
    </i>
    <i>
      <x v="2"/>
    </i>
    <i>
      <x v="9"/>
    </i>
    <i>
      <x v="1"/>
    </i>
    <i t="grand">
      <x/>
    </i>
  </rowItems>
  <colItems count="1">
    <i/>
  </colItems>
  <dataFields count="1">
    <dataField name="Total Sales" fld="15" baseField="0" baseItem="0" numFmtId="165"/>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21C54B-B40E-4207-B152-D096DDBD0180}" name="kPr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E34" firstHeaderRow="1" firstDataRow="1" firstDataCol="0"/>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numFmtId="165" showAll="0"/>
    <pivotField numFmtId="165" showAll="0"/>
    <pivotField dataField="1" numFmtId="165" showAll="0"/>
    <pivotField showAll="0"/>
    <pivotField showAll="0"/>
    <pivotField showAll="0"/>
    <pivotField showAll="0"/>
  </pivotFields>
  <rowItems count="1">
    <i/>
  </rowItems>
  <colItems count="1">
    <i/>
  </colItems>
  <dataFields count="1">
    <dataField name="Total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B0C8E0-E0E1-449F-93FA-6BEDA84BBC1C}" name="pS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person ">
  <location ref="V4:W15" firstHeaderRow="1" firstDataRow="1" firstDataCol="1"/>
  <pivotFields count="22">
    <pivotField showAll="0"/>
    <pivotField numFmtId="164" showAll="0"/>
    <pivotField showAll="0"/>
    <pivotField showAll="0"/>
    <pivotField showAll="0">
      <items count="4">
        <item x="0"/>
        <item x="2"/>
        <item x="1"/>
        <item t="default"/>
      </items>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axis="axisRow" showAll="0" sortType="descending">
      <items count="11">
        <item x="5"/>
        <item x="4"/>
        <item x="1"/>
        <item x="7"/>
        <item x="3"/>
        <item x="8"/>
        <item x="2"/>
        <item x="6"/>
        <item x="0"/>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9"/>
  </rowFields>
  <rowItems count="11">
    <i>
      <x v="5"/>
    </i>
    <i>
      <x v="4"/>
    </i>
    <i>
      <x v="7"/>
    </i>
    <i>
      <x v="3"/>
    </i>
    <i>
      <x v="8"/>
    </i>
    <i>
      <x v="6"/>
    </i>
    <i>
      <x v="2"/>
    </i>
    <i>
      <x v="9"/>
    </i>
    <i>
      <x v="1"/>
    </i>
    <i>
      <x/>
    </i>
    <i t="grand">
      <x/>
    </i>
  </rowItems>
  <colItems count="1">
    <i/>
  </colItems>
  <dataFields count="1">
    <dataField name="Total Sales" fld="15" baseField="0" baseItem="0" numFmtId="165"/>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80F1A-533F-4889-B690-61B8C1FB5DE2}" name="pRe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J4:K8" firstHeaderRow="1" firstDataRow="1" firstDataCol="1"/>
  <pivotFields count="22">
    <pivotField showAll="0"/>
    <pivotField numFmtId="164"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0"/>
        <item x="3"/>
        <item t="default"/>
      </items>
    </pivotField>
    <pivotField showAll="0">
      <items count="4">
        <item x="1"/>
        <item x="2"/>
        <item x="0"/>
        <item t="default"/>
      </items>
    </pivotField>
    <pivotField showAll="0">
      <items count="7">
        <item x="3"/>
        <item x="4"/>
        <item x="5"/>
        <item x="0"/>
        <item x="2"/>
        <item x="1"/>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pivotField showAll="0"/>
  </pivotFields>
  <rowFields count="1">
    <field x="4"/>
  </rowFields>
  <rowItems count="4">
    <i>
      <x/>
    </i>
    <i>
      <x v="2"/>
    </i>
    <i>
      <x v="1"/>
    </i>
    <i t="grand">
      <x/>
    </i>
  </rowItems>
  <colItems count="1">
    <i/>
  </colItems>
  <dataFields count="1">
    <dataField name="Total Sales" fld="15" baseField="0" baseItem="0" numFmtId="165"/>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17C9F3-E6FF-424B-B0D1-F3D3C826C1B3}" sourceName="Region">
  <pivotTables>
    <pivotTable tabId="7" name="pSport"/>
    <pivotTable tabId="7" name="pMonth"/>
    <pivotTable tabId="7" name="pReg"/>
    <pivotTable tabId="7" name="pCity"/>
    <pivotTable tabId="7" name="pBrand"/>
    <pivotTable tabId="7" name="pSP"/>
    <pivotTable tabId="7" name="kSal"/>
    <pivotTable tabId="7" name="kPro"/>
    <pivotTable tabId="7" name="kOrd"/>
    <pivotTable tabId="7" name="kRat"/>
  </pivotTables>
  <data>
    <tabular pivotCacheId="50442182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_Category" xr10:uid="{C09A4E50-8497-426D-B50B-2D8F331F855B}" sourceName="Sport_Category">
  <pivotTables>
    <pivotTable tabId="7" name="pSport"/>
    <pivotTable tabId="7" name="pMonth"/>
    <pivotTable tabId="7" name="pReg"/>
    <pivotTable tabId="7" name="pCity"/>
    <pivotTable tabId="7" name="pBrand"/>
    <pivotTable tabId="7" name="pSP"/>
    <pivotTable tabId="7" name="kSal"/>
    <pivotTable tabId="7" name="kPro"/>
    <pivotTable tabId="7" name="kOrd"/>
    <pivotTable tabId="7" name="kRat"/>
  </pivotTables>
  <data>
    <tabular pivotCacheId="504421828">
      <items count="6">
        <i x="3" s="1"/>
        <i x="4" s="1"/>
        <i x="5"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54E0C130-6F42-49FA-B965-00531224DDB7}" sourceName="Membership_Type">
  <pivotTables>
    <pivotTable tabId="7" name="pSport"/>
    <pivotTable tabId="7" name="pMonth"/>
    <pivotTable tabId="7" name="pReg"/>
    <pivotTable tabId="7" name="pCity"/>
    <pivotTable tabId="7" name="pBrand"/>
    <pivotTable tabId="7" name="pSP"/>
    <pivotTable tabId="7" name="kSal"/>
    <pivotTable tabId="7" name="kPro"/>
    <pivotTable tabId="7" name="kOrd"/>
    <pivotTable tabId="7" name="kRat"/>
  </pivotTables>
  <data>
    <tabular pivotCacheId="50442182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2C3EE08-2696-4BED-803C-68DD02249BEC}" sourceName="Age_Group">
  <pivotTables>
    <pivotTable tabId="7" name="pSport"/>
    <pivotTable tabId="7" name="pMonth"/>
    <pivotTable tabId="7" name="pReg"/>
    <pivotTable tabId="7" name="pCity"/>
    <pivotTable tabId="7" name="pBrand"/>
    <pivotTable tabId="7" name="pSP"/>
    <pivotTable tabId="7" name="kSal"/>
    <pivotTable tabId="7" name="kPro"/>
    <pivotTable tabId="7" name="kOrd"/>
    <pivotTable tabId="7" name="kRat"/>
  </pivotTables>
  <data>
    <tabular pivotCacheId="50442182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BE17B4-E642-4479-8056-3C02FEC63452}" cache="Slicer_Region" caption="Region" columnCount="2" rowHeight="241300"/>
  <slicer name="Sport_Category" xr10:uid="{11B1FC6D-A5B1-42E7-88DA-4B47B913EBF7}" cache="Slicer_Sport_Category" caption="Sport Category" columnCount="2" rowHeight="241300"/>
  <slicer name="Membership_Type" xr10:uid="{D162B5C3-3049-4B79-AFF2-91DB0B8E8188}" cache="Slicer_Membership_Type" caption="Membership" columnCount="2" rowHeight="241300"/>
  <slicer name="Age_Group" xr10:uid="{D281DC1D-1FDD-4B55-A71A-FF40DA2A9735}" cache="Slicer_Age_Group" caption="Age Group"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D52BC3-B2ED-4E33-A669-884D7AFAAD2E}" name="Table1" displayName="Table1" ref="A15:B25" totalsRowShown="0" headerRowDxfId="8" dataDxfId="7" tableBorderDxfId="11">
  <autoFilter ref="A15:B25" xr:uid="{3ED52BC3-B2ED-4E33-A669-884D7AFAAD2E}"/>
  <tableColumns count="2">
    <tableColumn id="1" xr3:uid="{EB49D220-80AA-42FB-B7AF-90C2EBE26BD0}" name="No." dataDxfId="10"/>
    <tableColumn id="2" xr3:uid="{0913BDFD-542D-4387-A07A-8BE716043FD6}" name="Insight" dataDxfId="9"/>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38A0FA-CF18-4D71-B920-2376744CEB58}" name="Table2" displayName="Table2" ref="A1:D11" totalsRowShown="0" headerRowDxfId="0" dataDxfId="1" tableBorderDxfId="6">
  <autoFilter ref="A1:D11" xr:uid="{6338A0FA-CF18-4D71-B920-2376744CEB58}"/>
  <tableColumns count="4">
    <tableColumn id="1" xr3:uid="{F9432E7E-1A00-4311-9181-5C0B4573BAF6}" name="Section" dataDxfId="5"/>
    <tableColumn id="2" xr3:uid="{298C8E47-517E-4D66-98C0-97E0C923E232}" name="Observation" dataDxfId="4"/>
    <tableColumn id="3" xr3:uid="{AE11E6B2-2D96-4BBF-9BE0-FEBDFD3A5DFF}" name="Business Impact" dataDxfId="3"/>
    <tableColumn id="4" xr3:uid="{EE75A48C-A4DB-4C17-AEDD-891FE5F22C75}" name="Recommendation"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workbookViewId="0">
      <pane ySplit="1" topLeftCell="A2" activePane="bottomLeft" state="frozen"/>
      <selection pane="bottomLeft" sqref="A1:V1048576"/>
    </sheetView>
  </sheetViews>
  <sheetFormatPr defaultRowHeight="14.4" x14ac:dyDescent="0.3"/>
  <cols>
    <col min="1" max="1" width="10.44140625" bestFit="1" customWidth="1"/>
    <col min="2" max="2" width="15.5546875" bestFit="1" customWidth="1"/>
    <col min="3" max="3" width="19.109375" bestFit="1" customWidth="1"/>
    <col min="4" max="4" width="10.44140625" bestFit="1" customWidth="1"/>
    <col min="5" max="5" width="8.5546875" bestFit="1" customWidth="1"/>
    <col min="6" max="6" width="13.44140625" bestFit="1" customWidth="1"/>
    <col min="7" max="7" width="9.109375" bestFit="1" customWidth="1"/>
    <col min="8" max="8" width="12" bestFit="1" customWidth="1"/>
    <col min="9" max="9" width="18" bestFit="1" customWidth="1"/>
    <col min="10" max="10" width="15.5546875" bestFit="1" customWidth="1"/>
    <col min="11" max="11" width="15.88671875" bestFit="1" customWidth="1"/>
    <col min="12" max="12" width="7.88671875" bestFit="1" customWidth="1"/>
    <col min="13" max="13" width="10.109375" bestFit="1" customWidth="1"/>
    <col min="14" max="14" width="11.33203125" bestFit="1" customWidth="1"/>
    <col min="15" max="15" width="12.109375" bestFit="1" customWidth="1"/>
    <col min="16" max="16" width="7.88671875" bestFit="1" customWidth="1"/>
    <col min="17" max="17" width="6.6640625" bestFit="1" customWidth="1"/>
    <col min="18" max="18" width="7.6640625" bestFit="1" customWidth="1"/>
    <col min="19" max="19" width="17.5546875" bestFit="1" customWidth="1"/>
    <col min="20" max="20" width="12.5546875" bestFit="1" customWidth="1"/>
    <col min="21" max="21" width="14.88671875" bestFit="1" customWidth="1"/>
    <col min="22" max="22" width="8.5546875" bestFit="1" customWidth="1"/>
  </cols>
  <sheetData>
    <row r="1" spans="1:22" ht="27.9" customHeigh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spans="1:22" x14ac:dyDescent="0.3">
      <c r="A2" s="8" t="s">
        <v>22</v>
      </c>
      <c r="B2" s="9">
        <v>46018</v>
      </c>
      <c r="C2" s="8" t="s">
        <v>23</v>
      </c>
      <c r="D2" s="8" t="s">
        <v>24</v>
      </c>
      <c r="E2" s="8" t="s">
        <v>25</v>
      </c>
      <c r="F2" s="8" t="s">
        <v>26</v>
      </c>
      <c r="G2" s="8" t="s">
        <v>27</v>
      </c>
      <c r="H2" s="8" t="s">
        <v>28</v>
      </c>
      <c r="I2" s="8" t="s">
        <v>29</v>
      </c>
      <c r="J2" s="8" t="s">
        <v>30</v>
      </c>
      <c r="K2" s="8" t="s">
        <v>31</v>
      </c>
      <c r="L2" s="8" t="s">
        <v>32</v>
      </c>
      <c r="M2" s="8">
        <v>4</v>
      </c>
      <c r="N2" s="10">
        <v>3931.91</v>
      </c>
      <c r="O2" s="11">
        <v>0.1</v>
      </c>
      <c r="P2" s="10">
        <v>14154.88</v>
      </c>
      <c r="Q2" s="10">
        <v>8419.09</v>
      </c>
      <c r="R2" s="10">
        <v>5735.79</v>
      </c>
      <c r="S2" s="8" t="s">
        <v>33</v>
      </c>
      <c r="T2" s="8" t="s">
        <v>34</v>
      </c>
      <c r="U2" s="8">
        <v>3</v>
      </c>
      <c r="V2" s="8" t="s">
        <v>35</v>
      </c>
    </row>
    <row r="3" spans="1:22" x14ac:dyDescent="0.3">
      <c r="A3" s="12" t="s">
        <v>36</v>
      </c>
      <c r="B3" s="13">
        <v>46014</v>
      </c>
      <c r="C3" s="12" t="s">
        <v>37</v>
      </c>
      <c r="D3" s="12" t="s">
        <v>38</v>
      </c>
      <c r="E3" s="12" t="s">
        <v>39</v>
      </c>
      <c r="F3" s="12" t="s">
        <v>40</v>
      </c>
      <c r="G3" s="12" t="s">
        <v>41</v>
      </c>
      <c r="H3" s="12" t="s">
        <v>42</v>
      </c>
      <c r="I3" s="12" t="s">
        <v>29</v>
      </c>
      <c r="J3" s="12" t="s">
        <v>43</v>
      </c>
      <c r="K3" s="12" t="s">
        <v>44</v>
      </c>
      <c r="L3" s="12" t="s">
        <v>45</v>
      </c>
      <c r="M3" s="12">
        <v>5</v>
      </c>
      <c r="N3" s="14">
        <v>594.01</v>
      </c>
      <c r="O3" s="15">
        <v>0.25</v>
      </c>
      <c r="P3" s="14">
        <v>2227.54</v>
      </c>
      <c r="Q3" s="14">
        <v>1257.93</v>
      </c>
      <c r="R3" s="14">
        <v>969.61</v>
      </c>
      <c r="S3" s="12" t="s">
        <v>46</v>
      </c>
      <c r="T3" s="12" t="s">
        <v>34</v>
      </c>
      <c r="U3" s="12">
        <v>3</v>
      </c>
      <c r="V3" s="12" t="s">
        <v>35</v>
      </c>
    </row>
    <row r="4" spans="1:22" x14ac:dyDescent="0.3">
      <c r="A4" s="8" t="s">
        <v>47</v>
      </c>
      <c r="B4" s="9">
        <v>45742</v>
      </c>
      <c r="C4" s="8" t="s">
        <v>48</v>
      </c>
      <c r="D4" s="8" t="s">
        <v>49</v>
      </c>
      <c r="E4" s="8" t="s">
        <v>39</v>
      </c>
      <c r="F4" s="8" t="s">
        <v>50</v>
      </c>
      <c r="G4" s="8" t="s">
        <v>27</v>
      </c>
      <c r="H4" s="8" t="s">
        <v>42</v>
      </c>
      <c r="I4" s="8" t="s">
        <v>29</v>
      </c>
      <c r="J4" s="8" t="s">
        <v>43</v>
      </c>
      <c r="K4" s="8" t="s">
        <v>51</v>
      </c>
      <c r="L4" s="8" t="s">
        <v>52</v>
      </c>
      <c r="M4" s="8">
        <v>2</v>
      </c>
      <c r="N4" s="10">
        <v>1501.24</v>
      </c>
      <c r="O4" s="11">
        <v>0.25</v>
      </c>
      <c r="P4" s="10">
        <v>2251.86</v>
      </c>
      <c r="Q4" s="10">
        <v>1330.71</v>
      </c>
      <c r="R4" s="10">
        <v>921.15</v>
      </c>
      <c r="S4" s="8" t="s">
        <v>53</v>
      </c>
      <c r="T4" s="8" t="s">
        <v>54</v>
      </c>
      <c r="U4" s="8">
        <v>5</v>
      </c>
      <c r="V4" s="8" t="s">
        <v>55</v>
      </c>
    </row>
    <row r="5" spans="1:22" x14ac:dyDescent="0.3">
      <c r="A5" s="12" t="s">
        <v>56</v>
      </c>
      <c r="B5" s="13">
        <v>45965</v>
      </c>
      <c r="C5" s="12" t="s">
        <v>57</v>
      </c>
      <c r="D5" s="12" t="s">
        <v>58</v>
      </c>
      <c r="E5" s="12" t="s">
        <v>59</v>
      </c>
      <c r="F5" s="12" t="s">
        <v>60</v>
      </c>
      <c r="G5" s="12" t="s">
        <v>27</v>
      </c>
      <c r="H5" s="12" t="s">
        <v>28</v>
      </c>
      <c r="I5" s="12" t="s">
        <v>61</v>
      </c>
      <c r="J5" s="12" t="s">
        <v>30</v>
      </c>
      <c r="K5" s="12" t="s">
        <v>62</v>
      </c>
      <c r="L5" s="12" t="s">
        <v>45</v>
      </c>
      <c r="M5" s="12">
        <v>3</v>
      </c>
      <c r="N5" s="14">
        <v>959.21</v>
      </c>
      <c r="O5" s="15">
        <v>0.15</v>
      </c>
      <c r="P5" s="14">
        <v>2445.9899999999998</v>
      </c>
      <c r="Q5" s="14">
        <v>1367.28</v>
      </c>
      <c r="R5" s="14">
        <v>1078.71</v>
      </c>
      <c r="S5" s="12" t="s">
        <v>63</v>
      </c>
      <c r="T5" s="12" t="s">
        <v>64</v>
      </c>
      <c r="U5" s="12">
        <v>3</v>
      </c>
      <c r="V5" s="12" t="s">
        <v>65</v>
      </c>
    </row>
    <row r="6" spans="1:22" x14ac:dyDescent="0.3">
      <c r="A6" s="8" t="s">
        <v>66</v>
      </c>
      <c r="B6" s="9">
        <v>45885</v>
      </c>
      <c r="C6" s="8" t="s">
        <v>48</v>
      </c>
      <c r="D6" s="8" t="s">
        <v>49</v>
      </c>
      <c r="E6" s="8" t="s">
        <v>39</v>
      </c>
      <c r="F6" s="8" t="s">
        <v>67</v>
      </c>
      <c r="G6" s="8" t="s">
        <v>27</v>
      </c>
      <c r="H6" s="8" t="s">
        <v>42</v>
      </c>
      <c r="I6" s="8" t="s">
        <v>68</v>
      </c>
      <c r="J6" s="8" t="s">
        <v>69</v>
      </c>
      <c r="K6" s="8" t="s">
        <v>70</v>
      </c>
      <c r="L6" s="8" t="s">
        <v>52</v>
      </c>
      <c r="M6" s="8">
        <v>2</v>
      </c>
      <c r="N6" s="10">
        <v>855.5</v>
      </c>
      <c r="O6" s="11">
        <v>0.2</v>
      </c>
      <c r="P6" s="10">
        <v>1368.8</v>
      </c>
      <c r="Q6" s="10">
        <v>934.79</v>
      </c>
      <c r="R6" s="10">
        <v>434.01</v>
      </c>
      <c r="S6" s="8" t="s">
        <v>33</v>
      </c>
      <c r="T6" s="8" t="s">
        <v>71</v>
      </c>
      <c r="U6" s="8">
        <v>3</v>
      </c>
      <c r="V6" s="8" t="s">
        <v>72</v>
      </c>
    </row>
    <row r="7" spans="1:22" x14ac:dyDescent="0.3">
      <c r="A7" s="12" t="s">
        <v>73</v>
      </c>
      <c r="B7" s="13">
        <v>45977</v>
      </c>
      <c r="C7" s="12" t="s">
        <v>57</v>
      </c>
      <c r="D7" s="12" t="s">
        <v>58</v>
      </c>
      <c r="E7" s="12" t="s">
        <v>59</v>
      </c>
      <c r="F7" s="12" t="s">
        <v>74</v>
      </c>
      <c r="G7" s="12" t="s">
        <v>41</v>
      </c>
      <c r="H7" s="12" t="s">
        <v>42</v>
      </c>
      <c r="I7" s="12" t="s">
        <v>61</v>
      </c>
      <c r="J7" s="12" t="s">
        <v>75</v>
      </c>
      <c r="K7" s="12" t="s">
        <v>76</v>
      </c>
      <c r="L7" s="12" t="s">
        <v>77</v>
      </c>
      <c r="M7" s="12">
        <v>4</v>
      </c>
      <c r="N7" s="14">
        <v>802.59</v>
      </c>
      <c r="O7" s="15">
        <v>0.2</v>
      </c>
      <c r="P7" s="14">
        <v>2568.29</v>
      </c>
      <c r="Q7" s="14">
        <v>1451.22</v>
      </c>
      <c r="R7" s="14">
        <v>1117.07</v>
      </c>
      <c r="S7" s="12" t="s">
        <v>46</v>
      </c>
      <c r="T7" s="12" t="s">
        <v>78</v>
      </c>
      <c r="U7" s="12">
        <v>4</v>
      </c>
      <c r="V7" s="12" t="s">
        <v>65</v>
      </c>
    </row>
    <row r="8" spans="1:22" x14ac:dyDescent="0.3">
      <c r="A8" s="8" t="s">
        <v>79</v>
      </c>
      <c r="B8" s="9">
        <v>45685</v>
      </c>
      <c r="C8" s="8" t="s">
        <v>48</v>
      </c>
      <c r="D8" s="8" t="s">
        <v>49</v>
      </c>
      <c r="E8" s="8" t="s">
        <v>39</v>
      </c>
      <c r="F8" s="8" t="s">
        <v>80</v>
      </c>
      <c r="G8" s="8" t="s">
        <v>27</v>
      </c>
      <c r="H8" s="8" t="s">
        <v>81</v>
      </c>
      <c r="I8" s="8" t="s">
        <v>29</v>
      </c>
      <c r="J8" s="8" t="s">
        <v>75</v>
      </c>
      <c r="K8" s="8" t="s">
        <v>76</v>
      </c>
      <c r="L8" s="8" t="s">
        <v>82</v>
      </c>
      <c r="M8" s="8">
        <v>3</v>
      </c>
      <c r="N8" s="10">
        <v>810.01</v>
      </c>
      <c r="O8" s="11">
        <v>0.1</v>
      </c>
      <c r="P8" s="10">
        <v>2187.0300000000002</v>
      </c>
      <c r="Q8" s="10">
        <v>1077.05</v>
      </c>
      <c r="R8" s="10">
        <v>1109.98</v>
      </c>
      <c r="S8" s="8" t="s">
        <v>83</v>
      </c>
      <c r="T8" s="8" t="s">
        <v>54</v>
      </c>
      <c r="U8" s="8">
        <v>5</v>
      </c>
      <c r="V8" s="8" t="s">
        <v>84</v>
      </c>
    </row>
    <row r="9" spans="1:22" x14ac:dyDescent="0.3">
      <c r="A9" s="12" t="s">
        <v>85</v>
      </c>
      <c r="B9" s="13">
        <v>45882</v>
      </c>
      <c r="C9" s="12" t="s">
        <v>86</v>
      </c>
      <c r="D9" s="12" t="s">
        <v>87</v>
      </c>
      <c r="E9" s="12" t="s">
        <v>59</v>
      </c>
      <c r="F9" s="12" t="s">
        <v>88</v>
      </c>
      <c r="G9" s="12" t="s">
        <v>41</v>
      </c>
      <c r="H9" s="12" t="s">
        <v>42</v>
      </c>
      <c r="I9" s="12" t="s">
        <v>29</v>
      </c>
      <c r="J9" s="12" t="s">
        <v>89</v>
      </c>
      <c r="K9" s="12" t="s">
        <v>90</v>
      </c>
      <c r="L9" s="12" t="s">
        <v>91</v>
      </c>
      <c r="M9" s="12">
        <v>5</v>
      </c>
      <c r="N9" s="14">
        <v>3528.18</v>
      </c>
      <c r="O9" s="15">
        <v>0.1</v>
      </c>
      <c r="P9" s="14">
        <v>15876.81</v>
      </c>
      <c r="Q9" s="14">
        <v>10601.48</v>
      </c>
      <c r="R9" s="14">
        <v>5275.33</v>
      </c>
      <c r="S9" s="12" t="s">
        <v>63</v>
      </c>
      <c r="T9" s="12" t="s">
        <v>64</v>
      </c>
      <c r="U9" s="12">
        <v>4</v>
      </c>
      <c r="V9" s="12" t="s">
        <v>72</v>
      </c>
    </row>
    <row r="10" spans="1:22" x14ac:dyDescent="0.3">
      <c r="A10" s="8" t="s">
        <v>92</v>
      </c>
      <c r="B10" s="9">
        <v>45758</v>
      </c>
      <c r="C10" s="8" t="s">
        <v>23</v>
      </c>
      <c r="D10" s="8" t="s">
        <v>24</v>
      </c>
      <c r="E10" s="8" t="s">
        <v>25</v>
      </c>
      <c r="F10" s="8" t="s">
        <v>93</v>
      </c>
      <c r="G10" s="8" t="s">
        <v>27</v>
      </c>
      <c r="H10" s="8" t="s">
        <v>94</v>
      </c>
      <c r="I10" s="8" t="s">
        <v>68</v>
      </c>
      <c r="J10" s="8" t="s">
        <v>75</v>
      </c>
      <c r="K10" s="8" t="s">
        <v>95</v>
      </c>
      <c r="L10" s="8" t="s">
        <v>77</v>
      </c>
      <c r="M10" s="8">
        <v>3</v>
      </c>
      <c r="N10" s="10">
        <v>26114.29</v>
      </c>
      <c r="O10" s="11">
        <v>0.15</v>
      </c>
      <c r="P10" s="10">
        <v>66591.44</v>
      </c>
      <c r="Q10" s="10">
        <v>53629.39</v>
      </c>
      <c r="R10" s="10">
        <v>12962.05</v>
      </c>
      <c r="S10" s="8" t="s">
        <v>53</v>
      </c>
      <c r="T10" s="8" t="s">
        <v>34</v>
      </c>
      <c r="U10" s="8">
        <v>4</v>
      </c>
      <c r="V10" s="8" t="s">
        <v>96</v>
      </c>
    </row>
    <row r="11" spans="1:22" x14ac:dyDescent="0.3">
      <c r="A11" s="12" t="s">
        <v>97</v>
      </c>
      <c r="B11" s="13">
        <v>45714</v>
      </c>
      <c r="C11" s="12" t="s">
        <v>98</v>
      </c>
      <c r="D11" s="12" t="s">
        <v>99</v>
      </c>
      <c r="E11" s="12" t="s">
        <v>25</v>
      </c>
      <c r="F11" s="12" t="s">
        <v>100</v>
      </c>
      <c r="G11" s="12" t="s">
        <v>41</v>
      </c>
      <c r="H11" s="12" t="s">
        <v>28</v>
      </c>
      <c r="I11" s="12" t="s">
        <v>29</v>
      </c>
      <c r="J11" s="12" t="s">
        <v>101</v>
      </c>
      <c r="K11" s="12" t="s">
        <v>102</v>
      </c>
      <c r="L11" s="12" t="s">
        <v>103</v>
      </c>
      <c r="M11" s="12">
        <v>4</v>
      </c>
      <c r="N11" s="14">
        <v>729.13</v>
      </c>
      <c r="O11" s="15">
        <v>0.15</v>
      </c>
      <c r="P11" s="14">
        <v>2479.04</v>
      </c>
      <c r="Q11" s="14">
        <v>989.66</v>
      </c>
      <c r="R11" s="14">
        <v>1489.38</v>
      </c>
      <c r="S11" s="12" t="s">
        <v>63</v>
      </c>
      <c r="T11" s="12" t="s">
        <v>104</v>
      </c>
      <c r="U11" s="12">
        <v>4</v>
      </c>
      <c r="V11" s="12" t="s">
        <v>105</v>
      </c>
    </row>
    <row r="12" spans="1:22" x14ac:dyDescent="0.3">
      <c r="A12" s="8" t="s">
        <v>106</v>
      </c>
      <c r="B12" s="9">
        <v>45898</v>
      </c>
      <c r="C12" s="8" t="s">
        <v>107</v>
      </c>
      <c r="D12" s="8" t="s">
        <v>108</v>
      </c>
      <c r="E12" s="8" t="s">
        <v>39</v>
      </c>
      <c r="F12" s="8" t="s">
        <v>109</v>
      </c>
      <c r="G12" s="8" t="s">
        <v>27</v>
      </c>
      <c r="H12" s="8" t="s">
        <v>28</v>
      </c>
      <c r="I12" s="8" t="s">
        <v>68</v>
      </c>
      <c r="J12" s="8" t="s">
        <v>101</v>
      </c>
      <c r="K12" s="8" t="s">
        <v>110</v>
      </c>
      <c r="L12" s="8" t="s">
        <v>32</v>
      </c>
      <c r="M12" s="8">
        <v>5</v>
      </c>
      <c r="N12" s="10">
        <v>4874.99</v>
      </c>
      <c r="O12" s="11">
        <v>0.15</v>
      </c>
      <c r="P12" s="10">
        <v>20718.71</v>
      </c>
      <c r="Q12" s="10">
        <v>15283.93</v>
      </c>
      <c r="R12" s="10">
        <v>5434.78</v>
      </c>
      <c r="S12" s="8" t="s">
        <v>53</v>
      </c>
      <c r="T12" s="8" t="s">
        <v>111</v>
      </c>
      <c r="U12" s="8">
        <v>3</v>
      </c>
      <c r="V12" s="8" t="s">
        <v>72</v>
      </c>
    </row>
    <row r="13" spans="1:22" x14ac:dyDescent="0.3">
      <c r="A13" s="12" t="s">
        <v>112</v>
      </c>
      <c r="B13" s="13">
        <v>45912</v>
      </c>
      <c r="C13" s="12" t="s">
        <v>113</v>
      </c>
      <c r="D13" s="12" t="s">
        <v>114</v>
      </c>
      <c r="E13" s="12" t="s">
        <v>59</v>
      </c>
      <c r="F13" s="12" t="s">
        <v>115</v>
      </c>
      <c r="G13" s="12" t="s">
        <v>27</v>
      </c>
      <c r="H13" s="12" t="s">
        <v>28</v>
      </c>
      <c r="I13" s="12" t="s">
        <v>61</v>
      </c>
      <c r="J13" s="12" t="s">
        <v>30</v>
      </c>
      <c r="K13" s="12" t="s">
        <v>62</v>
      </c>
      <c r="L13" s="12" t="s">
        <v>91</v>
      </c>
      <c r="M13" s="12">
        <v>1</v>
      </c>
      <c r="N13" s="14">
        <v>1026.2</v>
      </c>
      <c r="O13" s="15">
        <v>0.05</v>
      </c>
      <c r="P13" s="14">
        <v>974.89</v>
      </c>
      <c r="Q13" s="14">
        <v>452.91</v>
      </c>
      <c r="R13" s="14">
        <v>521.98</v>
      </c>
      <c r="S13" s="12" t="s">
        <v>33</v>
      </c>
      <c r="T13" s="12" t="s">
        <v>78</v>
      </c>
      <c r="U13" s="12">
        <v>5</v>
      </c>
      <c r="V13" s="12" t="s">
        <v>116</v>
      </c>
    </row>
    <row r="14" spans="1:22" x14ac:dyDescent="0.3">
      <c r="A14" s="8" t="s">
        <v>117</v>
      </c>
      <c r="B14" s="9">
        <v>45844</v>
      </c>
      <c r="C14" s="8" t="s">
        <v>48</v>
      </c>
      <c r="D14" s="8" t="s">
        <v>49</v>
      </c>
      <c r="E14" s="8" t="s">
        <v>39</v>
      </c>
      <c r="F14" s="8" t="s">
        <v>118</v>
      </c>
      <c r="G14" s="8" t="s">
        <v>41</v>
      </c>
      <c r="H14" s="8" t="s">
        <v>28</v>
      </c>
      <c r="I14" s="8" t="s">
        <v>61</v>
      </c>
      <c r="J14" s="8" t="s">
        <v>89</v>
      </c>
      <c r="K14" s="8" t="s">
        <v>89</v>
      </c>
      <c r="L14" s="8" t="s">
        <v>103</v>
      </c>
      <c r="M14" s="8">
        <v>3</v>
      </c>
      <c r="N14" s="10">
        <v>1333.96</v>
      </c>
      <c r="O14" s="11">
        <v>0.25</v>
      </c>
      <c r="P14" s="10">
        <v>3001.41</v>
      </c>
      <c r="Q14" s="10">
        <v>2014.19</v>
      </c>
      <c r="R14" s="10">
        <v>987.22</v>
      </c>
      <c r="S14" s="8" t="s">
        <v>33</v>
      </c>
      <c r="T14" s="8" t="s">
        <v>119</v>
      </c>
      <c r="U14" s="8">
        <v>5</v>
      </c>
      <c r="V14" s="8" t="s">
        <v>120</v>
      </c>
    </row>
    <row r="15" spans="1:22" x14ac:dyDescent="0.3">
      <c r="A15" s="12" t="s">
        <v>121</v>
      </c>
      <c r="B15" s="13">
        <v>45951</v>
      </c>
      <c r="C15" s="12" t="s">
        <v>57</v>
      </c>
      <c r="D15" s="12" t="s">
        <v>58</v>
      </c>
      <c r="E15" s="12" t="s">
        <v>59</v>
      </c>
      <c r="F15" s="12" t="s">
        <v>122</v>
      </c>
      <c r="G15" s="12" t="s">
        <v>27</v>
      </c>
      <c r="H15" s="12" t="s">
        <v>94</v>
      </c>
      <c r="I15" s="12" t="s">
        <v>61</v>
      </c>
      <c r="J15" s="12" t="s">
        <v>75</v>
      </c>
      <c r="K15" s="12" t="s">
        <v>76</v>
      </c>
      <c r="L15" s="12" t="s">
        <v>82</v>
      </c>
      <c r="M15" s="12">
        <v>1</v>
      </c>
      <c r="N15" s="14">
        <v>784.26</v>
      </c>
      <c r="O15" s="15">
        <v>0.25</v>
      </c>
      <c r="P15" s="14">
        <v>588.19000000000005</v>
      </c>
      <c r="Q15" s="14">
        <v>352.89</v>
      </c>
      <c r="R15" s="14">
        <v>235.3</v>
      </c>
      <c r="S15" s="12" t="s">
        <v>46</v>
      </c>
      <c r="T15" s="12" t="s">
        <v>71</v>
      </c>
      <c r="U15" s="12">
        <v>5</v>
      </c>
      <c r="V15" s="12" t="s">
        <v>123</v>
      </c>
    </row>
    <row r="16" spans="1:22" x14ac:dyDescent="0.3">
      <c r="A16" s="8" t="s">
        <v>124</v>
      </c>
      <c r="B16" s="9">
        <v>45853</v>
      </c>
      <c r="C16" s="8" t="s">
        <v>125</v>
      </c>
      <c r="D16" s="8" t="s">
        <v>126</v>
      </c>
      <c r="E16" s="8" t="s">
        <v>25</v>
      </c>
      <c r="F16" s="8" t="s">
        <v>127</v>
      </c>
      <c r="G16" s="8" t="s">
        <v>27</v>
      </c>
      <c r="H16" s="8" t="s">
        <v>94</v>
      </c>
      <c r="I16" s="8" t="s">
        <v>61</v>
      </c>
      <c r="J16" s="8" t="s">
        <v>30</v>
      </c>
      <c r="K16" s="8" t="s">
        <v>62</v>
      </c>
      <c r="L16" s="8" t="s">
        <v>77</v>
      </c>
      <c r="M16" s="8">
        <v>5</v>
      </c>
      <c r="N16" s="10">
        <v>990.53</v>
      </c>
      <c r="O16" s="11">
        <v>0.1</v>
      </c>
      <c r="P16" s="10">
        <v>4457.3900000000003</v>
      </c>
      <c r="Q16" s="10">
        <v>2315.59</v>
      </c>
      <c r="R16" s="10">
        <v>2141.8000000000002</v>
      </c>
      <c r="S16" s="8" t="s">
        <v>46</v>
      </c>
      <c r="T16" s="8" t="s">
        <v>64</v>
      </c>
      <c r="U16" s="8">
        <v>5</v>
      </c>
      <c r="V16" s="8" t="s">
        <v>120</v>
      </c>
    </row>
    <row r="17" spans="1:22" x14ac:dyDescent="0.3">
      <c r="A17" s="12" t="s">
        <v>128</v>
      </c>
      <c r="B17" s="13">
        <v>45860</v>
      </c>
      <c r="C17" s="12" t="s">
        <v>37</v>
      </c>
      <c r="D17" s="12" t="s">
        <v>38</v>
      </c>
      <c r="E17" s="12" t="s">
        <v>39</v>
      </c>
      <c r="F17" s="12" t="s">
        <v>129</v>
      </c>
      <c r="G17" s="12" t="s">
        <v>41</v>
      </c>
      <c r="H17" s="12" t="s">
        <v>42</v>
      </c>
      <c r="I17" s="12" t="s">
        <v>68</v>
      </c>
      <c r="J17" s="12" t="s">
        <v>69</v>
      </c>
      <c r="K17" s="12" t="s">
        <v>70</v>
      </c>
      <c r="L17" s="12" t="s">
        <v>45</v>
      </c>
      <c r="M17" s="12">
        <v>1</v>
      </c>
      <c r="N17" s="14">
        <v>911.52</v>
      </c>
      <c r="O17" s="15">
        <v>0.15</v>
      </c>
      <c r="P17" s="14">
        <v>774.79</v>
      </c>
      <c r="Q17" s="14">
        <v>456.7</v>
      </c>
      <c r="R17" s="14">
        <v>318.08999999999997</v>
      </c>
      <c r="S17" s="12" t="s">
        <v>33</v>
      </c>
      <c r="T17" s="12" t="s">
        <v>64</v>
      </c>
      <c r="U17" s="12">
        <v>4</v>
      </c>
      <c r="V17" s="12" t="s">
        <v>120</v>
      </c>
    </row>
    <row r="18" spans="1:22" x14ac:dyDescent="0.3">
      <c r="A18" s="8" t="s">
        <v>130</v>
      </c>
      <c r="B18" s="9">
        <v>45788</v>
      </c>
      <c r="C18" s="8" t="s">
        <v>131</v>
      </c>
      <c r="D18" s="8" t="s">
        <v>132</v>
      </c>
      <c r="E18" s="8" t="s">
        <v>25</v>
      </c>
      <c r="F18" s="8" t="s">
        <v>133</v>
      </c>
      <c r="G18" s="8" t="s">
        <v>27</v>
      </c>
      <c r="H18" s="8" t="s">
        <v>42</v>
      </c>
      <c r="I18" s="8" t="s">
        <v>68</v>
      </c>
      <c r="J18" s="8" t="s">
        <v>30</v>
      </c>
      <c r="K18" s="8" t="s">
        <v>62</v>
      </c>
      <c r="L18" s="8" t="s">
        <v>82</v>
      </c>
      <c r="M18" s="8">
        <v>4</v>
      </c>
      <c r="N18" s="10">
        <v>1011.99</v>
      </c>
      <c r="O18" s="11">
        <v>0.05</v>
      </c>
      <c r="P18" s="10">
        <v>3845.56</v>
      </c>
      <c r="Q18" s="10">
        <v>1876.35</v>
      </c>
      <c r="R18" s="10">
        <v>1969.21</v>
      </c>
      <c r="S18" s="8" t="s">
        <v>46</v>
      </c>
      <c r="T18" s="8" t="s">
        <v>54</v>
      </c>
      <c r="U18" s="8">
        <v>4</v>
      </c>
      <c r="V18" s="8" t="s">
        <v>134</v>
      </c>
    </row>
    <row r="19" spans="1:22" x14ac:dyDescent="0.3">
      <c r="A19" s="12" t="s">
        <v>135</v>
      </c>
      <c r="B19" s="13">
        <v>45740</v>
      </c>
      <c r="C19" s="12" t="s">
        <v>113</v>
      </c>
      <c r="D19" s="12" t="s">
        <v>114</v>
      </c>
      <c r="E19" s="12" t="s">
        <v>59</v>
      </c>
      <c r="F19" s="12" t="s">
        <v>136</v>
      </c>
      <c r="G19" s="12" t="s">
        <v>41</v>
      </c>
      <c r="H19" s="12" t="s">
        <v>81</v>
      </c>
      <c r="I19" s="12" t="s">
        <v>68</v>
      </c>
      <c r="J19" s="12" t="s">
        <v>69</v>
      </c>
      <c r="K19" s="12" t="s">
        <v>137</v>
      </c>
      <c r="L19" s="12" t="s">
        <v>32</v>
      </c>
      <c r="M19" s="12">
        <v>3</v>
      </c>
      <c r="N19" s="14">
        <v>486.53</v>
      </c>
      <c r="O19" s="15">
        <v>0.05</v>
      </c>
      <c r="P19" s="14">
        <v>1386.61</v>
      </c>
      <c r="Q19" s="14">
        <v>671.35</v>
      </c>
      <c r="R19" s="14">
        <v>715.26</v>
      </c>
      <c r="S19" s="12" t="s">
        <v>53</v>
      </c>
      <c r="T19" s="12" t="s">
        <v>111</v>
      </c>
      <c r="U19" s="12">
        <v>3</v>
      </c>
      <c r="V19" s="12" t="s">
        <v>55</v>
      </c>
    </row>
    <row r="20" spans="1:22" x14ac:dyDescent="0.3">
      <c r="A20" s="8" t="s">
        <v>138</v>
      </c>
      <c r="B20" s="9">
        <v>45672</v>
      </c>
      <c r="C20" s="8" t="s">
        <v>125</v>
      </c>
      <c r="D20" s="8" t="s">
        <v>126</v>
      </c>
      <c r="E20" s="8" t="s">
        <v>25</v>
      </c>
      <c r="F20" s="8" t="s">
        <v>139</v>
      </c>
      <c r="G20" s="8" t="s">
        <v>27</v>
      </c>
      <c r="H20" s="8" t="s">
        <v>81</v>
      </c>
      <c r="I20" s="8" t="s">
        <v>61</v>
      </c>
      <c r="J20" s="8" t="s">
        <v>89</v>
      </c>
      <c r="K20" s="8" t="s">
        <v>90</v>
      </c>
      <c r="L20" s="8" t="s">
        <v>103</v>
      </c>
      <c r="M20" s="8">
        <v>4</v>
      </c>
      <c r="N20" s="10">
        <v>3475.88</v>
      </c>
      <c r="O20" s="11">
        <v>0</v>
      </c>
      <c r="P20" s="10">
        <v>13903.52</v>
      </c>
      <c r="Q20" s="10">
        <v>8373.74</v>
      </c>
      <c r="R20" s="10">
        <v>5529.78</v>
      </c>
      <c r="S20" s="8" t="s">
        <v>46</v>
      </c>
      <c r="T20" s="8" t="s">
        <v>119</v>
      </c>
      <c r="U20" s="8">
        <v>4</v>
      </c>
      <c r="V20" s="8" t="s">
        <v>84</v>
      </c>
    </row>
    <row r="21" spans="1:22" x14ac:dyDescent="0.3">
      <c r="A21" s="12" t="s">
        <v>140</v>
      </c>
      <c r="B21" s="13">
        <v>45878</v>
      </c>
      <c r="C21" s="12" t="s">
        <v>131</v>
      </c>
      <c r="D21" s="12" t="s">
        <v>132</v>
      </c>
      <c r="E21" s="12" t="s">
        <v>25</v>
      </c>
      <c r="F21" s="12" t="s">
        <v>141</v>
      </c>
      <c r="G21" s="12" t="s">
        <v>41</v>
      </c>
      <c r="H21" s="12" t="s">
        <v>81</v>
      </c>
      <c r="I21" s="12" t="s">
        <v>29</v>
      </c>
      <c r="J21" s="12" t="s">
        <v>75</v>
      </c>
      <c r="K21" s="12" t="s">
        <v>76</v>
      </c>
      <c r="L21" s="12" t="s">
        <v>82</v>
      </c>
      <c r="M21" s="12">
        <v>2</v>
      </c>
      <c r="N21" s="14">
        <v>759.66</v>
      </c>
      <c r="O21" s="15">
        <v>0.3</v>
      </c>
      <c r="P21" s="14">
        <v>1063.52</v>
      </c>
      <c r="Q21" s="14">
        <v>723.12</v>
      </c>
      <c r="R21" s="14">
        <v>340.4</v>
      </c>
      <c r="S21" s="12" t="s">
        <v>83</v>
      </c>
      <c r="T21" s="12" t="s">
        <v>64</v>
      </c>
      <c r="U21" s="12">
        <v>3</v>
      </c>
      <c r="V21" s="12" t="s">
        <v>72</v>
      </c>
    </row>
    <row r="22" spans="1:22" x14ac:dyDescent="0.3">
      <c r="A22" s="8" t="s">
        <v>142</v>
      </c>
      <c r="B22" s="9">
        <v>45930</v>
      </c>
      <c r="C22" s="8" t="s">
        <v>48</v>
      </c>
      <c r="D22" s="8" t="s">
        <v>49</v>
      </c>
      <c r="E22" s="8" t="s">
        <v>39</v>
      </c>
      <c r="F22" s="8" t="s">
        <v>143</v>
      </c>
      <c r="G22" s="8" t="s">
        <v>27</v>
      </c>
      <c r="H22" s="8" t="s">
        <v>94</v>
      </c>
      <c r="I22" s="8" t="s">
        <v>68</v>
      </c>
      <c r="J22" s="8" t="s">
        <v>30</v>
      </c>
      <c r="K22" s="8" t="s">
        <v>144</v>
      </c>
      <c r="L22" s="8" t="s">
        <v>91</v>
      </c>
      <c r="M22" s="8">
        <v>5</v>
      </c>
      <c r="N22" s="10">
        <v>2482.9499999999998</v>
      </c>
      <c r="O22" s="11">
        <v>0.3</v>
      </c>
      <c r="P22" s="10">
        <v>8690.32</v>
      </c>
      <c r="Q22" s="10">
        <v>7487.31</v>
      </c>
      <c r="R22" s="10">
        <v>1203.01</v>
      </c>
      <c r="S22" s="8" t="s">
        <v>33</v>
      </c>
      <c r="T22" s="8" t="s">
        <v>119</v>
      </c>
      <c r="U22" s="8">
        <v>4</v>
      </c>
      <c r="V22" s="8" t="s">
        <v>116</v>
      </c>
    </row>
    <row r="23" spans="1:22" x14ac:dyDescent="0.3">
      <c r="A23" s="12" t="s">
        <v>145</v>
      </c>
      <c r="B23" s="13">
        <v>45768</v>
      </c>
      <c r="C23" s="12" t="s">
        <v>113</v>
      </c>
      <c r="D23" s="12" t="s">
        <v>114</v>
      </c>
      <c r="E23" s="12" t="s">
        <v>59</v>
      </c>
      <c r="F23" s="12" t="s">
        <v>146</v>
      </c>
      <c r="G23" s="12" t="s">
        <v>41</v>
      </c>
      <c r="H23" s="12" t="s">
        <v>42</v>
      </c>
      <c r="I23" s="12" t="s">
        <v>68</v>
      </c>
      <c r="J23" s="12" t="s">
        <v>75</v>
      </c>
      <c r="K23" s="12" t="s">
        <v>95</v>
      </c>
      <c r="L23" s="12" t="s">
        <v>77</v>
      </c>
      <c r="M23" s="12">
        <v>5</v>
      </c>
      <c r="N23" s="14">
        <v>24704.23</v>
      </c>
      <c r="O23" s="15">
        <v>0.2</v>
      </c>
      <c r="P23" s="14">
        <v>98816.92</v>
      </c>
      <c r="Q23" s="14">
        <v>93351.33</v>
      </c>
      <c r="R23" s="14">
        <v>5465.59</v>
      </c>
      <c r="S23" s="12" t="s">
        <v>46</v>
      </c>
      <c r="T23" s="12" t="s">
        <v>147</v>
      </c>
      <c r="U23" s="12">
        <v>5</v>
      </c>
      <c r="V23" s="12" t="s">
        <v>96</v>
      </c>
    </row>
    <row r="24" spans="1:22" x14ac:dyDescent="0.3">
      <c r="A24" s="8" t="s">
        <v>148</v>
      </c>
      <c r="B24" s="9">
        <v>45983</v>
      </c>
      <c r="C24" s="8" t="s">
        <v>86</v>
      </c>
      <c r="D24" s="8" t="s">
        <v>87</v>
      </c>
      <c r="E24" s="8" t="s">
        <v>59</v>
      </c>
      <c r="F24" s="8" t="s">
        <v>149</v>
      </c>
      <c r="G24" s="8" t="s">
        <v>41</v>
      </c>
      <c r="H24" s="8" t="s">
        <v>42</v>
      </c>
      <c r="I24" s="8" t="s">
        <v>61</v>
      </c>
      <c r="J24" s="8" t="s">
        <v>101</v>
      </c>
      <c r="K24" s="8" t="s">
        <v>102</v>
      </c>
      <c r="L24" s="8" t="s">
        <v>91</v>
      </c>
      <c r="M24" s="8">
        <v>1</v>
      </c>
      <c r="N24" s="10">
        <v>697.74</v>
      </c>
      <c r="O24" s="11">
        <v>0.25</v>
      </c>
      <c r="P24" s="10">
        <v>523.30999999999995</v>
      </c>
      <c r="Q24" s="10">
        <v>245.49</v>
      </c>
      <c r="R24" s="10">
        <v>277.82</v>
      </c>
      <c r="S24" s="8" t="s">
        <v>33</v>
      </c>
      <c r="T24" s="8" t="s">
        <v>119</v>
      </c>
      <c r="U24" s="8">
        <v>4</v>
      </c>
      <c r="V24" s="8" t="s">
        <v>65</v>
      </c>
    </row>
    <row r="25" spans="1:22" x14ac:dyDescent="0.3">
      <c r="A25" s="12" t="s">
        <v>150</v>
      </c>
      <c r="B25" s="13">
        <v>45902</v>
      </c>
      <c r="C25" s="12" t="s">
        <v>125</v>
      </c>
      <c r="D25" s="12" t="s">
        <v>126</v>
      </c>
      <c r="E25" s="12" t="s">
        <v>25</v>
      </c>
      <c r="F25" s="12" t="s">
        <v>122</v>
      </c>
      <c r="G25" s="12" t="s">
        <v>41</v>
      </c>
      <c r="H25" s="12" t="s">
        <v>28</v>
      </c>
      <c r="I25" s="12" t="s">
        <v>29</v>
      </c>
      <c r="J25" s="12" t="s">
        <v>89</v>
      </c>
      <c r="K25" s="12" t="s">
        <v>151</v>
      </c>
      <c r="L25" s="12" t="s">
        <v>45</v>
      </c>
      <c r="M25" s="12">
        <v>5</v>
      </c>
      <c r="N25" s="14">
        <v>1007.21</v>
      </c>
      <c r="O25" s="15">
        <v>0.2</v>
      </c>
      <c r="P25" s="14">
        <v>4028.84</v>
      </c>
      <c r="Q25" s="14">
        <v>2415.41</v>
      </c>
      <c r="R25" s="14">
        <v>1613.43</v>
      </c>
      <c r="S25" s="12" t="s">
        <v>46</v>
      </c>
      <c r="T25" s="12" t="s">
        <v>119</v>
      </c>
      <c r="U25" s="12">
        <v>3</v>
      </c>
      <c r="V25" s="12" t="s">
        <v>116</v>
      </c>
    </row>
    <row r="26" spans="1:22" x14ac:dyDescent="0.3">
      <c r="A26" s="8" t="s">
        <v>152</v>
      </c>
      <c r="B26" s="9">
        <v>45774</v>
      </c>
      <c r="C26" s="8" t="s">
        <v>125</v>
      </c>
      <c r="D26" s="8" t="s">
        <v>126</v>
      </c>
      <c r="E26" s="8" t="s">
        <v>25</v>
      </c>
      <c r="F26" s="8" t="s">
        <v>153</v>
      </c>
      <c r="G26" s="8" t="s">
        <v>41</v>
      </c>
      <c r="H26" s="8" t="s">
        <v>81</v>
      </c>
      <c r="I26" s="8" t="s">
        <v>61</v>
      </c>
      <c r="J26" s="8" t="s">
        <v>75</v>
      </c>
      <c r="K26" s="8" t="s">
        <v>154</v>
      </c>
      <c r="L26" s="8" t="s">
        <v>52</v>
      </c>
      <c r="M26" s="8">
        <v>1</v>
      </c>
      <c r="N26" s="10">
        <v>2028.73</v>
      </c>
      <c r="O26" s="11">
        <v>0.3</v>
      </c>
      <c r="P26" s="10">
        <v>1420.11</v>
      </c>
      <c r="Q26" s="10">
        <v>1083.27</v>
      </c>
      <c r="R26" s="10">
        <v>336.84</v>
      </c>
      <c r="S26" s="8" t="s">
        <v>46</v>
      </c>
      <c r="T26" s="8" t="s">
        <v>119</v>
      </c>
      <c r="U26" s="8">
        <v>4</v>
      </c>
      <c r="V26" s="8" t="s">
        <v>96</v>
      </c>
    </row>
    <row r="27" spans="1:22" x14ac:dyDescent="0.3">
      <c r="A27" s="12" t="s">
        <v>155</v>
      </c>
      <c r="B27" s="13">
        <v>45821</v>
      </c>
      <c r="C27" s="12" t="s">
        <v>107</v>
      </c>
      <c r="D27" s="12" t="s">
        <v>108</v>
      </c>
      <c r="E27" s="12" t="s">
        <v>39</v>
      </c>
      <c r="F27" s="12" t="s">
        <v>67</v>
      </c>
      <c r="G27" s="12" t="s">
        <v>27</v>
      </c>
      <c r="H27" s="12" t="s">
        <v>81</v>
      </c>
      <c r="I27" s="12" t="s">
        <v>29</v>
      </c>
      <c r="J27" s="12" t="s">
        <v>30</v>
      </c>
      <c r="K27" s="12" t="s">
        <v>144</v>
      </c>
      <c r="L27" s="12" t="s">
        <v>32</v>
      </c>
      <c r="M27" s="12">
        <v>5</v>
      </c>
      <c r="N27" s="14">
        <v>2408.61</v>
      </c>
      <c r="O27" s="15">
        <v>0.05</v>
      </c>
      <c r="P27" s="14">
        <v>11440.9</v>
      </c>
      <c r="Q27" s="14">
        <v>7409.95</v>
      </c>
      <c r="R27" s="14">
        <v>4030.95</v>
      </c>
      <c r="S27" s="12" t="s">
        <v>53</v>
      </c>
      <c r="T27" s="12" t="s">
        <v>156</v>
      </c>
      <c r="U27" s="12">
        <v>4</v>
      </c>
      <c r="V27" s="12" t="s">
        <v>157</v>
      </c>
    </row>
    <row r="28" spans="1:22" x14ac:dyDescent="0.3">
      <c r="A28" s="8" t="s">
        <v>158</v>
      </c>
      <c r="B28" s="9">
        <v>45865</v>
      </c>
      <c r="C28" s="8" t="s">
        <v>57</v>
      </c>
      <c r="D28" s="8" t="s">
        <v>58</v>
      </c>
      <c r="E28" s="8" t="s">
        <v>59</v>
      </c>
      <c r="F28" s="8" t="s">
        <v>159</v>
      </c>
      <c r="G28" s="8" t="s">
        <v>27</v>
      </c>
      <c r="H28" s="8" t="s">
        <v>81</v>
      </c>
      <c r="I28" s="8" t="s">
        <v>29</v>
      </c>
      <c r="J28" s="8" t="s">
        <v>101</v>
      </c>
      <c r="K28" s="8" t="s">
        <v>110</v>
      </c>
      <c r="L28" s="8" t="s">
        <v>91</v>
      </c>
      <c r="M28" s="8">
        <v>3</v>
      </c>
      <c r="N28" s="10">
        <v>5189.5600000000004</v>
      </c>
      <c r="O28" s="11">
        <v>0</v>
      </c>
      <c r="P28" s="10">
        <v>15568.68</v>
      </c>
      <c r="Q28" s="10">
        <v>9973.7800000000007</v>
      </c>
      <c r="R28" s="10">
        <v>5594.9</v>
      </c>
      <c r="S28" s="8" t="s">
        <v>33</v>
      </c>
      <c r="T28" s="8" t="s">
        <v>34</v>
      </c>
      <c r="U28" s="8">
        <v>3</v>
      </c>
      <c r="V28" s="8" t="s">
        <v>120</v>
      </c>
    </row>
    <row r="29" spans="1:22" x14ac:dyDescent="0.3">
      <c r="A29" s="12" t="s">
        <v>160</v>
      </c>
      <c r="B29" s="13">
        <v>45933</v>
      </c>
      <c r="C29" s="12" t="s">
        <v>23</v>
      </c>
      <c r="D29" s="12" t="s">
        <v>24</v>
      </c>
      <c r="E29" s="12" t="s">
        <v>25</v>
      </c>
      <c r="F29" s="12" t="s">
        <v>161</v>
      </c>
      <c r="G29" s="12" t="s">
        <v>27</v>
      </c>
      <c r="H29" s="12" t="s">
        <v>42</v>
      </c>
      <c r="I29" s="12" t="s">
        <v>29</v>
      </c>
      <c r="J29" s="12" t="s">
        <v>43</v>
      </c>
      <c r="K29" s="12" t="s">
        <v>162</v>
      </c>
      <c r="L29" s="12" t="s">
        <v>45</v>
      </c>
      <c r="M29" s="12">
        <v>2</v>
      </c>
      <c r="N29" s="14">
        <v>918.1</v>
      </c>
      <c r="O29" s="15">
        <v>0.1</v>
      </c>
      <c r="P29" s="14">
        <v>1652.58</v>
      </c>
      <c r="Q29" s="14">
        <v>773.27</v>
      </c>
      <c r="R29" s="14">
        <v>879.31</v>
      </c>
      <c r="S29" s="12" t="s">
        <v>83</v>
      </c>
      <c r="T29" s="12" t="s">
        <v>34</v>
      </c>
      <c r="U29" s="12">
        <v>3</v>
      </c>
      <c r="V29" s="12" t="s">
        <v>123</v>
      </c>
    </row>
    <row r="30" spans="1:22" x14ac:dyDescent="0.3">
      <c r="A30" s="8" t="s">
        <v>163</v>
      </c>
      <c r="B30" s="9">
        <v>45944</v>
      </c>
      <c r="C30" s="8" t="s">
        <v>125</v>
      </c>
      <c r="D30" s="8" t="s">
        <v>126</v>
      </c>
      <c r="E30" s="8" t="s">
        <v>25</v>
      </c>
      <c r="F30" s="8" t="s">
        <v>164</v>
      </c>
      <c r="G30" s="8" t="s">
        <v>27</v>
      </c>
      <c r="H30" s="8" t="s">
        <v>81</v>
      </c>
      <c r="I30" s="8" t="s">
        <v>61</v>
      </c>
      <c r="J30" s="8" t="s">
        <v>43</v>
      </c>
      <c r="K30" s="8" t="s">
        <v>162</v>
      </c>
      <c r="L30" s="8" t="s">
        <v>77</v>
      </c>
      <c r="M30" s="8">
        <v>3</v>
      </c>
      <c r="N30" s="10">
        <v>917.52</v>
      </c>
      <c r="O30" s="11">
        <v>0</v>
      </c>
      <c r="P30" s="10">
        <v>2752.56</v>
      </c>
      <c r="Q30" s="10">
        <v>1157.9000000000001</v>
      </c>
      <c r="R30" s="10">
        <v>1594.66</v>
      </c>
      <c r="S30" s="8" t="s">
        <v>63</v>
      </c>
      <c r="T30" s="8" t="s">
        <v>147</v>
      </c>
      <c r="U30" s="8">
        <v>4</v>
      </c>
      <c r="V30" s="8" t="s">
        <v>123</v>
      </c>
    </row>
    <row r="31" spans="1:22" x14ac:dyDescent="0.3">
      <c r="A31" s="12" t="s">
        <v>165</v>
      </c>
      <c r="B31" s="13">
        <v>45795</v>
      </c>
      <c r="C31" s="12" t="s">
        <v>86</v>
      </c>
      <c r="D31" s="12" t="s">
        <v>87</v>
      </c>
      <c r="E31" s="12" t="s">
        <v>59</v>
      </c>
      <c r="F31" s="12" t="s">
        <v>166</v>
      </c>
      <c r="G31" s="12" t="s">
        <v>27</v>
      </c>
      <c r="H31" s="12" t="s">
        <v>42</v>
      </c>
      <c r="I31" s="12" t="s">
        <v>61</v>
      </c>
      <c r="J31" s="12" t="s">
        <v>43</v>
      </c>
      <c r="K31" s="12" t="s">
        <v>44</v>
      </c>
      <c r="L31" s="12" t="s">
        <v>52</v>
      </c>
      <c r="M31" s="12">
        <v>3</v>
      </c>
      <c r="N31" s="14">
        <v>616.37</v>
      </c>
      <c r="O31" s="15">
        <v>0.1</v>
      </c>
      <c r="P31" s="14">
        <v>1664.2</v>
      </c>
      <c r="Q31" s="14">
        <v>806.31</v>
      </c>
      <c r="R31" s="14">
        <v>857.89</v>
      </c>
      <c r="S31" s="12" t="s">
        <v>83</v>
      </c>
      <c r="T31" s="12" t="s">
        <v>147</v>
      </c>
      <c r="U31" s="12">
        <v>4</v>
      </c>
      <c r="V31" s="12" t="s">
        <v>134</v>
      </c>
    </row>
    <row r="32" spans="1:22" x14ac:dyDescent="0.3">
      <c r="A32" s="8" t="s">
        <v>167</v>
      </c>
      <c r="B32" s="9">
        <v>45802</v>
      </c>
      <c r="C32" s="8" t="s">
        <v>48</v>
      </c>
      <c r="D32" s="8" t="s">
        <v>49</v>
      </c>
      <c r="E32" s="8" t="s">
        <v>39</v>
      </c>
      <c r="F32" s="8" t="s">
        <v>168</v>
      </c>
      <c r="G32" s="8" t="s">
        <v>27</v>
      </c>
      <c r="H32" s="8" t="s">
        <v>28</v>
      </c>
      <c r="I32" s="8" t="s">
        <v>68</v>
      </c>
      <c r="J32" s="8" t="s">
        <v>75</v>
      </c>
      <c r="K32" s="8" t="s">
        <v>95</v>
      </c>
      <c r="L32" s="8" t="s">
        <v>91</v>
      </c>
      <c r="M32" s="8">
        <v>5</v>
      </c>
      <c r="N32" s="10">
        <v>24546.9</v>
      </c>
      <c r="O32" s="11">
        <v>0.3</v>
      </c>
      <c r="P32" s="10">
        <v>85914.15</v>
      </c>
      <c r="Q32" s="10">
        <v>89518.74</v>
      </c>
      <c r="R32" s="10">
        <v>-3604.59</v>
      </c>
      <c r="S32" s="8" t="s">
        <v>63</v>
      </c>
      <c r="T32" s="8" t="s">
        <v>34</v>
      </c>
      <c r="U32" s="8">
        <v>3</v>
      </c>
      <c r="V32" s="8" t="s">
        <v>134</v>
      </c>
    </row>
    <row r="33" spans="1:22" x14ac:dyDescent="0.3">
      <c r="A33" s="12" t="s">
        <v>169</v>
      </c>
      <c r="B33" s="13">
        <v>45970</v>
      </c>
      <c r="C33" s="12" t="s">
        <v>57</v>
      </c>
      <c r="D33" s="12" t="s">
        <v>58</v>
      </c>
      <c r="E33" s="12" t="s">
        <v>59</v>
      </c>
      <c r="F33" s="12" t="s">
        <v>170</v>
      </c>
      <c r="G33" s="12" t="s">
        <v>27</v>
      </c>
      <c r="H33" s="12" t="s">
        <v>28</v>
      </c>
      <c r="I33" s="12" t="s">
        <v>29</v>
      </c>
      <c r="J33" s="12" t="s">
        <v>43</v>
      </c>
      <c r="K33" s="12" t="s">
        <v>51</v>
      </c>
      <c r="L33" s="12" t="s">
        <v>45</v>
      </c>
      <c r="M33" s="12">
        <v>5</v>
      </c>
      <c r="N33" s="14">
        <v>1502.55</v>
      </c>
      <c r="O33" s="15">
        <v>0.1</v>
      </c>
      <c r="P33" s="14">
        <v>6761.48</v>
      </c>
      <c r="Q33" s="14">
        <v>3422.02</v>
      </c>
      <c r="R33" s="14">
        <v>3339.46</v>
      </c>
      <c r="S33" s="12" t="s">
        <v>46</v>
      </c>
      <c r="T33" s="12" t="s">
        <v>119</v>
      </c>
      <c r="U33" s="12">
        <v>3</v>
      </c>
      <c r="V33" s="12" t="s">
        <v>65</v>
      </c>
    </row>
    <row r="34" spans="1:22" x14ac:dyDescent="0.3">
      <c r="A34" s="8" t="s">
        <v>171</v>
      </c>
      <c r="B34" s="9">
        <v>46012</v>
      </c>
      <c r="C34" s="8" t="s">
        <v>131</v>
      </c>
      <c r="D34" s="8" t="s">
        <v>132</v>
      </c>
      <c r="E34" s="8" t="s">
        <v>25</v>
      </c>
      <c r="F34" s="8" t="s">
        <v>172</v>
      </c>
      <c r="G34" s="8" t="s">
        <v>41</v>
      </c>
      <c r="H34" s="8" t="s">
        <v>81</v>
      </c>
      <c r="I34" s="8" t="s">
        <v>61</v>
      </c>
      <c r="J34" s="8" t="s">
        <v>43</v>
      </c>
      <c r="K34" s="8" t="s">
        <v>44</v>
      </c>
      <c r="L34" s="8" t="s">
        <v>32</v>
      </c>
      <c r="M34" s="8">
        <v>1</v>
      </c>
      <c r="N34" s="10">
        <v>580.52</v>
      </c>
      <c r="O34" s="11">
        <v>0.2</v>
      </c>
      <c r="P34" s="10">
        <v>464.42</v>
      </c>
      <c r="Q34" s="10">
        <v>272.54000000000002</v>
      </c>
      <c r="R34" s="10">
        <v>191.88</v>
      </c>
      <c r="S34" s="8" t="s">
        <v>46</v>
      </c>
      <c r="T34" s="8" t="s">
        <v>64</v>
      </c>
      <c r="U34" s="8">
        <v>3</v>
      </c>
      <c r="V34" s="8" t="s">
        <v>35</v>
      </c>
    </row>
    <row r="35" spans="1:22" x14ac:dyDescent="0.3">
      <c r="A35" s="12" t="s">
        <v>173</v>
      </c>
      <c r="B35" s="13">
        <v>45758</v>
      </c>
      <c r="C35" s="12" t="s">
        <v>98</v>
      </c>
      <c r="D35" s="12" t="s">
        <v>99</v>
      </c>
      <c r="E35" s="12" t="s">
        <v>25</v>
      </c>
      <c r="F35" s="12" t="s">
        <v>174</v>
      </c>
      <c r="G35" s="12" t="s">
        <v>41</v>
      </c>
      <c r="H35" s="12" t="s">
        <v>94</v>
      </c>
      <c r="I35" s="12" t="s">
        <v>61</v>
      </c>
      <c r="J35" s="12" t="s">
        <v>69</v>
      </c>
      <c r="K35" s="12" t="s">
        <v>137</v>
      </c>
      <c r="L35" s="12" t="s">
        <v>175</v>
      </c>
      <c r="M35" s="12">
        <v>4</v>
      </c>
      <c r="N35" s="14">
        <v>504.44</v>
      </c>
      <c r="O35" s="15">
        <v>0</v>
      </c>
      <c r="P35" s="14">
        <v>2017.76</v>
      </c>
      <c r="Q35" s="14">
        <v>892.17</v>
      </c>
      <c r="R35" s="14">
        <v>1125.5899999999999</v>
      </c>
      <c r="S35" s="12" t="s">
        <v>53</v>
      </c>
      <c r="T35" s="12" t="s">
        <v>54</v>
      </c>
      <c r="U35" s="12">
        <v>4</v>
      </c>
      <c r="V35" s="12" t="s">
        <v>96</v>
      </c>
    </row>
    <row r="36" spans="1:22" x14ac:dyDescent="0.3">
      <c r="A36" s="8" t="s">
        <v>176</v>
      </c>
      <c r="B36" s="9">
        <v>45885</v>
      </c>
      <c r="C36" s="8" t="s">
        <v>37</v>
      </c>
      <c r="D36" s="8" t="s">
        <v>38</v>
      </c>
      <c r="E36" s="8" t="s">
        <v>39</v>
      </c>
      <c r="F36" s="8" t="s">
        <v>177</v>
      </c>
      <c r="G36" s="8" t="s">
        <v>27</v>
      </c>
      <c r="H36" s="8" t="s">
        <v>94</v>
      </c>
      <c r="I36" s="8" t="s">
        <v>29</v>
      </c>
      <c r="J36" s="8" t="s">
        <v>89</v>
      </c>
      <c r="K36" s="8" t="s">
        <v>90</v>
      </c>
      <c r="L36" s="8" t="s">
        <v>32</v>
      </c>
      <c r="M36" s="8">
        <v>4</v>
      </c>
      <c r="N36" s="10">
        <v>3434.83</v>
      </c>
      <c r="O36" s="11">
        <v>0.05</v>
      </c>
      <c r="P36" s="10">
        <v>13052.35</v>
      </c>
      <c r="Q36" s="10">
        <v>8541.08</v>
      </c>
      <c r="R36" s="10">
        <v>4511.2700000000004</v>
      </c>
      <c r="S36" s="8" t="s">
        <v>53</v>
      </c>
      <c r="T36" s="8" t="s">
        <v>64</v>
      </c>
      <c r="U36" s="8">
        <v>4</v>
      </c>
      <c r="V36" s="8" t="s">
        <v>72</v>
      </c>
    </row>
    <row r="37" spans="1:22" x14ac:dyDescent="0.3">
      <c r="A37" s="12" t="s">
        <v>178</v>
      </c>
      <c r="B37" s="13">
        <v>45830</v>
      </c>
      <c r="C37" s="12" t="s">
        <v>23</v>
      </c>
      <c r="D37" s="12" t="s">
        <v>24</v>
      </c>
      <c r="E37" s="12" t="s">
        <v>25</v>
      </c>
      <c r="F37" s="12" t="s">
        <v>179</v>
      </c>
      <c r="G37" s="12" t="s">
        <v>41</v>
      </c>
      <c r="H37" s="12" t="s">
        <v>42</v>
      </c>
      <c r="I37" s="12" t="s">
        <v>68</v>
      </c>
      <c r="J37" s="12" t="s">
        <v>69</v>
      </c>
      <c r="K37" s="12" t="s">
        <v>180</v>
      </c>
      <c r="L37" s="12" t="s">
        <v>52</v>
      </c>
      <c r="M37" s="12">
        <v>5</v>
      </c>
      <c r="N37" s="14">
        <v>1472.44</v>
      </c>
      <c r="O37" s="15">
        <v>0.2</v>
      </c>
      <c r="P37" s="14">
        <v>5889.76</v>
      </c>
      <c r="Q37" s="14">
        <v>4054.92</v>
      </c>
      <c r="R37" s="14">
        <v>1834.84</v>
      </c>
      <c r="S37" s="12" t="s">
        <v>83</v>
      </c>
      <c r="T37" s="12" t="s">
        <v>104</v>
      </c>
      <c r="U37" s="12">
        <v>3</v>
      </c>
      <c r="V37" s="12" t="s">
        <v>157</v>
      </c>
    </row>
    <row r="38" spans="1:22" x14ac:dyDescent="0.3">
      <c r="A38" s="8" t="s">
        <v>181</v>
      </c>
      <c r="B38" s="9">
        <v>45663</v>
      </c>
      <c r="C38" s="8" t="s">
        <v>86</v>
      </c>
      <c r="D38" s="8" t="s">
        <v>87</v>
      </c>
      <c r="E38" s="8" t="s">
        <v>59</v>
      </c>
      <c r="F38" s="8" t="s">
        <v>161</v>
      </c>
      <c r="G38" s="8" t="s">
        <v>27</v>
      </c>
      <c r="H38" s="8" t="s">
        <v>94</v>
      </c>
      <c r="I38" s="8" t="s">
        <v>61</v>
      </c>
      <c r="J38" s="8" t="s">
        <v>89</v>
      </c>
      <c r="K38" s="8" t="s">
        <v>89</v>
      </c>
      <c r="L38" s="8" t="s">
        <v>32</v>
      </c>
      <c r="M38" s="8">
        <v>4</v>
      </c>
      <c r="N38" s="10">
        <v>1350.77</v>
      </c>
      <c r="O38" s="11">
        <v>0.05</v>
      </c>
      <c r="P38" s="10">
        <v>5132.93</v>
      </c>
      <c r="Q38" s="10">
        <v>2842.45</v>
      </c>
      <c r="R38" s="10">
        <v>2290.48</v>
      </c>
      <c r="S38" s="8" t="s">
        <v>33</v>
      </c>
      <c r="T38" s="8" t="s">
        <v>78</v>
      </c>
      <c r="U38" s="8">
        <v>3</v>
      </c>
      <c r="V38" s="8" t="s">
        <v>84</v>
      </c>
    </row>
    <row r="39" spans="1:22" x14ac:dyDescent="0.3">
      <c r="A39" s="12" t="s">
        <v>182</v>
      </c>
      <c r="B39" s="13">
        <v>45763</v>
      </c>
      <c r="C39" s="12" t="s">
        <v>107</v>
      </c>
      <c r="D39" s="12" t="s">
        <v>108</v>
      </c>
      <c r="E39" s="12" t="s">
        <v>39</v>
      </c>
      <c r="F39" s="12" t="s">
        <v>183</v>
      </c>
      <c r="G39" s="12" t="s">
        <v>41</v>
      </c>
      <c r="H39" s="12" t="s">
        <v>42</v>
      </c>
      <c r="I39" s="12" t="s">
        <v>61</v>
      </c>
      <c r="J39" s="12" t="s">
        <v>69</v>
      </c>
      <c r="K39" s="12" t="s">
        <v>70</v>
      </c>
      <c r="L39" s="12" t="s">
        <v>91</v>
      </c>
      <c r="M39" s="12">
        <v>4</v>
      </c>
      <c r="N39" s="14">
        <v>881.37</v>
      </c>
      <c r="O39" s="15">
        <v>0.15</v>
      </c>
      <c r="P39" s="14">
        <v>2996.66</v>
      </c>
      <c r="Q39" s="14">
        <v>1870.69</v>
      </c>
      <c r="R39" s="14">
        <v>1125.97</v>
      </c>
      <c r="S39" s="12" t="s">
        <v>46</v>
      </c>
      <c r="T39" s="12" t="s">
        <v>34</v>
      </c>
      <c r="U39" s="12">
        <v>3</v>
      </c>
      <c r="V39" s="12" t="s">
        <v>96</v>
      </c>
    </row>
    <row r="40" spans="1:22" x14ac:dyDescent="0.3">
      <c r="A40" s="8" t="s">
        <v>184</v>
      </c>
      <c r="B40" s="9">
        <v>45760</v>
      </c>
      <c r="C40" s="8" t="s">
        <v>86</v>
      </c>
      <c r="D40" s="8" t="s">
        <v>87</v>
      </c>
      <c r="E40" s="8" t="s">
        <v>59</v>
      </c>
      <c r="F40" s="8" t="s">
        <v>185</v>
      </c>
      <c r="G40" s="8" t="s">
        <v>41</v>
      </c>
      <c r="H40" s="8" t="s">
        <v>94</v>
      </c>
      <c r="I40" s="8" t="s">
        <v>68</v>
      </c>
      <c r="J40" s="8" t="s">
        <v>69</v>
      </c>
      <c r="K40" s="8" t="s">
        <v>137</v>
      </c>
      <c r="L40" s="8" t="s">
        <v>103</v>
      </c>
      <c r="M40" s="8">
        <v>4</v>
      </c>
      <c r="N40" s="10">
        <v>521.79</v>
      </c>
      <c r="O40" s="11">
        <v>0.2</v>
      </c>
      <c r="P40" s="10">
        <v>1669.73</v>
      </c>
      <c r="Q40" s="10">
        <v>923.07</v>
      </c>
      <c r="R40" s="10">
        <v>746.66</v>
      </c>
      <c r="S40" s="8" t="s">
        <v>53</v>
      </c>
      <c r="T40" s="8" t="s">
        <v>111</v>
      </c>
      <c r="U40" s="8">
        <v>5</v>
      </c>
      <c r="V40" s="8" t="s">
        <v>96</v>
      </c>
    </row>
    <row r="41" spans="1:22" x14ac:dyDescent="0.3">
      <c r="A41" s="12" t="s">
        <v>186</v>
      </c>
      <c r="B41" s="13">
        <v>45997</v>
      </c>
      <c r="C41" s="12" t="s">
        <v>57</v>
      </c>
      <c r="D41" s="12" t="s">
        <v>58</v>
      </c>
      <c r="E41" s="12" t="s">
        <v>59</v>
      </c>
      <c r="F41" s="12" t="s">
        <v>187</v>
      </c>
      <c r="G41" s="12" t="s">
        <v>27</v>
      </c>
      <c r="H41" s="12" t="s">
        <v>42</v>
      </c>
      <c r="I41" s="12" t="s">
        <v>29</v>
      </c>
      <c r="J41" s="12" t="s">
        <v>69</v>
      </c>
      <c r="K41" s="12" t="s">
        <v>180</v>
      </c>
      <c r="L41" s="12" t="s">
        <v>32</v>
      </c>
      <c r="M41" s="12">
        <v>3</v>
      </c>
      <c r="N41" s="14">
        <v>1484.69</v>
      </c>
      <c r="O41" s="15">
        <v>0.1</v>
      </c>
      <c r="P41" s="14">
        <v>4008.66</v>
      </c>
      <c r="Q41" s="14">
        <v>2647.8</v>
      </c>
      <c r="R41" s="14">
        <v>1360.86</v>
      </c>
      <c r="S41" s="12" t="s">
        <v>83</v>
      </c>
      <c r="T41" s="12" t="s">
        <v>54</v>
      </c>
      <c r="U41" s="12">
        <v>4</v>
      </c>
      <c r="V41" s="12" t="s">
        <v>35</v>
      </c>
    </row>
    <row r="42" spans="1:22" x14ac:dyDescent="0.3">
      <c r="A42" s="8" t="s">
        <v>188</v>
      </c>
      <c r="B42" s="9">
        <v>45844</v>
      </c>
      <c r="C42" s="8" t="s">
        <v>86</v>
      </c>
      <c r="D42" s="8" t="s">
        <v>87</v>
      </c>
      <c r="E42" s="8" t="s">
        <v>59</v>
      </c>
      <c r="F42" s="8" t="s">
        <v>189</v>
      </c>
      <c r="G42" s="8" t="s">
        <v>41</v>
      </c>
      <c r="H42" s="8" t="s">
        <v>28</v>
      </c>
      <c r="I42" s="8" t="s">
        <v>61</v>
      </c>
      <c r="J42" s="8" t="s">
        <v>43</v>
      </c>
      <c r="K42" s="8" t="s">
        <v>162</v>
      </c>
      <c r="L42" s="8" t="s">
        <v>45</v>
      </c>
      <c r="M42" s="8">
        <v>2</v>
      </c>
      <c r="N42" s="10">
        <v>896.64</v>
      </c>
      <c r="O42" s="11">
        <v>0.1</v>
      </c>
      <c r="P42" s="10">
        <v>1613.95</v>
      </c>
      <c r="Q42" s="10">
        <v>823.27</v>
      </c>
      <c r="R42" s="10">
        <v>790.68</v>
      </c>
      <c r="S42" s="8" t="s">
        <v>53</v>
      </c>
      <c r="T42" s="8" t="s">
        <v>147</v>
      </c>
      <c r="U42" s="8">
        <v>4</v>
      </c>
      <c r="V42" s="8" t="s">
        <v>120</v>
      </c>
    </row>
    <row r="43" spans="1:22" x14ac:dyDescent="0.3">
      <c r="A43" s="12" t="s">
        <v>190</v>
      </c>
      <c r="B43" s="13">
        <v>45932</v>
      </c>
      <c r="C43" s="12" t="s">
        <v>131</v>
      </c>
      <c r="D43" s="12" t="s">
        <v>132</v>
      </c>
      <c r="E43" s="12" t="s">
        <v>25</v>
      </c>
      <c r="F43" s="12" t="s">
        <v>191</v>
      </c>
      <c r="G43" s="12" t="s">
        <v>27</v>
      </c>
      <c r="H43" s="12" t="s">
        <v>81</v>
      </c>
      <c r="I43" s="12" t="s">
        <v>61</v>
      </c>
      <c r="J43" s="12" t="s">
        <v>75</v>
      </c>
      <c r="K43" s="12" t="s">
        <v>95</v>
      </c>
      <c r="L43" s="12" t="s">
        <v>91</v>
      </c>
      <c r="M43" s="12">
        <v>3</v>
      </c>
      <c r="N43" s="14">
        <v>25905.23</v>
      </c>
      <c r="O43" s="15">
        <v>0.05</v>
      </c>
      <c r="P43" s="14">
        <v>73829.91</v>
      </c>
      <c r="Q43" s="14">
        <v>51533.1</v>
      </c>
      <c r="R43" s="14">
        <v>22296.81</v>
      </c>
      <c r="S43" s="12" t="s">
        <v>33</v>
      </c>
      <c r="T43" s="12" t="s">
        <v>78</v>
      </c>
      <c r="U43" s="12">
        <v>4</v>
      </c>
      <c r="V43" s="12" t="s">
        <v>123</v>
      </c>
    </row>
    <row r="44" spans="1:22" x14ac:dyDescent="0.3">
      <c r="A44" s="8" t="s">
        <v>192</v>
      </c>
      <c r="B44" s="9">
        <v>45715</v>
      </c>
      <c r="C44" s="8" t="s">
        <v>107</v>
      </c>
      <c r="D44" s="8" t="s">
        <v>108</v>
      </c>
      <c r="E44" s="8" t="s">
        <v>39</v>
      </c>
      <c r="F44" s="8" t="s">
        <v>193</v>
      </c>
      <c r="G44" s="8" t="s">
        <v>27</v>
      </c>
      <c r="H44" s="8" t="s">
        <v>28</v>
      </c>
      <c r="I44" s="8" t="s">
        <v>68</v>
      </c>
      <c r="J44" s="8" t="s">
        <v>89</v>
      </c>
      <c r="K44" s="8" t="s">
        <v>151</v>
      </c>
      <c r="L44" s="8" t="s">
        <v>103</v>
      </c>
      <c r="M44" s="8">
        <v>2</v>
      </c>
      <c r="N44" s="10">
        <v>1026.3800000000001</v>
      </c>
      <c r="O44" s="11">
        <v>0.05</v>
      </c>
      <c r="P44" s="10">
        <v>1950.12</v>
      </c>
      <c r="Q44" s="10">
        <v>1026.43</v>
      </c>
      <c r="R44" s="10">
        <v>923.69</v>
      </c>
      <c r="S44" s="8" t="s">
        <v>63</v>
      </c>
      <c r="T44" s="8" t="s">
        <v>71</v>
      </c>
      <c r="U44" s="8">
        <v>3</v>
      </c>
      <c r="V44" s="8" t="s">
        <v>105</v>
      </c>
    </row>
    <row r="45" spans="1:22" x14ac:dyDescent="0.3">
      <c r="A45" s="12" t="s">
        <v>194</v>
      </c>
      <c r="B45" s="13">
        <v>45839</v>
      </c>
      <c r="C45" s="12" t="s">
        <v>131</v>
      </c>
      <c r="D45" s="12" t="s">
        <v>132</v>
      </c>
      <c r="E45" s="12" t="s">
        <v>25</v>
      </c>
      <c r="F45" s="12" t="s">
        <v>166</v>
      </c>
      <c r="G45" s="12" t="s">
        <v>41</v>
      </c>
      <c r="H45" s="12" t="s">
        <v>28</v>
      </c>
      <c r="I45" s="12" t="s">
        <v>29</v>
      </c>
      <c r="J45" s="12" t="s">
        <v>30</v>
      </c>
      <c r="K45" s="12" t="s">
        <v>62</v>
      </c>
      <c r="L45" s="12" t="s">
        <v>82</v>
      </c>
      <c r="M45" s="12">
        <v>4</v>
      </c>
      <c r="N45" s="14">
        <v>997.15</v>
      </c>
      <c r="O45" s="15">
        <v>0.3</v>
      </c>
      <c r="P45" s="14">
        <v>2792.02</v>
      </c>
      <c r="Q45" s="14">
        <v>1831.35</v>
      </c>
      <c r="R45" s="14">
        <v>960.67</v>
      </c>
      <c r="S45" s="12" t="s">
        <v>83</v>
      </c>
      <c r="T45" s="12" t="s">
        <v>119</v>
      </c>
      <c r="U45" s="12">
        <v>4</v>
      </c>
      <c r="V45" s="12" t="s">
        <v>120</v>
      </c>
    </row>
    <row r="46" spans="1:22" x14ac:dyDescent="0.3">
      <c r="A46" s="8" t="s">
        <v>195</v>
      </c>
      <c r="B46" s="9">
        <v>45907</v>
      </c>
      <c r="C46" s="8" t="s">
        <v>37</v>
      </c>
      <c r="D46" s="8" t="s">
        <v>38</v>
      </c>
      <c r="E46" s="8" t="s">
        <v>39</v>
      </c>
      <c r="F46" s="8" t="s">
        <v>196</v>
      </c>
      <c r="G46" s="8" t="s">
        <v>27</v>
      </c>
      <c r="H46" s="8" t="s">
        <v>28</v>
      </c>
      <c r="I46" s="8" t="s">
        <v>68</v>
      </c>
      <c r="J46" s="8" t="s">
        <v>43</v>
      </c>
      <c r="K46" s="8" t="s">
        <v>44</v>
      </c>
      <c r="L46" s="8" t="s">
        <v>82</v>
      </c>
      <c r="M46" s="8">
        <v>4</v>
      </c>
      <c r="N46" s="10">
        <v>581.66999999999996</v>
      </c>
      <c r="O46" s="11">
        <v>0.25</v>
      </c>
      <c r="P46" s="10">
        <v>1745.01</v>
      </c>
      <c r="Q46" s="10">
        <v>992.37</v>
      </c>
      <c r="R46" s="10">
        <v>752.64</v>
      </c>
      <c r="S46" s="8" t="s">
        <v>83</v>
      </c>
      <c r="T46" s="8" t="s">
        <v>119</v>
      </c>
      <c r="U46" s="8">
        <v>3</v>
      </c>
      <c r="V46" s="8" t="s">
        <v>116</v>
      </c>
    </row>
    <row r="47" spans="1:22" x14ac:dyDescent="0.3">
      <c r="A47" s="12" t="s">
        <v>197</v>
      </c>
      <c r="B47" s="13">
        <v>45929</v>
      </c>
      <c r="C47" s="12" t="s">
        <v>37</v>
      </c>
      <c r="D47" s="12" t="s">
        <v>38</v>
      </c>
      <c r="E47" s="12" t="s">
        <v>39</v>
      </c>
      <c r="F47" s="12" t="s">
        <v>198</v>
      </c>
      <c r="G47" s="12" t="s">
        <v>41</v>
      </c>
      <c r="H47" s="12" t="s">
        <v>42</v>
      </c>
      <c r="I47" s="12" t="s">
        <v>29</v>
      </c>
      <c r="J47" s="12" t="s">
        <v>30</v>
      </c>
      <c r="K47" s="12" t="s">
        <v>31</v>
      </c>
      <c r="L47" s="12" t="s">
        <v>52</v>
      </c>
      <c r="M47" s="12">
        <v>4</v>
      </c>
      <c r="N47" s="14">
        <v>4054.32</v>
      </c>
      <c r="O47" s="15">
        <v>0</v>
      </c>
      <c r="P47" s="14">
        <v>16217.28</v>
      </c>
      <c r="Q47" s="14">
        <v>8850.36</v>
      </c>
      <c r="R47" s="14">
        <v>7366.92</v>
      </c>
      <c r="S47" s="12" t="s">
        <v>83</v>
      </c>
      <c r="T47" s="12" t="s">
        <v>71</v>
      </c>
      <c r="U47" s="12">
        <v>4</v>
      </c>
      <c r="V47" s="12" t="s">
        <v>116</v>
      </c>
    </row>
    <row r="48" spans="1:22" x14ac:dyDescent="0.3">
      <c r="A48" s="8" t="s">
        <v>199</v>
      </c>
      <c r="B48" s="9">
        <v>45693</v>
      </c>
      <c r="C48" s="8" t="s">
        <v>131</v>
      </c>
      <c r="D48" s="8" t="s">
        <v>132</v>
      </c>
      <c r="E48" s="8" t="s">
        <v>25</v>
      </c>
      <c r="F48" s="8" t="s">
        <v>200</v>
      </c>
      <c r="G48" s="8" t="s">
        <v>41</v>
      </c>
      <c r="H48" s="8" t="s">
        <v>28</v>
      </c>
      <c r="I48" s="8" t="s">
        <v>61</v>
      </c>
      <c r="J48" s="8" t="s">
        <v>30</v>
      </c>
      <c r="K48" s="8" t="s">
        <v>144</v>
      </c>
      <c r="L48" s="8" t="s">
        <v>77</v>
      </c>
      <c r="M48" s="8">
        <v>4</v>
      </c>
      <c r="N48" s="10">
        <v>2622.57</v>
      </c>
      <c r="O48" s="11">
        <v>0.05</v>
      </c>
      <c r="P48" s="10">
        <v>9965.77</v>
      </c>
      <c r="Q48" s="10">
        <v>6065.45</v>
      </c>
      <c r="R48" s="10">
        <v>3900.32</v>
      </c>
      <c r="S48" s="8" t="s">
        <v>33</v>
      </c>
      <c r="T48" s="8" t="s">
        <v>71</v>
      </c>
      <c r="U48" s="8">
        <v>4</v>
      </c>
      <c r="V48" s="8" t="s">
        <v>105</v>
      </c>
    </row>
    <row r="49" spans="1:22" x14ac:dyDescent="0.3">
      <c r="A49" s="12" t="s">
        <v>201</v>
      </c>
      <c r="B49" s="13">
        <v>45794</v>
      </c>
      <c r="C49" s="12" t="s">
        <v>98</v>
      </c>
      <c r="D49" s="12" t="s">
        <v>99</v>
      </c>
      <c r="E49" s="12" t="s">
        <v>25</v>
      </c>
      <c r="F49" s="12" t="s">
        <v>202</v>
      </c>
      <c r="G49" s="12" t="s">
        <v>27</v>
      </c>
      <c r="H49" s="12" t="s">
        <v>28</v>
      </c>
      <c r="I49" s="12" t="s">
        <v>61</v>
      </c>
      <c r="J49" s="12" t="s">
        <v>30</v>
      </c>
      <c r="K49" s="12" t="s">
        <v>62</v>
      </c>
      <c r="L49" s="12" t="s">
        <v>91</v>
      </c>
      <c r="M49" s="12">
        <v>3</v>
      </c>
      <c r="N49" s="14">
        <v>993.6</v>
      </c>
      <c r="O49" s="15">
        <v>0.15</v>
      </c>
      <c r="P49" s="14">
        <v>2533.6799999999998</v>
      </c>
      <c r="Q49" s="14">
        <v>1406</v>
      </c>
      <c r="R49" s="14">
        <v>1127.68</v>
      </c>
      <c r="S49" s="12" t="s">
        <v>63</v>
      </c>
      <c r="T49" s="12" t="s">
        <v>156</v>
      </c>
      <c r="U49" s="12">
        <v>4</v>
      </c>
      <c r="V49" s="12" t="s">
        <v>134</v>
      </c>
    </row>
    <row r="50" spans="1:22" x14ac:dyDescent="0.3">
      <c r="A50" s="8" t="s">
        <v>203</v>
      </c>
      <c r="B50" s="9">
        <v>45873</v>
      </c>
      <c r="C50" s="8" t="s">
        <v>57</v>
      </c>
      <c r="D50" s="8" t="s">
        <v>58</v>
      </c>
      <c r="E50" s="8" t="s">
        <v>59</v>
      </c>
      <c r="F50" s="8" t="s">
        <v>204</v>
      </c>
      <c r="G50" s="8" t="s">
        <v>27</v>
      </c>
      <c r="H50" s="8" t="s">
        <v>42</v>
      </c>
      <c r="I50" s="8" t="s">
        <v>29</v>
      </c>
      <c r="J50" s="8" t="s">
        <v>43</v>
      </c>
      <c r="K50" s="8" t="s">
        <v>162</v>
      </c>
      <c r="L50" s="8" t="s">
        <v>175</v>
      </c>
      <c r="M50" s="8">
        <v>4</v>
      </c>
      <c r="N50" s="10">
        <v>911.03</v>
      </c>
      <c r="O50" s="11">
        <v>0.2</v>
      </c>
      <c r="P50" s="10">
        <v>2915.3</v>
      </c>
      <c r="Q50" s="10">
        <v>1548.25</v>
      </c>
      <c r="R50" s="10">
        <v>1367.05</v>
      </c>
      <c r="S50" s="8" t="s">
        <v>83</v>
      </c>
      <c r="T50" s="8" t="s">
        <v>64</v>
      </c>
      <c r="U50" s="8">
        <v>5</v>
      </c>
      <c r="V50" s="8" t="s">
        <v>72</v>
      </c>
    </row>
    <row r="51" spans="1:22" x14ac:dyDescent="0.3">
      <c r="A51" s="12" t="s">
        <v>205</v>
      </c>
      <c r="B51" s="13">
        <v>46013</v>
      </c>
      <c r="C51" s="12" t="s">
        <v>48</v>
      </c>
      <c r="D51" s="12" t="s">
        <v>49</v>
      </c>
      <c r="E51" s="12" t="s">
        <v>39</v>
      </c>
      <c r="F51" s="12" t="s">
        <v>206</v>
      </c>
      <c r="G51" s="12" t="s">
        <v>41</v>
      </c>
      <c r="H51" s="12" t="s">
        <v>81</v>
      </c>
      <c r="I51" s="12" t="s">
        <v>61</v>
      </c>
      <c r="J51" s="12" t="s">
        <v>43</v>
      </c>
      <c r="K51" s="12" t="s">
        <v>44</v>
      </c>
      <c r="L51" s="12" t="s">
        <v>103</v>
      </c>
      <c r="M51" s="12">
        <v>3</v>
      </c>
      <c r="N51" s="14">
        <v>572.98</v>
      </c>
      <c r="O51" s="15">
        <v>0.1</v>
      </c>
      <c r="P51" s="14">
        <v>1547.05</v>
      </c>
      <c r="Q51" s="14">
        <v>808.82</v>
      </c>
      <c r="R51" s="14">
        <v>738.23</v>
      </c>
      <c r="S51" s="12" t="s">
        <v>53</v>
      </c>
      <c r="T51" s="12" t="s">
        <v>64</v>
      </c>
      <c r="U51" s="12">
        <v>3</v>
      </c>
      <c r="V51" s="12" t="s">
        <v>35</v>
      </c>
    </row>
    <row r="52" spans="1:22" x14ac:dyDescent="0.3">
      <c r="A52" s="8" t="s">
        <v>207</v>
      </c>
      <c r="B52" s="9">
        <v>45943</v>
      </c>
      <c r="C52" s="8" t="s">
        <v>48</v>
      </c>
      <c r="D52" s="8" t="s">
        <v>49</v>
      </c>
      <c r="E52" s="8" t="s">
        <v>39</v>
      </c>
      <c r="F52" s="8" t="s">
        <v>208</v>
      </c>
      <c r="G52" s="8" t="s">
        <v>41</v>
      </c>
      <c r="H52" s="8" t="s">
        <v>42</v>
      </c>
      <c r="I52" s="8" t="s">
        <v>68</v>
      </c>
      <c r="J52" s="8" t="s">
        <v>43</v>
      </c>
      <c r="K52" s="8" t="s">
        <v>162</v>
      </c>
      <c r="L52" s="8" t="s">
        <v>175</v>
      </c>
      <c r="M52" s="8">
        <v>3</v>
      </c>
      <c r="N52" s="10">
        <v>898.31</v>
      </c>
      <c r="O52" s="11">
        <v>0</v>
      </c>
      <c r="P52" s="10">
        <v>2694.93</v>
      </c>
      <c r="Q52" s="10">
        <v>1257.01</v>
      </c>
      <c r="R52" s="10">
        <v>1437.92</v>
      </c>
      <c r="S52" s="8" t="s">
        <v>33</v>
      </c>
      <c r="T52" s="8" t="s">
        <v>34</v>
      </c>
      <c r="U52" s="8">
        <v>3</v>
      </c>
      <c r="V52" s="8" t="s">
        <v>123</v>
      </c>
    </row>
    <row r="53" spans="1:22" x14ac:dyDescent="0.3">
      <c r="A53" s="12" t="s">
        <v>209</v>
      </c>
      <c r="B53" s="13">
        <v>45973</v>
      </c>
      <c r="C53" s="12" t="s">
        <v>23</v>
      </c>
      <c r="D53" s="12" t="s">
        <v>24</v>
      </c>
      <c r="E53" s="12" t="s">
        <v>25</v>
      </c>
      <c r="F53" s="12" t="s">
        <v>210</v>
      </c>
      <c r="G53" s="12" t="s">
        <v>27</v>
      </c>
      <c r="H53" s="12" t="s">
        <v>81</v>
      </c>
      <c r="I53" s="12" t="s">
        <v>29</v>
      </c>
      <c r="J53" s="12" t="s">
        <v>43</v>
      </c>
      <c r="K53" s="12" t="s">
        <v>51</v>
      </c>
      <c r="L53" s="12" t="s">
        <v>91</v>
      </c>
      <c r="M53" s="12">
        <v>4</v>
      </c>
      <c r="N53" s="14">
        <v>1436.36</v>
      </c>
      <c r="O53" s="15">
        <v>0.3</v>
      </c>
      <c r="P53" s="14">
        <v>4021.81</v>
      </c>
      <c r="Q53" s="14">
        <v>2870.03</v>
      </c>
      <c r="R53" s="14">
        <v>1151.78</v>
      </c>
      <c r="S53" s="12" t="s">
        <v>33</v>
      </c>
      <c r="T53" s="12" t="s">
        <v>34</v>
      </c>
      <c r="U53" s="12">
        <v>3</v>
      </c>
      <c r="V53" s="12" t="s">
        <v>65</v>
      </c>
    </row>
    <row r="54" spans="1:22" x14ac:dyDescent="0.3">
      <c r="A54" s="8" t="s">
        <v>211</v>
      </c>
      <c r="B54" s="9">
        <v>45965</v>
      </c>
      <c r="C54" s="8" t="s">
        <v>131</v>
      </c>
      <c r="D54" s="8" t="s">
        <v>132</v>
      </c>
      <c r="E54" s="8" t="s">
        <v>25</v>
      </c>
      <c r="F54" s="8" t="s">
        <v>212</v>
      </c>
      <c r="G54" s="8" t="s">
        <v>27</v>
      </c>
      <c r="H54" s="8" t="s">
        <v>28</v>
      </c>
      <c r="I54" s="8" t="s">
        <v>68</v>
      </c>
      <c r="J54" s="8" t="s">
        <v>69</v>
      </c>
      <c r="K54" s="8" t="s">
        <v>70</v>
      </c>
      <c r="L54" s="8" t="s">
        <v>82</v>
      </c>
      <c r="M54" s="8">
        <v>3</v>
      </c>
      <c r="N54" s="10">
        <v>929.21</v>
      </c>
      <c r="O54" s="11">
        <v>0.2</v>
      </c>
      <c r="P54" s="10">
        <v>2230.1</v>
      </c>
      <c r="Q54" s="10">
        <v>1338.8</v>
      </c>
      <c r="R54" s="10">
        <v>891.3</v>
      </c>
      <c r="S54" s="8" t="s">
        <v>33</v>
      </c>
      <c r="T54" s="8" t="s">
        <v>104</v>
      </c>
      <c r="U54" s="8">
        <v>5</v>
      </c>
      <c r="V54" s="8" t="s">
        <v>65</v>
      </c>
    </row>
    <row r="55" spans="1:22" x14ac:dyDescent="0.3">
      <c r="A55" s="12" t="s">
        <v>213</v>
      </c>
      <c r="B55" s="13">
        <v>45872</v>
      </c>
      <c r="C55" s="12" t="s">
        <v>57</v>
      </c>
      <c r="D55" s="12" t="s">
        <v>58</v>
      </c>
      <c r="E55" s="12" t="s">
        <v>59</v>
      </c>
      <c r="F55" s="12" t="s">
        <v>214</v>
      </c>
      <c r="G55" s="12" t="s">
        <v>41</v>
      </c>
      <c r="H55" s="12" t="s">
        <v>81</v>
      </c>
      <c r="I55" s="12" t="s">
        <v>68</v>
      </c>
      <c r="J55" s="12" t="s">
        <v>101</v>
      </c>
      <c r="K55" s="12" t="s">
        <v>102</v>
      </c>
      <c r="L55" s="12" t="s">
        <v>82</v>
      </c>
      <c r="M55" s="12">
        <v>1</v>
      </c>
      <c r="N55" s="14">
        <v>718.1</v>
      </c>
      <c r="O55" s="15">
        <v>0.3</v>
      </c>
      <c r="P55" s="14">
        <v>502.67</v>
      </c>
      <c r="Q55" s="14">
        <v>255.68</v>
      </c>
      <c r="R55" s="14">
        <v>246.99</v>
      </c>
      <c r="S55" s="12" t="s">
        <v>33</v>
      </c>
      <c r="T55" s="12" t="s">
        <v>71</v>
      </c>
      <c r="U55" s="12">
        <v>3</v>
      </c>
      <c r="V55" s="12" t="s">
        <v>72</v>
      </c>
    </row>
    <row r="56" spans="1:22" x14ac:dyDescent="0.3">
      <c r="A56" s="8" t="s">
        <v>215</v>
      </c>
      <c r="B56" s="9">
        <v>45692</v>
      </c>
      <c r="C56" s="8" t="s">
        <v>57</v>
      </c>
      <c r="D56" s="8" t="s">
        <v>58</v>
      </c>
      <c r="E56" s="8" t="s">
        <v>59</v>
      </c>
      <c r="F56" s="8" t="s">
        <v>216</v>
      </c>
      <c r="G56" s="8" t="s">
        <v>41</v>
      </c>
      <c r="H56" s="8" t="s">
        <v>81</v>
      </c>
      <c r="I56" s="8" t="s">
        <v>61</v>
      </c>
      <c r="J56" s="8" t="s">
        <v>101</v>
      </c>
      <c r="K56" s="8" t="s">
        <v>217</v>
      </c>
      <c r="L56" s="8" t="s">
        <v>45</v>
      </c>
      <c r="M56" s="8">
        <v>1</v>
      </c>
      <c r="N56" s="10">
        <v>2968.99</v>
      </c>
      <c r="O56" s="11">
        <v>0.2</v>
      </c>
      <c r="P56" s="10">
        <v>2375.19</v>
      </c>
      <c r="Q56" s="10">
        <v>1676.62</v>
      </c>
      <c r="R56" s="10">
        <v>698.57</v>
      </c>
      <c r="S56" s="8" t="s">
        <v>83</v>
      </c>
      <c r="T56" s="8" t="s">
        <v>119</v>
      </c>
      <c r="U56" s="8">
        <v>5</v>
      </c>
      <c r="V56" s="8" t="s">
        <v>105</v>
      </c>
    </row>
    <row r="57" spans="1:22" x14ac:dyDescent="0.3">
      <c r="A57" s="12" t="s">
        <v>218</v>
      </c>
      <c r="B57" s="13">
        <v>45785</v>
      </c>
      <c r="C57" s="12" t="s">
        <v>113</v>
      </c>
      <c r="D57" s="12" t="s">
        <v>114</v>
      </c>
      <c r="E57" s="12" t="s">
        <v>59</v>
      </c>
      <c r="F57" s="12" t="s">
        <v>219</v>
      </c>
      <c r="G57" s="12" t="s">
        <v>27</v>
      </c>
      <c r="H57" s="12" t="s">
        <v>28</v>
      </c>
      <c r="I57" s="12" t="s">
        <v>29</v>
      </c>
      <c r="J57" s="12" t="s">
        <v>89</v>
      </c>
      <c r="K57" s="12" t="s">
        <v>90</v>
      </c>
      <c r="L57" s="12" t="s">
        <v>77</v>
      </c>
      <c r="M57" s="12">
        <v>3</v>
      </c>
      <c r="N57" s="14">
        <v>3609.91</v>
      </c>
      <c r="O57" s="15">
        <v>0</v>
      </c>
      <c r="P57" s="14">
        <v>10829.73</v>
      </c>
      <c r="Q57" s="14">
        <v>6422.39</v>
      </c>
      <c r="R57" s="14">
        <v>4407.34</v>
      </c>
      <c r="S57" s="12" t="s">
        <v>63</v>
      </c>
      <c r="T57" s="12" t="s">
        <v>119</v>
      </c>
      <c r="U57" s="12">
        <v>5</v>
      </c>
      <c r="V57" s="12" t="s">
        <v>134</v>
      </c>
    </row>
    <row r="58" spans="1:22" x14ac:dyDescent="0.3">
      <c r="A58" s="8" t="s">
        <v>220</v>
      </c>
      <c r="B58" s="9">
        <v>45958</v>
      </c>
      <c r="C58" s="8" t="s">
        <v>23</v>
      </c>
      <c r="D58" s="8" t="s">
        <v>24</v>
      </c>
      <c r="E58" s="8" t="s">
        <v>25</v>
      </c>
      <c r="F58" s="8" t="s">
        <v>221</v>
      </c>
      <c r="G58" s="8" t="s">
        <v>27</v>
      </c>
      <c r="H58" s="8" t="s">
        <v>28</v>
      </c>
      <c r="I58" s="8" t="s">
        <v>29</v>
      </c>
      <c r="J58" s="8" t="s">
        <v>89</v>
      </c>
      <c r="K58" s="8" t="s">
        <v>89</v>
      </c>
      <c r="L58" s="8" t="s">
        <v>82</v>
      </c>
      <c r="M58" s="8">
        <v>2</v>
      </c>
      <c r="N58" s="10">
        <v>1235.3900000000001</v>
      </c>
      <c r="O58" s="11">
        <v>0.15</v>
      </c>
      <c r="P58" s="10">
        <v>2100.16</v>
      </c>
      <c r="Q58" s="10">
        <v>1334.92</v>
      </c>
      <c r="R58" s="10">
        <v>765.24</v>
      </c>
      <c r="S58" s="8" t="s">
        <v>33</v>
      </c>
      <c r="T58" s="8" t="s">
        <v>78</v>
      </c>
      <c r="U58" s="8">
        <v>4</v>
      </c>
      <c r="V58" s="8" t="s">
        <v>123</v>
      </c>
    </row>
    <row r="59" spans="1:22" x14ac:dyDescent="0.3">
      <c r="A59" s="12" t="s">
        <v>222</v>
      </c>
      <c r="B59" s="13">
        <v>45928</v>
      </c>
      <c r="C59" s="12" t="s">
        <v>23</v>
      </c>
      <c r="D59" s="12" t="s">
        <v>24</v>
      </c>
      <c r="E59" s="12" t="s">
        <v>25</v>
      </c>
      <c r="F59" s="12" t="s">
        <v>223</v>
      </c>
      <c r="G59" s="12" t="s">
        <v>27</v>
      </c>
      <c r="H59" s="12" t="s">
        <v>42</v>
      </c>
      <c r="I59" s="12" t="s">
        <v>61</v>
      </c>
      <c r="J59" s="12" t="s">
        <v>30</v>
      </c>
      <c r="K59" s="12" t="s">
        <v>144</v>
      </c>
      <c r="L59" s="12" t="s">
        <v>91</v>
      </c>
      <c r="M59" s="12">
        <v>5</v>
      </c>
      <c r="N59" s="14">
        <v>2408.6999999999998</v>
      </c>
      <c r="O59" s="15">
        <v>0.15</v>
      </c>
      <c r="P59" s="14">
        <v>10236.98</v>
      </c>
      <c r="Q59" s="14">
        <v>7595.37</v>
      </c>
      <c r="R59" s="14">
        <v>2641.61</v>
      </c>
      <c r="S59" s="12" t="s">
        <v>53</v>
      </c>
      <c r="T59" s="12" t="s">
        <v>147</v>
      </c>
      <c r="U59" s="12">
        <v>3</v>
      </c>
      <c r="V59" s="12" t="s">
        <v>116</v>
      </c>
    </row>
    <row r="60" spans="1:22" x14ac:dyDescent="0.3">
      <c r="A60" s="8" t="s">
        <v>224</v>
      </c>
      <c r="B60" s="9">
        <v>45724</v>
      </c>
      <c r="C60" s="8" t="s">
        <v>98</v>
      </c>
      <c r="D60" s="8" t="s">
        <v>99</v>
      </c>
      <c r="E60" s="8" t="s">
        <v>25</v>
      </c>
      <c r="F60" s="8" t="s">
        <v>225</v>
      </c>
      <c r="G60" s="8" t="s">
        <v>27</v>
      </c>
      <c r="H60" s="8" t="s">
        <v>81</v>
      </c>
      <c r="I60" s="8" t="s">
        <v>68</v>
      </c>
      <c r="J60" s="8" t="s">
        <v>69</v>
      </c>
      <c r="K60" s="8" t="s">
        <v>137</v>
      </c>
      <c r="L60" s="8" t="s">
        <v>82</v>
      </c>
      <c r="M60" s="8">
        <v>1</v>
      </c>
      <c r="N60" s="10">
        <v>484.99</v>
      </c>
      <c r="O60" s="11">
        <v>0.15</v>
      </c>
      <c r="P60" s="10">
        <v>412.24</v>
      </c>
      <c r="Q60" s="10">
        <v>228.33</v>
      </c>
      <c r="R60" s="10">
        <v>183.91</v>
      </c>
      <c r="S60" s="8" t="s">
        <v>46</v>
      </c>
      <c r="T60" s="8" t="s">
        <v>34</v>
      </c>
      <c r="U60" s="8">
        <v>5</v>
      </c>
      <c r="V60" s="8" t="s">
        <v>55</v>
      </c>
    </row>
    <row r="61" spans="1:22" x14ac:dyDescent="0.3">
      <c r="A61" s="12" t="s">
        <v>226</v>
      </c>
      <c r="B61" s="13">
        <v>45736</v>
      </c>
      <c r="C61" s="12" t="s">
        <v>98</v>
      </c>
      <c r="D61" s="12" t="s">
        <v>99</v>
      </c>
      <c r="E61" s="12" t="s">
        <v>25</v>
      </c>
      <c r="F61" s="12" t="s">
        <v>227</v>
      </c>
      <c r="G61" s="12" t="s">
        <v>41</v>
      </c>
      <c r="H61" s="12" t="s">
        <v>28</v>
      </c>
      <c r="I61" s="12" t="s">
        <v>68</v>
      </c>
      <c r="J61" s="12" t="s">
        <v>89</v>
      </c>
      <c r="K61" s="12" t="s">
        <v>151</v>
      </c>
      <c r="L61" s="12" t="s">
        <v>103</v>
      </c>
      <c r="M61" s="12">
        <v>5</v>
      </c>
      <c r="N61" s="14">
        <v>1042.92</v>
      </c>
      <c r="O61" s="15">
        <v>0.1</v>
      </c>
      <c r="P61" s="14">
        <v>4693.1400000000003</v>
      </c>
      <c r="Q61" s="14">
        <v>2469.5700000000002</v>
      </c>
      <c r="R61" s="14">
        <v>2223.5700000000002</v>
      </c>
      <c r="S61" s="12" t="s">
        <v>46</v>
      </c>
      <c r="T61" s="12" t="s">
        <v>71</v>
      </c>
      <c r="U61" s="12">
        <v>5</v>
      </c>
      <c r="V61" s="12" t="s">
        <v>55</v>
      </c>
    </row>
    <row r="62" spans="1:22" x14ac:dyDescent="0.3">
      <c r="A62" s="8" t="s">
        <v>228</v>
      </c>
      <c r="B62" s="9">
        <v>46017</v>
      </c>
      <c r="C62" s="8" t="s">
        <v>23</v>
      </c>
      <c r="D62" s="8" t="s">
        <v>24</v>
      </c>
      <c r="E62" s="8" t="s">
        <v>25</v>
      </c>
      <c r="F62" s="8" t="s">
        <v>229</v>
      </c>
      <c r="G62" s="8" t="s">
        <v>41</v>
      </c>
      <c r="H62" s="8" t="s">
        <v>94</v>
      </c>
      <c r="I62" s="8" t="s">
        <v>61</v>
      </c>
      <c r="J62" s="8" t="s">
        <v>43</v>
      </c>
      <c r="K62" s="8" t="s">
        <v>44</v>
      </c>
      <c r="L62" s="8" t="s">
        <v>175</v>
      </c>
      <c r="M62" s="8">
        <v>1</v>
      </c>
      <c r="N62" s="10">
        <v>607.25</v>
      </c>
      <c r="O62" s="11">
        <v>0</v>
      </c>
      <c r="P62" s="10">
        <v>607.25</v>
      </c>
      <c r="Q62" s="10">
        <v>261.81</v>
      </c>
      <c r="R62" s="10">
        <v>345.44</v>
      </c>
      <c r="S62" s="8" t="s">
        <v>46</v>
      </c>
      <c r="T62" s="8" t="s">
        <v>64</v>
      </c>
      <c r="U62" s="8">
        <v>4</v>
      </c>
      <c r="V62" s="8" t="s">
        <v>35</v>
      </c>
    </row>
    <row r="63" spans="1:22" x14ac:dyDescent="0.3">
      <c r="A63" s="12" t="s">
        <v>230</v>
      </c>
      <c r="B63" s="13">
        <v>45837</v>
      </c>
      <c r="C63" s="12" t="s">
        <v>23</v>
      </c>
      <c r="D63" s="12" t="s">
        <v>24</v>
      </c>
      <c r="E63" s="12" t="s">
        <v>25</v>
      </c>
      <c r="F63" s="12" t="s">
        <v>231</v>
      </c>
      <c r="G63" s="12" t="s">
        <v>41</v>
      </c>
      <c r="H63" s="12" t="s">
        <v>42</v>
      </c>
      <c r="I63" s="12" t="s">
        <v>61</v>
      </c>
      <c r="J63" s="12" t="s">
        <v>101</v>
      </c>
      <c r="K63" s="12" t="s">
        <v>102</v>
      </c>
      <c r="L63" s="12" t="s">
        <v>175</v>
      </c>
      <c r="M63" s="12">
        <v>4</v>
      </c>
      <c r="N63" s="14">
        <v>664.38</v>
      </c>
      <c r="O63" s="15">
        <v>0.05</v>
      </c>
      <c r="P63" s="14">
        <v>2524.64</v>
      </c>
      <c r="Q63" s="14">
        <v>1022.98</v>
      </c>
      <c r="R63" s="14">
        <v>1501.66</v>
      </c>
      <c r="S63" s="12" t="s">
        <v>33</v>
      </c>
      <c r="T63" s="12" t="s">
        <v>54</v>
      </c>
      <c r="U63" s="12">
        <v>3</v>
      </c>
      <c r="V63" s="12" t="s">
        <v>157</v>
      </c>
    </row>
    <row r="64" spans="1:22" x14ac:dyDescent="0.3">
      <c r="A64" s="8" t="s">
        <v>232</v>
      </c>
      <c r="B64" s="9">
        <v>45799</v>
      </c>
      <c r="C64" s="8" t="s">
        <v>86</v>
      </c>
      <c r="D64" s="8" t="s">
        <v>87</v>
      </c>
      <c r="E64" s="8" t="s">
        <v>59</v>
      </c>
      <c r="F64" s="8" t="s">
        <v>233</v>
      </c>
      <c r="G64" s="8" t="s">
        <v>41</v>
      </c>
      <c r="H64" s="8" t="s">
        <v>94</v>
      </c>
      <c r="I64" s="8" t="s">
        <v>68</v>
      </c>
      <c r="J64" s="8" t="s">
        <v>101</v>
      </c>
      <c r="K64" s="8" t="s">
        <v>217</v>
      </c>
      <c r="L64" s="8" t="s">
        <v>82</v>
      </c>
      <c r="M64" s="8">
        <v>3</v>
      </c>
      <c r="N64" s="10">
        <v>2894.84</v>
      </c>
      <c r="O64" s="11">
        <v>0</v>
      </c>
      <c r="P64" s="10">
        <v>8684.52</v>
      </c>
      <c r="Q64" s="10">
        <v>5201.91</v>
      </c>
      <c r="R64" s="10">
        <v>3482.61</v>
      </c>
      <c r="S64" s="8" t="s">
        <v>63</v>
      </c>
      <c r="T64" s="8" t="s">
        <v>156</v>
      </c>
      <c r="U64" s="8">
        <v>5</v>
      </c>
      <c r="V64" s="8" t="s">
        <v>134</v>
      </c>
    </row>
    <row r="65" spans="1:22" x14ac:dyDescent="0.3">
      <c r="A65" s="12" t="s">
        <v>234</v>
      </c>
      <c r="B65" s="13">
        <v>45858</v>
      </c>
      <c r="C65" s="12" t="s">
        <v>113</v>
      </c>
      <c r="D65" s="12" t="s">
        <v>114</v>
      </c>
      <c r="E65" s="12" t="s">
        <v>59</v>
      </c>
      <c r="F65" s="12" t="s">
        <v>235</v>
      </c>
      <c r="G65" s="12" t="s">
        <v>41</v>
      </c>
      <c r="H65" s="12" t="s">
        <v>94</v>
      </c>
      <c r="I65" s="12" t="s">
        <v>61</v>
      </c>
      <c r="J65" s="12" t="s">
        <v>69</v>
      </c>
      <c r="K65" s="12" t="s">
        <v>137</v>
      </c>
      <c r="L65" s="12" t="s">
        <v>91</v>
      </c>
      <c r="M65" s="12">
        <v>3</v>
      </c>
      <c r="N65" s="14">
        <v>499.3</v>
      </c>
      <c r="O65" s="15">
        <v>0</v>
      </c>
      <c r="P65" s="14">
        <v>1497.9</v>
      </c>
      <c r="Q65" s="14">
        <v>632.55999999999995</v>
      </c>
      <c r="R65" s="14">
        <v>865.34</v>
      </c>
      <c r="S65" s="12" t="s">
        <v>53</v>
      </c>
      <c r="T65" s="12" t="s">
        <v>156</v>
      </c>
      <c r="U65" s="12">
        <v>3</v>
      </c>
      <c r="V65" s="12" t="s">
        <v>120</v>
      </c>
    </row>
    <row r="66" spans="1:22" x14ac:dyDescent="0.3">
      <c r="A66" s="8" t="s">
        <v>236</v>
      </c>
      <c r="B66" s="9">
        <v>45866</v>
      </c>
      <c r="C66" s="8" t="s">
        <v>98</v>
      </c>
      <c r="D66" s="8" t="s">
        <v>99</v>
      </c>
      <c r="E66" s="8" t="s">
        <v>25</v>
      </c>
      <c r="F66" s="8" t="s">
        <v>237</v>
      </c>
      <c r="G66" s="8" t="s">
        <v>41</v>
      </c>
      <c r="H66" s="8" t="s">
        <v>94</v>
      </c>
      <c r="I66" s="8" t="s">
        <v>61</v>
      </c>
      <c r="J66" s="8" t="s">
        <v>89</v>
      </c>
      <c r="K66" s="8" t="s">
        <v>89</v>
      </c>
      <c r="L66" s="8" t="s">
        <v>91</v>
      </c>
      <c r="M66" s="8">
        <v>4</v>
      </c>
      <c r="N66" s="10">
        <v>1327.59</v>
      </c>
      <c r="O66" s="11">
        <v>0.15</v>
      </c>
      <c r="P66" s="10">
        <v>4513.8100000000004</v>
      </c>
      <c r="Q66" s="10">
        <v>2917.2</v>
      </c>
      <c r="R66" s="10">
        <v>1596.61</v>
      </c>
      <c r="S66" s="8" t="s">
        <v>33</v>
      </c>
      <c r="T66" s="8" t="s">
        <v>64</v>
      </c>
      <c r="U66" s="8">
        <v>3</v>
      </c>
      <c r="V66" s="8" t="s">
        <v>120</v>
      </c>
    </row>
    <row r="67" spans="1:22" x14ac:dyDescent="0.3">
      <c r="A67" s="12" t="s">
        <v>238</v>
      </c>
      <c r="B67" s="13">
        <v>45704</v>
      </c>
      <c r="C67" s="12" t="s">
        <v>86</v>
      </c>
      <c r="D67" s="12" t="s">
        <v>87</v>
      </c>
      <c r="E67" s="12" t="s">
        <v>59</v>
      </c>
      <c r="F67" s="12" t="s">
        <v>239</v>
      </c>
      <c r="G67" s="12" t="s">
        <v>41</v>
      </c>
      <c r="H67" s="12" t="s">
        <v>42</v>
      </c>
      <c r="I67" s="12" t="s">
        <v>61</v>
      </c>
      <c r="J67" s="12" t="s">
        <v>101</v>
      </c>
      <c r="K67" s="12" t="s">
        <v>217</v>
      </c>
      <c r="L67" s="12" t="s">
        <v>77</v>
      </c>
      <c r="M67" s="12">
        <v>5</v>
      </c>
      <c r="N67" s="14">
        <v>2986.9</v>
      </c>
      <c r="O67" s="15">
        <v>0.2</v>
      </c>
      <c r="P67" s="14">
        <v>11947.6</v>
      </c>
      <c r="Q67" s="14">
        <v>8636.51</v>
      </c>
      <c r="R67" s="14">
        <v>3311.09</v>
      </c>
      <c r="S67" s="12" t="s">
        <v>46</v>
      </c>
      <c r="T67" s="12" t="s">
        <v>78</v>
      </c>
      <c r="U67" s="12">
        <v>4</v>
      </c>
      <c r="V67" s="12" t="s">
        <v>105</v>
      </c>
    </row>
    <row r="68" spans="1:22" x14ac:dyDescent="0.3">
      <c r="A68" s="8" t="s">
        <v>240</v>
      </c>
      <c r="B68" s="9">
        <v>45801</v>
      </c>
      <c r="C68" s="8" t="s">
        <v>107</v>
      </c>
      <c r="D68" s="8" t="s">
        <v>108</v>
      </c>
      <c r="E68" s="8" t="s">
        <v>39</v>
      </c>
      <c r="F68" s="8" t="s">
        <v>241</v>
      </c>
      <c r="G68" s="8" t="s">
        <v>41</v>
      </c>
      <c r="H68" s="8" t="s">
        <v>94</v>
      </c>
      <c r="I68" s="8" t="s">
        <v>68</v>
      </c>
      <c r="J68" s="8" t="s">
        <v>75</v>
      </c>
      <c r="K68" s="8" t="s">
        <v>95</v>
      </c>
      <c r="L68" s="8" t="s">
        <v>175</v>
      </c>
      <c r="M68" s="8">
        <v>4</v>
      </c>
      <c r="N68" s="10">
        <v>23856.59</v>
      </c>
      <c r="O68" s="11">
        <v>0.1</v>
      </c>
      <c r="P68" s="10">
        <v>85883.72</v>
      </c>
      <c r="Q68" s="10">
        <v>71000.13</v>
      </c>
      <c r="R68" s="10">
        <v>14883.59</v>
      </c>
      <c r="S68" s="8" t="s">
        <v>33</v>
      </c>
      <c r="T68" s="8" t="s">
        <v>64</v>
      </c>
      <c r="U68" s="8">
        <v>3</v>
      </c>
      <c r="V68" s="8" t="s">
        <v>134</v>
      </c>
    </row>
    <row r="69" spans="1:22" x14ac:dyDescent="0.3">
      <c r="A69" s="12" t="s">
        <v>242</v>
      </c>
      <c r="B69" s="13">
        <v>45903</v>
      </c>
      <c r="C69" s="12" t="s">
        <v>125</v>
      </c>
      <c r="D69" s="12" t="s">
        <v>126</v>
      </c>
      <c r="E69" s="12" t="s">
        <v>25</v>
      </c>
      <c r="F69" s="12" t="s">
        <v>243</v>
      </c>
      <c r="G69" s="12" t="s">
        <v>41</v>
      </c>
      <c r="H69" s="12" t="s">
        <v>42</v>
      </c>
      <c r="I69" s="12" t="s">
        <v>68</v>
      </c>
      <c r="J69" s="12" t="s">
        <v>101</v>
      </c>
      <c r="K69" s="12" t="s">
        <v>217</v>
      </c>
      <c r="L69" s="12" t="s">
        <v>103</v>
      </c>
      <c r="M69" s="12">
        <v>1</v>
      </c>
      <c r="N69" s="14">
        <v>2894.33</v>
      </c>
      <c r="O69" s="15">
        <v>0.3</v>
      </c>
      <c r="P69" s="14">
        <v>2026.03</v>
      </c>
      <c r="Q69" s="14">
        <v>1684.03</v>
      </c>
      <c r="R69" s="14">
        <v>342</v>
      </c>
      <c r="S69" s="12" t="s">
        <v>83</v>
      </c>
      <c r="T69" s="12" t="s">
        <v>104</v>
      </c>
      <c r="U69" s="12">
        <v>4</v>
      </c>
      <c r="V69" s="12" t="s">
        <v>116</v>
      </c>
    </row>
    <row r="70" spans="1:22" x14ac:dyDescent="0.3">
      <c r="A70" s="8" t="s">
        <v>244</v>
      </c>
      <c r="B70" s="9">
        <v>45738</v>
      </c>
      <c r="C70" s="8" t="s">
        <v>37</v>
      </c>
      <c r="D70" s="8" t="s">
        <v>38</v>
      </c>
      <c r="E70" s="8" t="s">
        <v>39</v>
      </c>
      <c r="F70" s="8" t="s">
        <v>245</v>
      </c>
      <c r="G70" s="8" t="s">
        <v>41</v>
      </c>
      <c r="H70" s="8" t="s">
        <v>42</v>
      </c>
      <c r="I70" s="8" t="s">
        <v>61</v>
      </c>
      <c r="J70" s="8" t="s">
        <v>30</v>
      </c>
      <c r="K70" s="8" t="s">
        <v>31</v>
      </c>
      <c r="L70" s="8" t="s">
        <v>77</v>
      </c>
      <c r="M70" s="8">
        <v>5</v>
      </c>
      <c r="N70" s="10">
        <v>4171.3500000000004</v>
      </c>
      <c r="O70" s="11">
        <v>0.15</v>
      </c>
      <c r="P70" s="10">
        <v>17728.240000000002</v>
      </c>
      <c r="Q70" s="10">
        <v>10839.73</v>
      </c>
      <c r="R70" s="10">
        <v>6888.51</v>
      </c>
      <c r="S70" s="8" t="s">
        <v>53</v>
      </c>
      <c r="T70" s="8" t="s">
        <v>147</v>
      </c>
      <c r="U70" s="8">
        <v>5</v>
      </c>
      <c r="V70" s="8" t="s">
        <v>55</v>
      </c>
    </row>
    <row r="71" spans="1:22" x14ac:dyDescent="0.3">
      <c r="A71" s="12" t="s">
        <v>246</v>
      </c>
      <c r="B71" s="13">
        <v>45893</v>
      </c>
      <c r="C71" s="12" t="s">
        <v>23</v>
      </c>
      <c r="D71" s="12" t="s">
        <v>24</v>
      </c>
      <c r="E71" s="12" t="s">
        <v>25</v>
      </c>
      <c r="F71" s="12" t="s">
        <v>247</v>
      </c>
      <c r="G71" s="12" t="s">
        <v>41</v>
      </c>
      <c r="H71" s="12" t="s">
        <v>94</v>
      </c>
      <c r="I71" s="12" t="s">
        <v>68</v>
      </c>
      <c r="J71" s="12" t="s">
        <v>101</v>
      </c>
      <c r="K71" s="12" t="s">
        <v>102</v>
      </c>
      <c r="L71" s="12" t="s">
        <v>175</v>
      </c>
      <c r="M71" s="12">
        <v>4</v>
      </c>
      <c r="N71" s="14">
        <v>668.2</v>
      </c>
      <c r="O71" s="15">
        <v>0.05</v>
      </c>
      <c r="P71" s="14">
        <v>2539.16</v>
      </c>
      <c r="Q71" s="14">
        <v>1015.85</v>
      </c>
      <c r="R71" s="14">
        <v>1523.31</v>
      </c>
      <c r="S71" s="12" t="s">
        <v>83</v>
      </c>
      <c r="T71" s="12" t="s">
        <v>156</v>
      </c>
      <c r="U71" s="12">
        <v>5</v>
      </c>
      <c r="V71" s="12" t="s">
        <v>72</v>
      </c>
    </row>
    <row r="72" spans="1:22" x14ac:dyDescent="0.3">
      <c r="A72" s="8" t="s">
        <v>248</v>
      </c>
      <c r="B72" s="9">
        <v>45798</v>
      </c>
      <c r="C72" s="8" t="s">
        <v>107</v>
      </c>
      <c r="D72" s="8" t="s">
        <v>108</v>
      </c>
      <c r="E72" s="8" t="s">
        <v>39</v>
      </c>
      <c r="F72" s="8" t="s">
        <v>249</v>
      </c>
      <c r="G72" s="8" t="s">
        <v>27</v>
      </c>
      <c r="H72" s="8" t="s">
        <v>81</v>
      </c>
      <c r="I72" s="8" t="s">
        <v>61</v>
      </c>
      <c r="J72" s="8" t="s">
        <v>101</v>
      </c>
      <c r="K72" s="8" t="s">
        <v>110</v>
      </c>
      <c r="L72" s="8" t="s">
        <v>175</v>
      </c>
      <c r="M72" s="8">
        <v>5</v>
      </c>
      <c r="N72" s="10">
        <v>4892.21</v>
      </c>
      <c r="O72" s="11">
        <v>0.1</v>
      </c>
      <c r="P72" s="10">
        <v>22014.94</v>
      </c>
      <c r="Q72" s="10">
        <v>15744.83</v>
      </c>
      <c r="R72" s="10">
        <v>6270.11</v>
      </c>
      <c r="S72" s="8" t="s">
        <v>83</v>
      </c>
      <c r="T72" s="8" t="s">
        <v>78</v>
      </c>
      <c r="U72" s="8">
        <v>3</v>
      </c>
      <c r="V72" s="8" t="s">
        <v>134</v>
      </c>
    </row>
    <row r="73" spans="1:22" x14ac:dyDescent="0.3">
      <c r="A73" s="12" t="s">
        <v>250</v>
      </c>
      <c r="B73" s="13">
        <v>45797</v>
      </c>
      <c r="C73" s="12" t="s">
        <v>37</v>
      </c>
      <c r="D73" s="12" t="s">
        <v>38</v>
      </c>
      <c r="E73" s="12" t="s">
        <v>39</v>
      </c>
      <c r="F73" s="12" t="s">
        <v>251</v>
      </c>
      <c r="G73" s="12" t="s">
        <v>41</v>
      </c>
      <c r="H73" s="12" t="s">
        <v>81</v>
      </c>
      <c r="I73" s="12" t="s">
        <v>61</v>
      </c>
      <c r="J73" s="12" t="s">
        <v>75</v>
      </c>
      <c r="K73" s="12" t="s">
        <v>154</v>
      </c>
      <c r="L73" s="12" t="s">
        <v>82</v>
      </c>
      <c r="M73" s="12">
        <v>4</v>
      </c>
      <c r="N73" s="14">
        <v>1944.27</v>
      </c>
      <c r="O73" s="15">
        <v>0.3</v>
      </c>
      <c r="P73" s="14">
        <v>5443.96</v>
      </c>
      <c r="Q73" s="14">
        <v>4407.8599999999997</v>
      </c>
      <c r="R73" s="14">
        <v>1036.0999999999999</v>
      </c>
      <c r="S73" s="12" t="s">
        <v>63</v>
      </c>
      <c r="T73" s="12" t="s">
        <v>78</v>
      </c>
      <c r="U73" s="12">
        <v>5</v>
      </c>
      <c r="V73" s="12" t="s">
        <v>134</v>
      </c>
    </row>
    <row r="74" spans="1:22" x14ac:dyDescent="0.3">
      <c r="A74" s="8" t="s">
        <v>252</v>
      </c>
      <c r="B74" s="9">
        <v>45864</v>
      </c>
      <c r="C74" s="8" t="s">
        <v>57</v>
      </c>
      <c r="D74" s="8" t="s">
        <v>58</v>
      </c>
      <c r="E74" s="8" t="s">
        <v>59</v>
      </c>
      <c r="F74" s="8" t="s">
        <v>253</v>
      </c>
      <c r="G74" s="8" t="s">
        <v>27</v>
      </c>
      <c r="H74" s="8" t="s">
        <v>94</v>
      </c>
      <c r="I74" s="8" t="s">
        <v>61</v>
      </c>
      <c r="J74" s="8" t="s">
        <v>69</v>
      </c>
      <c r="K74" s="8" t="s">
        <v>137</v>
      </c>
      <c r="L74" s="8" t="s">
        <v>45</v>
      </c>
      <c r="M74" s="8">
        <v>4</v>
      </c>
      <c r="N74" s="10">
        <v>521.74</v>
      </c>
      <c r="O74" s="11">
        <v>0.05</v>
      </c>
      <c r="P74" s="10">
        <v>1982.61</v>
      </c>
      <c r="Q74" s="10">
        <v>879.23</v>
      </c>
      <c r="R74" s="10">
        <v>1103.3800000000001</v>
      </c>
      <c r="S74" s="8" t="s">
        <v>63</v>
      </c>
      <c r="T74" s="8" t="s">
        <v>147</v>
      </c>
      <c r="U74" s="8">
        <v>5</v>
      </c>
      <c r="V74" s="8" t="s">
        <v>120</v>
      </c>
    </row>
    <row r="75" spans="1:22" x14ac:dyDescent="0.3">
      <c r="A75" s="12" t="s">
        <v>254</v>
      </c>
      <c r="B75" s="13">
        <v>45804</v>
      </c>
      <c r="C75" s="12" t="s">
        <v>57</v>
      </c>
      <c r="D75" s="12" t="s">
        <v>58</v>
      </c>
      <c r="E75" s="12" t="s">
        <v>59</v>
      </c>
      <c r="F75" s="12" t="s">
        <v>255</v>
      </c>
      <c r="G75" s="12" t="s">
        <v>41</v>
      </c>
      <c r="H75" s="12" t="s">
        <v>28</v>
      </c>
      <c r="I75" s="12" t="s">
        <v>68</v>
      </c>
      <c r="J75" s="12" t="s">
        <v>69</v>
      </c>
      <c r="K75" s="12" t="s">
        <v>70</v>
      </c>
      <c r="L75" s="12" t="s">
        <v>91</v>
      </c>
      <c r="M75" s="12">
        <v>1</v>
      </c>
      <c r="N75" s="14">
        <v>937.53</v>
      </c>
      <c r="O75" s="15">
        <v>0.05</v>
      </c>
      <c r="P75" s="14">
        <v>890.65</v>
      </c>
      <c r="Q75" s="14">
        <v>461.2</v>
      </c>
      <c r="R75" s="14">
        <v>429.45</v>
      </c>
      <c r="S75" s="12" t="s">
        <v>33</v>
      </c>
      <c r="T75" s="12" t="s">
        <v>54</v>
      </c>
      <c r="U75" s="12">
        <v>4</v>
      </c>
      <c r="V75" s="12" t="s">
        <v>134</v>
      </c>
    </row>
    <row r="76" spans="1:22" x14ac:dyDescent="0.3">
      <c r="A76" s="8" t="s">
        <v>256</v>
      </c>
      <c r="B76" s="9">
        <v>45811</v>
      </c>
      <c r="C76" s="8" t="s">
        <v>48</v>
      </c>
      <c r="D76" s="8" t="s">
        <v>49</v>
      </c>
      <c r="E76" s="8" t="s">
        <v>39</v>
      </c>
      <c r="F76" s="8" t="s">
        <v>257</v>
      </c>
      <c r="G76" s="8" t="s">
        <v>41</v>
      </c>
      <c r="H76" s="8" t="s">
        <v>81</v>
      </c>
      <c r="I76" s="8" t="s">
        <v>61</v>
      </c>
      <c r="J76" s="8" t="s">
        <v>89</v>
      </c>
      <c r="K76" s="8" t="s">
        <v>89</v>
      </c>
      <c r="L76" s="8" t="s">
        <v>103</v>
      </c>
      <c r="M76" s="8">
        <v>4</v>
      </c>
      <c r="N76" s="10">
        <v>1291.6199999999999</v>
      </c>
      <c r="O76" s="11">
        <v>0.2</v>
      </c>
      <c r="P76" s="10">
        <v>4133.18</v>
      </c>
      <c r="Q76" s="10">
        <v>2843.77</v>
      </c>
      <c r="R76" s="10">
        <v>1289.4100000000001</v>
      </c>
      <c r="S76" s="8" t="s">
        <v>53</v>
      </c>
      <c r="T76" s="8" t="s">
        <v>71</v>
      </c>
      <c r="U76" s="8">
        <v>4</v>
      </c>
      <c r="V76" s="8" t="s">
        <v>157</v>
      </c>
    </row>
    <row r="77" spans="1:22" x14ac:dyDescent="0.3">
      <c r="A77" s="12" t="s">
        <v>258</v>
      </c>
      <c r="B77" s="13">
        <v>45992</v>
      </c>
      <c r="C77" s="12" t="s">
        <v>37</v>
      </c>
      <c r="D77" s="12" t="s">
        <v>38</v>
      </c>
      <c r="E77" s="12" t="s">
        <v>39</v>
      </c>
      <c r="F77" s="12" t="s">
        <v>259</v>
      </c>
      <c r="G77" s="12" t="s">
        <v>27</v>
      </c>
      <c r="H77" s="12" t="s">
        <v>28</v>
      </c>
      <c r="I77" s="12" t="s">
        <v>61</v>
      </c>
      <c r="J77" s="12" t="s">
        <v>43</v>
      </c>
      <c r="K77" s="12" t="s">
        <v>44</v>
      </c>
      <c r="L77" s="12" t="s">
        <v>91</v>
      </c>
      <c r="M77" s="12">
        <v>1</v>
      </c>
      <c r="N77" s="14">
        <v>603.33000000000004</v>
      </c>
      <c r="O77" s="15">
        <v>0.2</v>
      </c>
      <c r="P77" s="14">
        <v>482.66</v>
      </c>
      <c r="Q77" s="14">
        <v>263.44</v>
      </c>
      <c r="R77" s="14">
        <v>219.22</v>
      </c>
      <c r="S77" s="12" t="s">
        <v>63</v>
      </c>
      <c r="T77" s="12" t="s">
        <v>78</v>
      </c>
      <c r="U77" s="12">
        <v>5</v>
      </c>
      <c r="V77" s="12" t="s">
        <v>35</v>
      </c>
    </row>
    <row r="78" spans="1:22" x14ac:dyDescent="0.3">
      <c r="A78" s="8" t="s">
        <v>260</v>
      </c>
      <c r="B78" s="9">
        <v>45895</v>
      </c>
      <c r="C78" s="8" t="s">
        <v>125</v>
      </c>
      <c r="D78" s="8" t="s">
        <v>126</v>
      </c>
      <c r="E78" s="8" t="s">
        <v>25</v>
      </c>
      <c r="F78" s="8" t="s">
        <v>261</v>
      </c>
      <c r="G78" s="8" t="s">
        <v>27</v>
      </c>
      <c r="H78" s="8" t="s">
        <v>42</v>
      </c>
      <c r="I78" s="8" t="s">
        <v>29</v>
      </c>
      <c r="J78" s="8" t="s">
        <v>75</v>
      </c>
      <c r="K78" s="8" t="s">
        <v>154</v>
      </c>
      <c r="L78" s="8" t="s">
        <v>103</v>
      </c>
      <c r="M78" s="8">
        <v>4</v>
      </c>
      <c r="N78" s="10">
        <v>2088.5500000000002</v>
      </c>
      <c r="O78" s="11">
        <v>0.2</v>
      </c>
      <c r="P78" s="10">
        <v>6683.36</v>
      </c>
      <c r="Q78" s="10">
        <v>4614.88</v>
      </c>
      <c r="R78" s="10">
        <v>2068.48</v>
      </c>
      <c r="S78" s="8" t="s">
        <v>46</v>
      </c>
      <c r="T78" s="8" t="s">
        <v>111</v>
      </c>
      <c r="U78" s="8">
        <v>5</v>
      </c>
      <c r="V78" s="8" t="s">
        <v>72</v>
      </c>
    </row>
    <row r="79" spans="1:22" x14ac:dyDescent="0.3">
      <c r="A79" s="12" t="s">
        <v>262</v>
      </c>
      <c r="B79" s="13">
        <v>45930</v>
      </c>
      <c r="C79" s="12" t="s">
        <v>113</v>
      </c>
      <c r="D79" s="12" t="s">
        <v>114</v>
      </c>
      <c r="E79" s="12" t="s">
        <v>59</v>
      </c>
      <c r="F79" s="12" t="s">
        <v>263</v>
      </c>
      <c r="G79" s="12" t="s">
        <v>27</v>
      </c>
      <c r="H79" s="12" t="s">
        <v>28</v>
      </c>
      <c r="I79" s="12" t="s">
        <v>68</v>
      </c>
      <c r="J79" s="12" t="s">
        <v>101</v>
      </c>
      <c r="K79" s="12" t="s">
        <v>102</v>
      </c>
      <c r="L79" s="12" t="s">
        <v>32</v>
      </c>
      <c r="M79" s="12">
        <v>4</v>
      </c>
      <c r="N79" s="14">
        <v>701.53</v>
      </c>
      <c r="O79" s="15">
        <v>0.25</v>
      </c>
      <c r="P79" s="14">
        <v>2104.59</v>
      </c>
      <c r="Q79" s="14">
        <v>987.68</v>
      </c>
      <c r="R79" s="14">
        <v>1116.9100000000001</v>
      </c>
      <c r="S79" s="12" t="s">
        <v>83</v>
      </c>
      <c r="T79" s="12" t="s">
        <v>156</v>
      </c>
      <c r="U79" s="12">
        <v>3</v>
      </c>
      <c r="V79" s="12" t="s">
        <v>116</v>
      </c>
    </row>
    <row r="80" spans="1:22" x14ac:dyDescent="0.3">
      <c r="A80" s="8" t="s">
        <v>264</v>
      </c>
      <c r="B80" s="9">
        <v>45838</v>
      </c>
      <c r="C80" s="8" t="s">
        <v>37</v>
      </c>
      <c r="D80" s="8" t="s">
        <v>38</v>
      </c>
      <c r="E80" s="8" t="s">
        <v>39</v>
      </c>
      <c r="F80" s="8" t="s">
        <v>265</v>
      </c>
      <c r="G80" s="8" t="s">
        <v>41</v>
      </c>
      <c r="H80" s="8" t="s">
        <v>94</v>
      </c>
      <c r="I80" s="8" t="s">
        <v>68</v>
      </c>
      <c r="J80" s="8" t="s">
        <v>101</v>
      </c>
      <c r="K80" s="8" t="s">
        <v>102</v>
      </c>
      <c r="L80" s="8" t="s">
        <v>91</v>
      </c>
      <c r="M80" s="8">
        <v>4</v>
      </c>
      <c r="N80" s="10">
        <v>675.06</v>
      </c>
      <c r="O80" s="11">
        <v>0.05</v>
      </c>
      <c r="P80" s="10">
        <v>2565.23</v>
      </c>
      <c r="Q80" s="10">
        <v>1000.92</v>
      </c>
      <c r="R80" s="10">
        <v>1564.31</v>
      </c>
      <c r="S80" s="8" t="s">
        <v>33</v>
      </c>
      <c r="T80" s="8" t="s">
        <v>64</v>
      </c>
      <c r="U80" s="8">
        <v>3</v>
      </c>
      <c r="V80" s="8" t="s">
        <v>157</v>
      </c>
    </row>
    <row r="81" spans="1:22" x14ac:dyDescent="0.3">
      <c r="A81" s="12" t="s">
        <v>266</v>
      </c>
      <c r="B81" s="13">
        <v>46014</v>
      </c>
      <c r="C81" s="12" t="s">
        <v>98</v>
      </c>
      <c r="D81" s="12" t="s">
        <v>99</v>
      </c>
      <c r="E81" s="12" t="s">
        <v>25</v>
      </c>
      <c r="F81" s="12" t="s">
        <v>267</v>
      </c>
      <c r="G81" s="12" t="s">
        <v>41</v>
      </c>
      <c r="H81" s="12" t="s">
        <v>42</v>
      </c>
      <c r="I81" s="12" t="s">
        <v>29</v>
      </c>
      <c r="J81" s="12" t="s">
        <v>75</v>
      </c>
      <c r="K81" s="12" t="s">
        <v>95</v>
      </c>
      <c r="L81" s="12" t="s">
        <v>82</v>
      </c>
      <c r="M81" s="12">
        <v>1</v>
      </c>
      <c r="N81" s="14">
        <v>26174.16</v>
      </c>
      <c r="O81" s="15">
        <v>0</v>
      </c>
      <c r="P81" s="14">
        <v>26174.16</v>
      </c>
      <c r="Q81" s="14">
        <v>17942.22</v>
      </c>
      <c r="R81" s="14">
        <v>8231.94</v>
      </c>
      <c r="S81" s="12" t="s">
        <v>53</v>
      </c>
      <c r="T81" s="12" t="s">
        <v>111</v>
      </c>
      <c r="U81" s="12">
        <v>5</v>
      </c>
      <c r="V81" s="12" t="s">
        <v>35</v>
      </c>
    </row>
    <row r="82" spans="1:22" x14ac:dyDescent="0.3">
      <c r="A82" s="8" t="s">
        <v>268</v>
      </c>
      <c r="B82" s="9">
        <v>45813</v>
      </c>
      <c r="C82" s="8" t="s">
        <v>125</v>
      </c>
      <c r="D82" s="8" t="s">
        <v>126</v>
      </c>
      <c r="E82" s="8" t="s">
        <v>25</v>
      </c>
      <c r="F82" s="8" t="s">
        <v>269</v>
      </c>
      <c r="G82" s="8" t="s">
        <v>27</v>
      </c>
      <c r="H82" s="8" t="s">
        <v>42</v>
      </c>
      <c r="I82" s="8" t="s">
        <v>61</v>
      </c>
      <c r="J82" s="8" t="s">
        <v>30</v>
      </c>
      <c r="K82" s="8" t="s">
        <v>31</v>
      </c>
      <c r="L82" s="8" t="s">
        <v>32</v>
      </c>
      <c r="M82" s="8">
        <v>2</v>
      </c>
      <c r="N82" s="10">
        <v>3807.84</v>
      </c>
      <c r="O82" s="11">
        <v>0</v>
      </c>
      <c r="P82" s="10">
        <v>7615.68</v>
      </c>
      <c r="Q82" s="10">
        <v>4372.62</v>
      </c>
      <c r="R82" s="10">
        <v>3243.06</v>
      </c>
      <c r="S82" s="8" t="s">
        <v>53</v>
      </c>
      <c r="T82" s="8" t="s">
        <v>119</v>
      </c>
      <c r="U82" s="8">
        <v>4</v>
      </c>
      <c r="V82" s="8" t="s">
        <v>157</v>
      </c>
    </row>
    <row r="83" spans="1:22" x14ac:dyDescent="0.3">
      <c r="A83" s="12" t="s">
        <v>270</v>
      </c>
      <c r="B83" s="13">
        <v>45755</v>
      </c>
      <c r="C83" s="12" t="s">
        <v>113</v>
      </c>
      <c r="D83" s="12" t="s">
        <v>114</v>
      </c>
      <c r="E83" s="12" t="s">
        <v>59</v>
      </c>
      <c r="F83" s="12" t="s">
        <v>271</v>
      </c>
      <c r="G83" s="12" t="s">
        <v>41</v>
      </c>
      <c r="H83" s="12" t="s">
        <v>28</v>
      </c>
      <c r="I83" s="12" t="s">
        <v>61</v>
      </c>
      <c r="J83" s="12" t="s">
        <v>69</v>
      </c>
      <c r="K83" s="12" t="s">
        <v>137</v>
      </c>
      <c r="L83" s="12" t="s">
        <v>77</v>
      </c>
      <c r="M83" s="12">
        <v>5</v>
      </c>
      <c r="N83" s="14">
        <v>477.32</v>
      </c>
      <c r="O83" s="15">
        <v>0.3</v>
      </c>
      <c r="P83" s="14">
        <v>1670.62</v>
      </c>
      <c r="Q83" s="14">
        <v>1084.81</v>
      </c>
      <c r="R83" s="14">
        <v>585.80999999999995</v>
      </c>
      <c r="S83" s="12" t="s">
        <v>46</v>
      </c>
      <c r="T83" s="12" t="s">
        <v>104</v>
      </c>
      <c r="U83" s="12">
        <v>4</v>
      </c>
      <c r="V83" s="12" t="s">
        <v>96</v>
      </c>
    </row>
    <row r="84" spans="1:22" x14ac:dyDescent="0.3">
      <c r="A84" s="8" t="s">
        <v>272</v>
      </c>
      <c r="B84" s="9">
        <v>45949</v>
      </c>
      <c r="C84" s="8" t="s">
        <v>48</v>
      </c>
      <c r="D84" s="8" t="s">
        <v>49</v>
      </c>
      <c r="E84" s="8" t="s">
        <v>39</v>
      </c>
      <c r="F84" s="8" t="s">
        <v>273</v>
      </c>
      <c r="G84" s="8" t="s">
        <v>41</v>
      </c>
      <c r="H84" s="8" t="s">
        <v>28</v>
      </c>
      <c r="I84" s="8" t="s">
        <v>29</v>
      </c>
      <c r="J84" s="8" t="s">
        <v>69</v>
      </c>
      <c r="K84" s="8" t="s">
        <v>70</v>
      </c>
      <c r="L84" s="8" t="s">
        <v>103</v>
      </c>
      <c r="M84" s="8">
        <v>5</v>
      </c>
      <c r="N84" s="10">
        <v>941.79</v>
      </c>
      <c r="O84" s="11">
        <v>0</v>
      </c>
      <c r="P84" s="10">
        <v>4708.95</v>
      </c>
      <c r="Q84" s="10">
        <v>2258.86</v>
      </c>
      <c r="R84" s="10">
        <v>2450.09</v>
      </c>
      <c r="S84" s="8" t="s">
        <v>33</v>
      </c>
      <c r="T84" s="8" t="s">
        <v>119</v>
      </c>
      <c r="U84" s="8">
        <v>4</v>
      </c>
      <c r="V84" s="8" t="s">
        <v>123</v>
      </c>
    </row>
    <row r="85" spans="1:22" x14ac:dyDescent="0.3">
      <c r="A85" s="12" t="s">
        <v>274</v>
      </c>
      <c r="B85" s="13">
        <v>45806</v>
      </c>
      <c r="C85" s="12" t="s">
        <v>113</v>
      </c>
      <c r="D85" s="12" t="s">
        <v>114</v>
      </c>
      <c r="E85" s="12" t="s">
        <v>59</v>
      </c>
      <c r="F85" s="12" t="s">
        <v>275</v>
      </c>
      <c r="G85" s="12" t="s">
        <v>41</v>
      </c>
      <c r="H85" s="12" t="s">
        <v>94</v>
      </c>
      <c r="I85" s="12" t="s">
        <v>29</v>
      </c>
      <c r="J85" s="12" t="s">
        <v>43</v>
      </c>
      <c r="K85" s="12" t="s">
        <v>162</v>
      </c>
      <c r="L85" s="12" t="s">
        <v>82</v>
      </c>
      <c r="M85" s="12">
        <v>4</v>
      </c>
      <c r="N85" s="14">
        <v>916.93</v>
      </c>
      <c r="O85" s="15">
        <v>0</v>
      </c>
      <c r="P85" s="14">
        <v>3667.72</v>
      </c>
      <c r="Q85" s="14">
        <v>1648.46</v>
      </c>
      <c r="R85" s="14">
        <v>2019.26</v>
      </c>
      <c r="S85" s="12" t="s">
        <v>63</v>
      </c>
      <c r="T85" s="12" t="s">
        <v>78</v>
      </c>
      <c r="U85" s="12">
        <v>3</v>
      </c>
      <c r="V85" s="12" t="s">
        <v>134</v>
      </c>
    </row>
    <row r="86" spans="1:22" x14ac:dyDescent="0.3">
      <c r="A86" s="8" t="s">
        <v>276</v>
      </c>
      <c r="B86" s="9">
        <v>45987</v>
      </c>
      <c r="C86" s="8" t="s">
        <v>37</v>
      </c>
      <c r="D86" s="8" t="s">
        <v>38</v>
      </c>
      <c r="E86" s="8" t="s">
        <v>39</v>
      </c>
      <c r="F86" s="8" t="s">
        <v>277</v>
      </c>
      <c r="G86" s="8" t="s">
        <v>27</v>
      </c>
      <c r="H86" s="8" t="s">
        <v>81</v>
      </c>
      <c r="I86" s="8" t="s">
        <v>29</v>
      </c>
      <c r="J86" s="8" t="s">
        <v>69</v>
      </c>
      <c r="K86" s="8" t="s">
        <v>180</v>
      </c>
      <c r="L86" s="8" t="s">
        <v>45</v>
      </c>
      <c r="M86" s="8">
        <v>2</v>
      </c>
      <c r="N86" s="10">
        <v>1520.11</v>
      </c>
      <c r="O86" s="11">
        <v>0.2</v>
      </c>
      <c r="P86" s="10">
        <v>2432.1799999999998</v>
      </c>
      <c r="Q86" s="10">
        <v>1724.75</v>
      </c>
      <c r="R86" s="10">
        <v>707.43</v>
      </c>
      <c r="S86" s="8" t="s">
        <v>83</v>
      </c>
      <c r="T86" s="8" t="s">
        <v>78</v>
      </c>
      <c r="U86" s="8">
        <v>5</v>
      </c>
      <c r="V86" s="8" t="s">
        <v>65</v>
      </c>
    </row>
    <row r="87" spans="1:22" x14ac:dyDescent="0.3">
      <c r="A87" s="12" t="s">
        <v>278</v>
      </c>
      <c r="B87" s="13">
        <v>45758</v>
      </c>
      <c r="C87" s="12" t="s">
        <v>107</v>
      </c>
      <c r="D87" s="12" t="s">
        <v>108</v>
      </c>
      <c r="E87" s="12" t="s">
        <v>39</v>
      </c>
      <c r="F87" s="12" t="s">
        <v>279</v>
      </c>
      <c r="G87" s="12" t="s">
        <v>27</v>
      </c>
      <c r="H87" s="12" t="s">
        <v>81</v>
      </c>
      <c r="I87" s="12" t="s">
        <v>68</v>
      </c>
      <c r="J87" s="12" t="s">
        <v>75</v>
      </c>
      <c r="K87" s="12" t="s">
        <v>95</v>
      </c>
      <c r="L87" s="12" t="s">
        <v>103</v>
      </c>
      <c r="M87" s="12">
        <v>5</v>
      </c>
      <c r="N87" s="14">
        <v>24775.9</v>
      </c>
      <c r="O87" s="15">
        <v>0</v>
      </c>
      <c r="P87" s="14">
        <v>123879.5</v>
      </c>
      <c r="Q87" s="14">
        <v>94426.22</v>
      </c>
      <c r="R87" s="14">
        <v>29453.279999999999</v>
      </c>
      <c r="S87" s="12" t="s">
        <v>53</v>
      </c>
      <c r="T87" s="12" t="s">
        <v>147</v>
      </c>
      <c r="U87" s="12">
        <v>5</v>
      </c>
      <c r="V87" s="12" t="s">
        <v>96</v>
      </c>
    </row>
    <row r="88" spans="1:22" x14ac:dyDescent="0.3">
      <c r="A88" s="8" t="s">
        <v>280</v>
      </c>
      <c r="B88" s="9">
        <v>45891</v>
      </c>
      <c r="C88" s="8" t="s">
        <v>23</v>
      </c>
      <c r="D88" s="8" t="s">
        <v>24</v>
      </c>
      <c r="E88" s="8" t="s">
        <v>25</v>
      </c>
      <c r="F88" s="8" t="s">
        <v>281</v>
      </c>
      <c r="G88" s="8" t="s">
        <v>41</v>
      </c>
      <c r="H88" s="8" t="s">
        <v>81</v>
      </c>
      <c r="I88" s="8" t="s">
        <v>61</v>
      </c>
      <c r="J88" s="8" t="s">
        <v>75</v>
      </c>
      <c r="K88" s="8" t="s">
        <v>95</v>
      </c>
      <c r="L88" s="8" t="s">
        <v>91</v>
      </c>
      <c r="M88" s="8">
        <v>5</v>
      </c>
      <c r="N88" s="10">
        <v>25462.17</v>
      </c>
      <c r="O88" s="11">
        <v>0.1</v>
      </c>
      <c r="P88" s="10">
        <v>114579.76</v>
      </c>
      <c r="Q88" s="10">
        <v>92865.39</v>
      </c>
      <c r="R88" s="10">
        <v>21714.37</v>
      </c>
      <c r="S88" s="8" t="s">
        <v>33</v>
      </c>
      <c r="T88" s="8" t="s">
        <v>34</v>
      </c>
      <c r="U88" s="8">
        <v>3</v>
      </c>
      <c r="V88" s="8" t="s">
        <v>72</v>
      </c>
    </row>
    <row r="89" spans="1:22" x14ac:dyDescent="0.3">
      <c r="A89" s="12" t="s">
        <v>282</v>
      </c>
      <c r="B89" s="13">
        <v>45811</v>
      </c>
      <c r="C89" s="12" t="s">
        <v>57</v>
      </c>
      <c r="D89" s="12" t="s">
        <v>58</v>
      </c>
      <c r="E89" s="12" t="s">
        <v>59</v>
      </c>
      <c r="F89" s="12" t="s">
        <v>283</v>
      </c>
      <c r="G89" s="12" t="s">
        <v>27</v>
      </c>
      <c r="H89" s="12" t="s">
        <v>81</v>
      </c>
      <c r="I89" s="12" t="s">
        <v>68</v>
      </c>
      <c r="J89" s="12" t="s">
        <v>89</v>
      </c>
      <c r="K89" s="12" t="s">
        <v>90</v>
      </c>
      <c r="L89" s="12" t="s">
        <v>45</v>
      </c>
      <c r="M89" s="12">
        <v>3</v>
      </c>
      <c r="N89" s="14">
        <v>3331.76</v>
      </c>
      <c r="O89" s="15">
        <v>0.1</v>
      </c>
      <c r="P89" s="14">
        <v>8995.75</v>
      </c>
      <c r="Q89" s="14">
        <v>6189.44</v>
      </c>
      <c r="R89" s="14">
        <v>2806.31</v>
      </c>
      <c r="S89" s="12" t="s">
        <v>46</v>
      </c>
      <c r="T89" s="12" t="s">
        <v>34</v>
      </c>
      <c r="U89" s="12">
        <v>5</v>
      </c>
      <c r="V89" s="12" t="s">
        <v>157</v>
      </c>
    </row>
    <row r="90" spans="1:22" x14ac:dyDescent="0.3">
      <c r="A90" s="8" t="s">
        <v>284</v>
      </c>
      <c r="B90" s="9">
        <v>45929</v>
      </c>
      <c r="C90" s="8" t="s">
        <v>113</v>
      </c>
      <c r="D90" s="8" t="s">
        <v>114</v>
      </c>
      <c r="E90" s="8" t="s">
        <v>59</v>
      </c>
      <c r="F90" s="8" t="s">
        <v>285</v>
      </c>
      <c r="G90" s="8" t="s">
        <v>41</v>
      </c>
      <c r="H90" s="8" t="s">
        <v>28</v>
      </c>
      <c r="I90" s="8" t="s">
        <v>68</v>
      </c>
      <c r="J90" s="8" t="s">
        <v>89</v>
      </c>
      <c r="K90" s="8" t="s">
        <v>151</v>
      </c>
      <c r="L90" s="8" t="s">
        <v>32</v>
      </c>
      <c r="M90" s="8">
        <v>4</v>
      </c>
      <c r="N90" s="10">
        <v>973.65</v>
      </c>
      <c r="O90" s="11">
        <v>0.05</v>
      </c>
      <c r="P90" s="10">
        <v>3699.87</v>
      </c>
      <c r="Q90" s="10">
        <v>1936.69</v>
      </c>
      <c r="R90" s="10">
        <v>1763.18</v>
      </c>
      <c r="S90" s="8" t="s">
        <v>83</v>
      </c>
      <c r="T90" s="8" t="s">
        <v>54</v>
      </c>
      <c r="U90" s="8">
        <v>5</v>
      </c>
      <c r="V90" s="8" t="s">
        <v>116</v>
      </c>
    </row>
    <row r="91" spans="1:22" x14ac:dyDescent="0.3">
      <c r="A91" s="12" t="s">
        <v>286</v>
      </c>
      <c r="B91" s="13">
        <v>45767</v>
      </c>
      <c r="C91" s="12" t="s">
        <v>98</v>
      </c>
      <c r="D91" s="12" t="s">
        <v>99</v>
      </c>
      <c r="E91" s="12" t="s">
        <v>25</v>
      </c>
      <c r="F91" s="12" t="s">
        <v>287</v>
      </c>
      <c r="G91" s="12" t="s">
        <v>27</v>
      </c>
      <c r="H91" s="12" t="s">
        <v>81</v>
      </c>
      <c r="I91" s="12" t="s">
        <v>68</v>
      </c>
      <c r="J91" s="12" t="s">
        <v>43</v>
      </c>
      <c r="K91" s="12" t="s">
        <v>44</v>
      </c>
      <c r="L91" s="12" t="s">
        <v>52</v>
      </c>
      <c r="M91" s="12">
        <v>2</v>
      </c>
      <c r="N91" s="14">
        <v>603.30999999999995</v>
      </c>
      <c r="O91" s="15">
        <v>0</v>
      </c>
      <c r="P91" s="14">
        <v>1206.6199999999999</v>
      </c>
      <c r="Q91" s="14">
        <v>522.92999999999995</v>
      </c>
      <c r="R91" s="14">
        <v>683.69</v>
      </c>
      <c r="S91" s="12" t="s">
        <v>46</v>
      </c>
      <c r="T91" s="12" t="s">
        <v>147</v>
      </c>
      <c r="U91" s="12">
        <v>4</v>
      </c>
      <c r="V91" s="12" t="s">
        <v>96</v>
      </c>
    </row>
    <row r="92" spans="1:22" x14ac:dyDescent="0.3">
      <c r="A92" s="8" t="s">
        <v>288</v>
      </c>
      <c r="B92" s="9">
        <v>45942</v>
      </c>
      <c r="C92" s="8" t="s">
        <v>125</v>
      </c>
      <c r="D92" s="8" t="s">
        <v>126</v>
      </c>
      <c r="E92" s="8" t="s">
        <v>25</v>
      </c>
      <c r="F92" s="8" t="s">
        <v>289</v>
      </c>
      <c r="G92" s="8" t="s">
        <v>27</v>
      </c>
      <c r="H92" s="8" t="s">
        <v>28</v>
      </c>
      <c r="I92" s="8" t="s">
        <v>61</v>
      </c>
      <c r="J92" s="8" t="s">
        <v>101</v>
      </c>
      <c r="K92" s="8" t="s">
        <v>217</v>
      </c>
      <c r="L92" s="8" t="s">
        <v>82</v>
      </c>
      <c r="M92" s="8">
        <v>2</v>
      </c>
      <c r="N92" s="10">
        <v>2949.78</v>
      </c>
      <c r="O92" s="11">
        <v>0.15</v>
      </c>
      <c r="P92" s="10">
        <v>5014.63</v>
      </c>
      <c r="Q92" s="10">
        <v>3381.48</v>
      </c>
      <c r="R92" s="10">
        <v>1633.15</v>
      </c>
      <c r="S92" s="8" t="s">
        <v>46</v>
      </c>
      <c r="T92" s="8" t="s">
        <v>34</v>
      </c>
      <c r="U92" s="8">
        <v>3</v>
      </c>
      <c r="V92" s="8" t="s">
        <v>123</v>
      </c>
    </row>
    <row r="93" spans="1:22" x14ac:dyDescent="0.3">
      <c r="A93" s="12" t="s">
        <v>290</v>
      </c>
      <c r="B93" s="13">
        <v>45815</v>
      </c>
      <c r="C93" s="12" t="s">
        <v>86</v>
      </c>
      <c r="D93" s="12" t="s">
        <v>87</v>
      </c>
      <c r="E93" s="12" t="s">
        <v>59</v>
      </c>
      <c r="F93" s="12" t="s">
        <v>291</v>
      </c>
      <c r="G93" s="12" t="s">
        <v>27</v>
      </c>
      <c r="H93" s="12" t="s">
        <v>28</v>
      </c>
      <c r="I93" s="12" t="s">
        <v>29</v>
      </c>
      <c r="J93" s="12" t="s">
        <v>69</v>
      </c>
      <c r="K93" s="12" t="s">
        <v>137</v>
      </c>
      <c r="L93" s="12" t="s">
        <v>82</v>
      </c>
      <c r="M93" s="12">
        <v>2</v>
      </c>
      <c r="N93" s="14">
        <v>493.61</v>
      </c>
      <c r="O93" s="15">
        <v>0.15</v>
      </c>
      <c r="P93" s="14">
        <v>839.14</v>
      </c>
      <c r="Q93" s="14">
        <v>421.37</v>
      </c>
      <c r="R93" s="14">
        <v>417.77</v>
      </c>
      <c r="S93" s="12" t="s">
        <v>53</v>
      </c>
      <c r="T93" s="12" t="s">
        <v>119</v>
      </c>
      <c r="U93" s="12">
        <v>4</v>
      </c>
      <c r="V93" s="12" t="s">
        <v>157</v>
      </c>
    </row>
    <row r="94" spans="1:22" x14ac:dyDescent="0.3">
      <c r="A94" s="8" t="s">
        <v>292</v>
      </c>
      <c r="B94" s="9">
        <v>45829</v>
      </c>
      <c r="C94" s="8" t="s">
        <v>131</v>
      </c>
      <c r="D94" s="8" t="s">
        <v>132</v>
      </c>
      <c r="E94" s="8" t="s">
        <v>25</v>
      </c>
      <c r="F94" s="8" t="s">
        <v>293</v>
      </c>
      <c r="G94" s="8" t="s">
        <v>41</v>
      </c>
      <c r="H94" s="8" t="s">
        <v>94</v>
      </c>
      <c r="I94" s="8" t="s">
        <v>29</v>
      </c>
      <c r="J94" s="8" t="s">
        <v>101</v>
      </c>
      <c r="K94" s="8" t="s">
        <v>217</v>
      </c>
      <c r="L94" s="8" t="s">
        <v>77</v>
      </c>
      <c r="M94" s="8">
        <v>4</v>
      </c>
      <c r="N94" s="10">
        <v>2934.34</v>
      </c>
      <c r="O94" s="11">
        <v>0.1</v>
      </c>
      <c r="P94" s="10">
        <v>10563.62</v>
      </c>
      <c r="Q94" s="10">
        <v>6730.53</v>
      </c>
      <c r="R94" s="10">
        <v>3833.09</v>
      </c>
      <c r="S94" s="8" t="s">
        <v>83</v>
      </c>
      <c r="T94" s="8" t="s">
        <v>78</v>
      </c>
      <c r="U94" s="8">
        <v>4</v>
      </c>
      <c r="V94" s="8" t="s">
        <v>157</v>
      </c>
    </row>
    <row r="95" spans="1:22" x14ac:dyDescent="0.3">
      <c r="A95" s="12" t="s">
        <v>294</v>
      </c>
      <c r="B95" s="13">
        <v>45714</v>
      </c>
      <c r="C95" s="12" t="s">
        <v>86</v>
      </c>
      <c r="D95" s="12" t="s">
        <v>87</v>
      </c>
      <c r="E95" s="12" t="s">
        <v>59</v>
      </c>
      <c r="F95" s="12" t="s">
        <v>295</v>
      </c>
      <c r="G95" s="12" t="s">
        <v>41</v>
      </c>
      <c r="H95" s="12" t="s">
        <v>94</v>
      </c>
      <c r="I95" s="12" t="s">
        <v>68</v>
      </c>
      <c r="J95" s="12" t="s">
        <v>30</v>
      </c>
      <c r="K95" s="12" t="s">
        <v>144</v>
      </c>
      <c r="L95" s="12" t="s">
        <v>52</v>
      </c>
      <c r="M95" s="12">
        <v>1</v>
      </c>
      <c r="N95" s="14">
        <v>2458.91</v>
      </c>
      <c r="O95" s="15">
        <v>0.15</v>
      </c>
      <c r="P95" s="14">
        <v>2090.0700000000002</v>
      </c>
      <c r="Q95" s="14">
        <v>1548.99</v>
      </c>
      <c r="R95" s="14">
        <v>541.08000000000004</v>
      </c>
      <c r="S95" s="12" t="s">
        <v>33</v>
      </c>
      <c r="T95" s="12" t="s">
        <v>78</v>
      </c>
      <c r="U95" s="12">
        <v>5</v>
      </c>
      <c r="V95" s="12" t="s">
        <v>105</v>
      </c>
    </row>
    <row r="96" spans="1:22" x14ac:dyDescent="0.3">
      <c r="A96" s="8" t="s">
        <v>296</v>
      </c>
      <c r="B96" s="9">
        <v>45707</v>
      </c>
      <c r="C96" s="8" t="s">
        <v>98</v>
      </c>
      <c r="D96" s="8" t="s">
        <v>99</v>
      </c>
      <c r="E96" s="8" t="s">
        <v>25</v>
      </c>
      <c r="F96" s="8" t="s">
        <v>88</v>
      </c>
      <c r="G96" s="8" t="s">
        <v>27</v>
      </c>
      <c r="H96" s="8" t="s">
        <v>42</v>
      </c>
      <c r="I96" s="8" t="s">
        <v>68</v>
      </c>
      <c r="J96" s="8" t="s">
        <v>75</v>
      </c>
      <c r="K96" s="8" t="s">
        <v>76</v>
      </c>
      <c r="L96" s="8" t="s">
        <v>52</v>
      </c>
      <c r="M96" s="8">
        <v>4</v>
      </c>
      <c r="N96" s="10">
        <v>778.79</v>
      </c>
      <c r="O96" s="11">
        <v>0.3</v>
      </c>
      <c r="P96" s="10">
        <v>2180.61</v>
      </c>
      <c r="Q96" s="10">
        <v>1424.39</v>
      </c>
      <c r="R96" s="10">
        <v>756.22</v>
      </c>
      <c r="S96" s="8" t="s">
        <v>83</v>
      </c>
      <c r="T96" s="8" t="s">
        <v>78</v>
      </c>
      <c r="U96" s="8">
        <v>4</v>
      </c>
      <c r="V96" s="8" t="s">
        <v>105</v>
      </c>
    </row>
    <row r="97" spans="1:22" x14ac:dyDescent="0.3">
      <c r="A97" s="12" t="s">
        <v>297</v>
      </c>
      <c r="B97" s="13">
        <v>45941</v>
      </c>
      <c r="C97" s="12" t="s">
        <v>131</v>
      </c>
      <c r="D97" s="12" t="s">
        <v>132</v>
      </c>
      <c r="E97" s="12" t="s">
        <v>25</v>
      </c>
      <c r="F97" s="12" t="s">
        <v>298</v>
      </c>
      <c r="G97" s="12" t="s">
        <v>27</v>
      </c>
      <c r="H97" s="12" t="s">
        <v>94</v>
      </c>
      <c r="I97" s="12" t="s">
        <v>68</v>
      </c>
      <c r="J97" s="12" t="s">
        <v>30</v>
      </c>
      <c r="K97" s="12" t="s">
        <v>31</v>
      </c>
      <c r="L97" s="12" t="s">
        <v>175</v>
      </c>
      <c r="M97" s="12">
        <v>4</v>
      </c>
      <c r="N97" s="14">
        <v>3807.96</v>
      </c>
      <c r="O97" s="15">
        <v>0.2</v>
      </c>
      <c r="P97" s="14">
        <v>12185.47</v>
      </c>
      <c r="Q97" s="14">
        <v>9102.81</v>
      </c>
      <c r="R97" s="14">
        <v>3082.66</v>
      </c>
      <c r="S97" s="12" t="s">
        <v>63</v>
      </c>
      <c r="T97" s="12" t="s">
        <v>111</v>
      </c>
      <c r="U97" s="12">
        <v>4</v>
      </c>
      <c r="V97" s="12" t="s">
        <v>123</v>
      </c>
    </row>
    <row r="98" spans="1:22" x14ac:dyDescent="0.3">
      <c r="A98" s="8" t="s">
        <v>299</v>
      </c>
      <c r="B98" s="9">
        <v>45786</v>
      </c>
      <c r="C98" s="8" t="s">
        <v>131</v>
      </c>
      <c r="D98" s="8" t="s">
        <v>132</v>
      </c>
      <c r="E98" s="8" t="s">
        <v>25</v>
      </c>
      <c r="F98" s="8" t="s">
        <v>300</v>
      </c>
      <c r="G98" s="8" t="s">
        <v>41</v>
      </c>
      <c r="H98" s="8" t="s">
        <v>28</v>
      </c>
      <c r="I98" s="8" t="s">
        <v>68</v>
      </c>
      <c r="J98" s="8" t="s">
        <v>89</v>
      </c>
      <c r="K98" s="8" t="s">
        <v>89</v>
      </c>
      <c r="L98" s="8" t="s">
        <v>175</v>
      </c>
      <c r="M98" s="8">
        <v>1</v>
      </c>
      <c r="N98" s="10">
        <v>1269.56</v>
      </c>
      <c r="O98" s="11">
        <v>0</v>
      </c>
      <c r="P98" s="10">
        <v>1269.56</v>
      </c>
      <c r="Q98" s="10">
        <v>701.61</v>
      </c>
      <c r="R98" s="10">
        <v>567.95000000000005</v>
      </c>
      <c r="S98" s="8" t="s">
        <v>83</v>
      </c>
      <c r="T98" s="8" t="s">
        <v>78</v>
      </c>
      <c r="U98" s="8">
        <v>4</v>
      </c>
      <c r="V98" s="8" t="s">
        <v>134</v>
      </c>
    </row>
    <row r="99" spans="1:22" x14ac:dyDescent="0.3">
      <c r="A99" s="12" t="s">
        <v>301</v>
      </c>
      <c r="B99" s="13">
        <v>45839</v>
      </c>
      <c r="C99" s="12" t="s">
        <v>98</v>
      </c>
      <c r="D99" s="12" t="s">
        <v>99</v>
      </c>
      <c r="E99" s="12" t="s">
        <v>25</v>
      </c>
      <c r="F99" s="12" t="s">
        <v>302</v>
      </c>
      <c r="G99" s="12" t="s">
        <v>27</v>
      </c>
      <c r="H99" s="12" t="s">
        <v>94</v>
      </c>
      <c r="I99" s="12" t="s">
        <v>29</v>
      </c>
      <c r="J99" s="12" t="s">
        <v>43</v>
      </c>
      <c r="K99" s="12" t="s">
        <v>162</v>
      </c>
      <c r="L99" s="12" t="s">
        <v>91</v>
      </c>
      <c r="M99" s="12">
        <v>2</v>
      </c>
      <c r="N99" s="14">
        <v>872.28</v>
      </c>
      <c r="O99" s="15">
        <v>0.2</v>
      </c>
      <c r="P99" s="14">
        <v>1395.65</v>
      </c>
      <c r="Q99" s="14">
        <v>770.51</v>
      </c>
      <c r="R99" s="14">
        <v>625.14</v>
      </c>
      <c r="S99" s="12" t="s">
        <v>63</v>
      </c>
      <c r="T99" s="12" t="s">
        <v>64</v>
      </c>
      <c r="U99" s="12">
        <v>3</v>
      </c>
      <c r="V99" s="12" t="s">
        <v>120</v>
      </c>
    </row>
    <row r="100" spans="1:22" x14ac:dyDescent="0.3">
      <c r="A100" s="8" t="s">
        <v>303</v>
      </c>
      <c r="B100" s="9">
        <v>45914</v>
      </c>
      <c r="C100" s="8" t="s">
        <v>86</v>
      </c>
      <c r="D100" s="8" t="s">
        <v>87</v>
      </c>
      <c r="E100" s="8" t="s">
        <v>59</v>
      </c>
      <c r="F100" s="8" t="s">
        <v>298</v>
      </c>
      <c r="G100" s="8" t="s">
        <v>41</v>
      </c>
      <c r="H100" s="8" t="s">
        <v>42</v>
      </c>
      <c r="I100" s="8" t="s">
        <v>61</v>
      </c>
      <c r="J100" s="8" t="s">
        <v>101</v>
      </c>
      <c r="K100" s="8" t="s">
        <v>217</v>
      </c>
      <c r="L100" s="8" t="s">
        <v>91</v>
      </c>
      <c r="M100" s="8">
        <v>1</v>
      </c>
      <c r="N100" s="10">
        <v>2950.4</v>
      </c>
      <c r="O100" s="11">
        <v>0.1</v>
      </c>
      <c r="P100" s="10">
        <v>2655.36</v>
      </c>
      <c r="Q100" s="10">
        <v>1664.27</v>
      </c>
      <c r="R100" s="10">
        <v>991.09</v>
      </c>
      <c r="S100" s="8" t="s">
        <v>33</v>
      </c>
      <c r="T100" s="8" t="s">
        <v>104</v>
      </c>
      <c r="U100" s="8">
        <v>4</v>
      </c>
      <c r="V100" s="8" t="s">
        <v>116</v>
      </c>
    </row>
    <row r="101" spans="1:22" x14ac:dyDescent="0.3">
      <c r="A101" s="12" t="s">
        <v>304</v>
      </c>
      <c r="B101" s="13">
        <v>45889</v>
      </c>
      <c r="C101" s="12" t="s">
        <v>107</v>
      </c>
      <c r="D101" s="12" t="s">
        <v>108</v>
      </c>
      <c r="E101" s="12" t="s">
        <v>39</v>
      </c>
      <c r="F101" s="12" t="s">
        <v>305</v>
      </c>
      <c r="G101" s="12" t="s">
        <v>27</v>
      </c>
      <c r="H101" s="12" t="s">
        <v>28</v>
      </c>
      <c r="I101" s="12" t="s">
        <v>61</v>
      </c>
      <c r="J101" s="12" t="s">
        <v>101</v>
      </c>
      <c r="K101" s="12" t="s">
        <v>102</v>
      </c>
      <c r="L101" s="12" t="s">
        <v>32</v>
      </c>
      <c r="M101" s="12">
        <v>1</v>
      </c>
      <c r="N101" s="14">
        <v>684.48</v>
      </c>
      <c r="O101" s="15">
        <v>0.25</v>
      </c>
      <c r="P101" s="14">
        <v>513.36</v>
      </c>
      <c r="Q101" s="14">
        <v>260</v>
      </c>
      <c r="R101" s="14">
        <v>253.36</v>
      </c>
      <c r="S101" s="12" t="s">
        <v>46</v>
      </c>
      <c r="T101" s="12" t="s">
        <v>78</v>
      </c>
      <c r="U101" s="12">
        <v>3</v>
      </c>
      <c r="V101" s="12" t="s">
        <v>72</v>
      </c>
    </row>
    <row r="102" spans="1:22" x14ac:dyDescent="0.3">
      <c r="A102" s="8" t="s">
        <v>306</v>
      </c>
      <c r="B102" s="9">
        <v>45815</v>
      </c>
      <c r="C102" s="8" t="s">
        <v>23</v>
      </c>
      <c r="D102" s="8" t="s">
        <v>24</v>
      </c>
      <c r="E102" s="8" t="s">
        <v>25</v>
      </c>
      <c r="F102" s="8" t="s">
        <v>307</v>
      </c>
      <c r="G102" s="8" t="s">
        <v>27</v>
      </c>
      <c r="H102" s="8" t="s">
        <v>81</v>
      </c>
      <c r="I102" s="8" t="s">
        <v>68</v>
      </c>
      <c r="J102" s="8" t="s">
        <v>101</v>
      </c>
      <c r="K102" s="8" t="s">
        <v>102</v>
      </c>
      <c r="L102" s="8" t="s">
        <v>103</v>
      </c>
      <c r="M102" s="8">
        <v>1</v>
      </c>
      <c r="N102" s="10">
        <v>719.83</v>
      </c>
      <c r="O102" s="11">
        <v>0.05</v>
      </c>
      <c r="P102" s="10">
        <v>683.84</v>
      </c>
      <c r="Q102" s="10">
        <v>252.22</v>
      </c>
      <c r="R102" s="10">
        <v>431.62</v>
      </c>
      <c r="S102" s="8" t="s">
        <v>53</v>
      </c>
      <c r="T102" s="8" t="s">
        <v>54</v>
      </c>
      <c r="U102" s="8">
        <v>5</v>
      </c>
      <c r="V102" s="8" t="s">
        <v>157</v>
      </c>
    </row>
    <row r="103" spans="1:22" x14ac:dyDescent="0.3">
      <c r="A103" s="12" t="s">
        <v>308</v>
      </c>
      <c r="B103" s="13">
        <v>45802</v>
      </c>
      <c r="C103" s="12" t="s">
        <v>57</v>
      </c>
      <c r="D103" s="12" t="s">
        <v>58</v>
      </c>
      <c r="E103" s="12" t="s">
        <v>59</v>
      </c>
      <c r="F103" s="12" t="s">
        <v>227</v>
      </c>
      <c r="G103" s="12" t="s">
        <v>27</v>
      </c>
      <c r="H103" s="12" t="s">
        <v>42</v>
      </c>
      <c r="I103" s="12" t="s">
        <v>29</v>
      </c>
      <c r="J103" s="12" t="s">
        <v>69</v>
      </c>
      <c r="K103" s="12" t="s">
        <v>137</v>
      </c>
      <c r="L103" s="12" t="s">
        <v>82</v>
      </c>
      <c r="M103" s="12">
        <v>4</v>
      </c>
      <c r="N103" s="14">
        <v>476.26</v>
      </c>
      <c r="O103" s="15">
        <v>0.3</v>
      </c>
      <c r="P103" s="14">
        <v>1333.53</v>
      </c>
      <c r="Q103" s="14">
        <v>874.81</v>
      </c>
      <c r="R103" s="14">
        <v>458.72</v>
      </c>
      <c r="S103" s="12" t="s">
        <v>33</v>
      </c>
      <c r="T103" s="12" t="s">
        <v>71</v>
      </c>
      <c r="U103" s="12">
        <v>4</v>
      </c>
      <c r="V103" s="12" t="s">
        <v>134</v>
      </c>
    </row>
    <row r="104" spans="1:22" x14ac:dyDescent="0.3">
      <c r="A104" s="8" t="s">
        <v>309</v>
      </c>
      <c r="B104" s="9">
        <v>45661</v>
      </c>
      <c r="C104" s="8" t="s">
        <v>48</v>
      </c>
      <c r="D104" s="8" t="s">
        <v>49</v>
      </c>
      <c r="E104" s="8" t="s">
        <v>39</v>
      </c>
      <c r="F104" s="8" t="s">
        <v>310</v>
      </c>
      <c r="G104" s="8" t="s">
        <v>41</v>
      </c>
      <c r="H104" s="8" t="s">
        <v>94</v>
      </c>
      <c r="I104" s="8" t="s">
        <v>68</v>
      </c>
      <c r="J104" s="8" t="s">
        <v>89</v>
      </c>
      <c r="K104" s="8" t="s">
        <v>90</v>
      </c>
      <c r="L104" s="8" t="s">
        <v>45</v>
      </c>
      <c r="M104" s="8">
        <v>3</v>
      </c>
      <c r="N104" s="10">
        <v>3530.2</v>
      </c>
      <c r="O104" s="11">
        <v>0.2</v>
      </c>
      <c r="P104" s="10">
        <v>8472.48</v>
      </c>
      <c r="Q104" s="10">
        <v>6233.64</v>
      </c>
      <c r="R104" s="10">
        <v>2238.84</v>
      </c>
      <c r="S104" s="8" t="s">
        <v>53</v>
      </c>
      <c r="T104" s="8" t="s">
        <v>104</v>
      </c>
      <c r="U104" s="8">
        <v>5</v>
      </c>
      <c r="V104" s="8" t="s">
        <v>84</v>
      </c>
    </row>
    <row r="105" spans="1:22" x14ac:dyDescent="0.3">
      <c r="A105" s="12" t="s">
        <v>311</v>
      </c>
      <c r="B105" s="13">
        <v>45690</v>
      </c>
      <c r="C105" s="12" t="s">
        <v>86</v>
      </c>
      <c r="D105" s="12" t="s">
        <v>87</v>
      </c>
      <c r="E105" s="12" t="s">
        <v>59</v>
      </c>
      <c r="F105" s="12" t="s">
        <v>312</v>
      </c>
      <c r="G105" s="12" t="s">
        <v>27</v>
      </c>
      <c r="H105" s="12" t="s">
        <v>94</v>
      </c>
      <c r="I105" s="12" t="s">
        <v>29</v>
      </c>
      <c r="J105" s="12" t="s">
        <v>69</v>
      </c>
      <c r="K105" s="12" t="s">
        <v>137</v>
      </c>
      <c r="L105" s="12" t="s">
        <v>103</v>
      </c>
      <c r="M105" s="12">
        <v>2</v>
      </c>
      <c r="N105" s="14">
        <v>518.47</v>
      </c>
      <c r="O105" s="15">
        <v>0.05</v>
      </c>
      <c r="P105" s="14">
        <v>985.09</v>
      </c>
      <c r="Q105" s="14">
        <v>454.08</v>
      </c>
      <c r="R105" s="14">
        <v>531.01</v>
      </c>
      <c r="S105" s="12" t="s">
        <v>53</v>
      </c>
      <c r="T105" s="12" t="s">
        <v>34</v>
      </c>
      <c r="U105" s="12">
        <v>4</v>
      </c>
      <c r="V105" s="12" t="s">
        <v>105</v>
      </c>
    </row>
    <row r="106" spans="1:22" x14ac:dyDescent="0.3">
      <c r="A106" s="8" t="s">
        <v>313</v>
      </c>
      <c r="B106" s="9">
        <v>45762</v>
      </c>
      <c r="C106" s="8" t="s">
        <v>113</v>
      </c>
      <c r="D106" s="8" t="s">
        <v>114</v>
      </c>
      <c r="E106" s="8" t="s">
        <v>59</v>
      </c>
      <c r="F106" s="8" t="s">
        <v>314</v>
      </c>
      <c r="G106" s="8" t="s">
        <v>27</v>
      </c>
      <c r="H106" s="8" t="s">
        <v>28</v>
      </c>
      <c r="I106" s="8" t="s">
        <v>68</v>
      </c>
      <c r="J106" s="8" t="s">
        <v>101</v>
      </c>
      <c r="K106" s="8" t="s">
        <v>217</v>
      </c>
      <c r="L106" s="8" t="s">
        <v>91</v>
      </c>
      <c r="M106" s="8">
        <v>5</v>
      </c>
      <c r="N106" s="10">
        <v>2872.33</v>
      </c>
      <c r="O106" s="11">
        <v>0.1</v>
      </c>
      <c r="P106" s="10">
        <v>12925.49</v>
      </c>
      <c r="Q106" s="10">
        <v>8776.25</v>
      </c>
      <c r="R106" s="10">
        <v>4149.24</v>
      </c>
      <c r="S106" s="8" t="s">
        <v>46</v>
      </c>
      <c r="T106" s="8" t="s">
        <v>119</v>
      </c>
      <c r="U106" s="8">
        <v>5</v>
      </c>
      <c r="V106" s="8" t="s">
        <v>96</v>
      </c>
    </row>
    <row r="107" spans="1:22" x14ac:dyDescent="0.3">
      <c r="A107" s="12" t="s">
        <v>315</v>
      </c>
      <c r="B107" s="13">
        <v>45976</v>
      </c>
      <c r="C107" s="12" t="s">
        <v>125</v>
      </c>
      <c r="D107" s="12" t="s">
        <v>126</v>
      </c>
      <c r="E107" s="12" t="s">
        <v>25</v>
      </c>
      <c r="F107" s="12" t="s">
        <v>316</v>
      </c>
      <c r="G107" s="12" t="s">
        <v>41</v>
      </c>
      <c r="H107" s="12" t="s">
        <v>28</v>
      </c>
      <c r="I107" s="12" t="s">
        <v>61</v>
      </c>
      <c r="J107" s="12" t="s">
        <v>30</v>
      </c>
      <c r="K107" s="12" t="s">
        <v>62</v>
      </c>
      <c r="L107" s="12" t="s">
        <v>77</v>
      </c>
      <c r="M107" s="12">
        <v>2</v>
      </c>
      <c r="N107" s="14">
        <v>1040.1199999999999</v>
      </c>
      <c r="O107" s="15">
        <v>0.25</v>
      </c>
      <c r="P107" s="14">
        <v>1560.18</v>
      </c>
      <c r="Q107" s="14">
        <v>914.54</v>
      </c>
      <c r="R107" s="14">
        <v>645.64</v>
      </c>
      <c r="S107" s="12" t="s">
        <v>53</v>
      </c>
      <c r="T107" s="12" t="s">
        <v>34</v>
      </c>
      <c r="U107" s="12">
        <v>4</v>
      </c>
      <c r="V107" s="12" t="s">
        <v>65</v>
      </c>
    </row>
    <row r="108" spans="1:22" x14ac:dyDescent="0.3">
      <c r="A108" s="8" t="s">
        <v>317</v>
      </c>
      <c r="B108" s="9">
        <v>45751</v>
      </c>
      <c r="C108" s="8" t="s">
        <v>57</v>
      </c>
      <c r="D108" s="8" t="s">
        <v>58</v>
      </c>
      <c r="E108" s="8" t="s">
        <v>59</v>
      </c>
      <c r="F108" s="8" t="s">
        <v>318</v>
      </c>
      <c r="G108" s="8" t="s">
        <v>41</v>
      </c>
      <c r="H108" s="8" t="s">
        <v>94</v>
      </c>
      <c r="I108" s="8" t="s">
        <v>61</v>
      </c>
      <c r="J108" s="8" t="s">
        <v>30</v>
      </c>
      <c r="K108" s="8" t="s">
        <v>62</v>
      </c>
      <c r="L108" s="8" t="s">
        <v>82</v>
      </c>
      <c r="M108" s="8">
        <v>3</v>
      </c>
      <c r="N108" s="10">
        <v>951.54</v>
      </c>
      <c r="O108" s="11">
        <v>0.05</v>
      </c>
      <c r="P108" s="10">
        <v>2711.89</v>
      </c>
      <c r="Q108" s="10">
        <v>1297.3399999999999</v>
      </c>
      <c r="R108" s="10">
        <v>1414.55</v>
      </c>
      <c r="S108" s="8" t="s">
        <v>33</v>
      </c>
      <c r="T108" s="8" t="s">
        <v>64</v>
      </c>
      <c r="U108" s="8">
        <v>5</v>
      </c>
      <c r="V108" s="8" t="s">
        <v>96</v>
      </c>
    </row>
    <row r="109" spans="1:22" x14ac:dyDescent="0.3">
      <c r="A109" s="12" t="s">
        <v>319</v>
      </c>
      <c r="B109" s="13">
        <v>45862</v>
      </c>
      <c r="C109" s="12" t="s">
        <v>57</v>
      </c>
      <c r="D109" s="12" t="s">
        <v>58</v>
      </c>
      <c r="E109" s="12" t="s">
        <v>59</v>
      </c>
      <c r="F109" s="12" t="s">
        <v>320</v>
      </c>
      <c r="G109" s="12" t="s">
        <v>41</v>
      </c>
      <c r="H109" s="12" t="s">
        <v>42</v>
      </c>
      <c r="I109" s="12" t="s">
        <v>61</v>
      </c>
      <c r="J109" s="12" t="s">
        <v>43</v>
      </c>
      <c r="K109" s="12" t="s">
        <v>44</v>
      </c>
      <c r="L109" s="12" t="s">
        <v>175</v>
      </c>
      <c r="M109" s="12">
        <v>5</v>
      </c>
      <c r="N109" s="14">
        <v>590.96</v>
      </c>
      <c r="O109" s="15">
        <v>0.05</v>
      </c>
      <c r="P109" s="14">
        <v>2807.06</v>
      </c>
      <c r="Q109" s="14">
        <v>1360.58</v>
      </c>
      <c r="R109" s="14">
        <v>1446.48</v>
      </c>
      <c r="S109" s="12" t="s">
        <v>46</v>
      </c>
      <c r="T109" s="12" t="s">
        <v>119</v>
      </c>
      <c r="U109" s="12">
        <v>4</v>
      </c>
      <c r="V109" s="12" t="s">
        <v>120</v>
      </c>
    </row>
    <row r="110" spans="1:22" x14ac:dyDescent="0.3">
      <c r="A110" s="8" t="s">
        <v>321</v>
      </c>
      <c r="B110" s="9">
        <v>45946</v>
      </c>
      <c r="C110" s="8" t="s">
        <v>98</v>
      </c>
      <c r="D110" s="8" t="s">
        <v>99</v>
      </c>
      <c r="E110" s="8" t="s">
        <v>25</v>
      </c>
      <c r="F110" s="8" t="s">
        <v>322</v>
      </c>
      <c r="G110" s="8" t="s">
        <v>27</v>
      </c>
      <c r="H110" s="8" t="s">
        <v>42</v>
      </c>
      <c r="I110" s="8" t="s">
        <v>61</v>
      </c>
      <c r="J110" s="8" t="s">
        <v>101</v>
      </c>
      <c r="K110" s="8" t="s">
        <v>110</v>
      </c>
      <c r="L110" s="8" t="s">
        <v>32</v>
      </c>
      <c r="M110" s="8">
        <v>5</v>
      </c>
      <c r="N110" s="10">
        <v>4750.82</v>
      </c>
      <c r="O110" s="11">
        <v>0.05</v>
      </c>
      <c r="P110" s="10">
        <v>22566.39</v>
      </c>
      <c r="Q110" s="10">
        <v>16186.64</v>
      </c>
      <c r="R110" s="10">
        <v>6379.75</v>
      </c>
      <c r="S110" s="8" t="s">
        <v>33</v>
      </c>
      <c r="T110" s="8" t="s">
        <v>78</v>
      </c>
      <c r="U110" s="8">
        <v>4</v>
      </c>
      <c r="V110" s="8" t="s">
        <v>123</v>
      </c>
    </row>
    <row r="111" spans="1:22" x14ac:dyDescent="0.3">
      <c r="A111" s="12" t="s">
        <v>323</v>
      </c>
      <c r="B111" s="13">
        <v>45775</v>
      </c>
      <c r="C111" s="12" t="s">
        <v>107</v>
      </c>
      <c r="D111" s="12" t="s">
        <v>108</v>
      </c>
      <c r="E111" s="12" t="s">
        <v>39</v>
      </c>
      <c r="F111" s="12" t="s">
        <v>324</v>
      </c>
      <c r="G111" s="12" t="s">
        <v>27</v>
      </c>
      <c r="H111" s="12" t="s">
        <v>42</v>
      </c>
      <c r="I111" s="12" t="s">
        <v>29</v>
      </c>
      <c r="J111" s="12" t="s">
        <v>30</v>
      </c>
      <c r="K111" s="12" t="s">
        <v>31</v>
      </c>
      <c r="L111" s="12" t="s">
        <v>91</v>
      </c>
      <c r="M111" s="12">
        <v>3</v>
      </c>
      <c r="N111" s="14">
        <v>3969.9</v>
      </c>
      <c r="O111" s="15">
        <v>0.2</v>
      </c>
      <c r="P111" s="14">
        <v>9527.76</v>
      </c>
      <c r="Q111" s="14">
        <v>6434.55</v>
      </c>
      <c r="R111" s="14">
        <v>3093.21</v>
      </c>
      <c r="S111" s="12" t="s">
        <v>63</v>
      </c>
      <c r="T111" s="12" t="s">
        <v>147</v>
      </c>
      <c r="U111" s="12">
        <v>4</v>
      </c>
      <c r="V111" s="12" t="s">
        <v>96</v>
      </c>
    </row>
    <row r="112" spans="1:22" x14ac:dyDescent="0.3">
      <c r="A112" s="8" t="s">
        <v>325</v>
      </c>
      <c r="B112" s="9">
        <v>45971</v>
      </c>
      <c r="C112" s="8" t="s">
        <v>125</v>
      </c>
      <c r="D112" s="8" t="s">
        <v>126</v>
      </c>
      <c r="E112" s="8" t="s">
        <v>25</v>
      </c>
      <c r="F112" s="8" t="s">
        <v>326</v>
      </c>
      <c r="G112" s="8" t="s">
        <v>27</v>
      </c>
      <c r="H112" s="8" t="s">
        <v>94</v>
      </c>
      <c r="I112" s="8" t="s">
        <v>29</v>
      </c>
      <c r="J112" s="8" t="s">
        <v>75</v>
      </c>
      <c r="K112" s="8" t="s">
        <v>95</v>
      </c>
      <c r="L112" s="8" t="s">
        <v>52</v>
      </c>
      <c r="M112" s="8">
        <v>3</v>
      </c>
      <c r="N112" s="10">
        <v>24064.43</v>
      </c>
      <c r="O112" s="11">
        <v>0</v>
      </c>
      <c r="P112" s="10">
        <v>72193.289999999994</v>
      </c>
      <c r="Q112" s="10">
        <v>56253.85</v>
      </c>
      <c r="R112" s="10">
        <v>15939.44</v>
      </c>
      <c r="S112" s="8" t="s">
        <v>53</v>
      </c>
      <c r="T112" s="8" t="s">
        <v>78</v>
      </c>
      <c r="U112" s="8">
        <v>5</v>
      </c>
      <c r="V112" s="8" t="s">
        <v>65</v>
      </c>
    </row>
    <row r="113" spans="1:22" x14ac:dyDescent="0.3">
      <c r="A113" s="12" t="s">
        <v>327</v>
      </c>
      <c r="B113" s="13">
        <v>45752</v>
      </c>
      <c r="C113" s="12" t="s">
        <v>113</v>
      </c>
      <c r="D113" s="12" t="s">
        <v>114</v>
      </c>
      <c r="E113" s="12" t="s">
        <v>59</v>
      </c>
      <c r="F113" s="12" t="s">
        <v>229</v>
      </c>
      <c r="G113" s="12" t="s">
        <v>27</v>
      </c>
      <c r="H113" s="12" t="s">
        <v>94</v>
      </c>
      <c r="I113" s="12" t="s">
        <v>61</v>
      </c>
      <c r="J113" s="12" t="s">
        <v>69</v>
      </c>
      <c r="K113" s="12" t="s">
        <v>180</v>
      </c>
      <c r="L113" s="12" t="s">
        <v>91</v>
      </c>
      <c r="M113" s="12">
        <v>3</v>
      </c>
      <c r="N113" s="14">
        <v>1508.54</v>
      </c>
      <c r="O113" s="15">
        <v>0.25</v>
      </c>
      <c r="P113" s="14">
        <v>3394.22</v>
      </c>
      <c r="Q113" s="14">
        <v>2481.86</v>
      </c>
      <c r="R113" s="14">
        <v>912.36</v>
      </c>
      <c r="S113" s="12" t="s">
        <v>46</v>
      </c>
      <c r="T113" s="12" t="s">
        <v>34</v>
      </c>
      <c r="U113" s="12">
        <v>4</v>
      </c>
      <c r="V113" s="12" t="s">
        <v>96</v>
      </c>
    </row>
    <row r="114" spans="1:22" x14ac:dyDescent="0.3">
      <c r="A114" s="8" t="s">
        <v>328</v>
      </c>
      <c r="B114" s="9">
        <v>45927</v>
      </c>
      <c r="C114" s="8" t="s">
        <v>98</v>
      </c>
      <c r="D114" s="8" t="s">
        <v>99</v>
      </c>
      <c r="E114" s="8" t="s">
        <v>25</v>
      </c>
      <c r="F114" s="8" t="s">
        <v>329</v>
      </c>
      <c r="G114" s="8" t="s">
        <v>27</v>
      </c>
      <c r="H114" s="8" t="s">
        <v>94</v>
      </c>
      <c r="I114" s="8" t="s">
        <v>61</v>
      </c>
      <c r="J114" s="8" t="s">
        <v>43</v>
      </c>
      <c r="K114" s="8" t="s">
        <v>51</v>
      </c>
      <c r="L114" s="8" t="s">
        <v>77</v>
      </c>
      <c r="M114" s="8">
        <v>3</v>
      </c>
      <c r="N114" s="10">
        <v>1458.16</v>
      </c>
      <c r="O114" s="11">
        <v>0.1</v>
      </c>
      <c r="P114" s="10">
        <v>3937.03</v>
      </c>
      <c r="Q114" s="10">
        <v>2174.67</v>
      </c>
      <c r="R114" s="10">
        <v>1762.36</v>
      </c>
      <c r="S114" s="8" t="s">
        <v>33</v>
      </c>
      <c r="T114" s="8" t="s">
        <v>64</v>
      </c>
      <c r="U114" s="8">
        <v>5</v>
      </c>
      <c r="V114" s="8" t="s">
        <v>116</v>
      </c>
    </row>
    <row r="115" spans="1:22" x14ac:dyDescent="0.3">
      <c r="A115" s="12" t="s">
        <v>330</v>
      </c>
      <c r="B115" s="13">
        <v>45669</v>
      </c>
      <c r="C115" s="12" t="s">
        <v>107</v>
      </c>
      <c r="D115" s="12" t="s">
        <v>108</v>
      </c>
      <c r="E115" s="12" t="s">
        <v>39</v>
      </c>
      <c r="F115" s="12" t="s">
        <v>331</v>
      </c>
      <c r="G115" s="12" t="s">
        <v>41</v>
      </c>
      <c r="H115" s="12" t="s">
        <v>42</v>
      </c>
      <c r="I115" s="12" t="s">
        <v>61</v>
      </c>
      <c r="J115" s="12" t="s">
        <v>89</v>
      </c>
      <c r="K115" s="12" t="s">
        <v>90</v>
      </c>
      <c r="L115" s="12" t="s">
        <v>45</v>
      </c>
      <c r="M115" s="12">
        <v>4</v>
      </c>
      <c r="N115" s="14">
        <v>3356.02</v>
      </c>
      <c r="O115" s="15">
        <v>0.3</v>
      </c>
      <c r="P115" s="14">
        <v>9396.86</v>
      </c>
      <c r="Q115" s="14">
        <v>8668.7900000000009</v>
      </c>
      <c r="R115" s="14">
        <v>728.07</v>
      </c>
      <c r="S115" s="12" t="s">
        <v>53</v>
      </c>
      <c r="T115" s="12" t="s">
        <v>147</v>
      </c>
      <c r="U115" s="12">
        <v>4</v>
      </c>
      <c r="V115" s="12" t="s">
        <v>84</v>
      </c>
    </row>
    <row r="116" spans="1:22" x14ac:dyDescent="0.3">
      <c r="A116" s="8" t="s">
        <v>332</v>
      </c>
      <c r="B116" s="9">
        <v>45687</v>
      </c>
      <c r="C116" s="8" t="s">
        <v>48</v>
      </c>
      <c r="D116" s="8" t="s">
        <v>49</v>
      </c>
      <c r="E116" s="8" t="s">
        <v>39</v>
      </c>
      <c r="F116" s="8" t="s">
        <v>333</v>
      </c>
      <c r="G116" s="8" t="s">
        <v>27</v>
      </c>
      <c r="H116" s="8" t="s">
        <v>81</v>
      </c>
      <c r="I116" s="8" t="s">
        <v>61</v>
      </c>
      <c r="J116" s="8" t="s">
        <v>43</v>
      </c>
      <c r="K116" s="8" t="s">
        <v>44</v>
      </c>
      <c r="L116" s="8" t="s">
        <v>52</v>
      </c>
      <c r="M116" s="8">
        <v>4</v>
      </c>
      <c r="N116" s="10">
        <v>615.07000000000005</v>
      </c>
      <c r="O116" s="11">
        <v>0.15</v>
      </c>
      <c r="P116" s="10">
        <v>2091.2399999999998</v>
      </c>
      <c r="Q116" s="10">
        <v>1034.77</v>
      </c>
      <c r="R116" s="10">
        <v>1056.47</v>
      </c>
      <c r="S116" s="8" t="s">
        <v>63</v>
      </c>
      <c r="T116" s="8" t="s">
        <v>119</v>
      </c>
      <c r="U116" s="8">
        <v>5</v>
      </c>
      <c r="V116" s="8" t="s">
        <v>84</v>
      </c>
    </row>
    <row r="117" spans="1:22" x14ac:dyDescent="0.3">
      <c r="A117" s="12" t="s">
        <v>334</v>
      </c>
      <c r="B117" s="13">
        <v>45810</v>
      </c>
      <c r="C117" s="12" t="s">
        <v>57</v>
      </c>
      <c r="D117" s="12" t="s">
        <v>58</v>
      </c>
      <c r="E117" s="12" t="s">
        <v>59</v>
      </c>
      <c r="F117" s="12" t="s">
        <v>335</v>
      </c>
      <c r="G117" s="12" t="s">
        <v>27</v>
      </c>
      <c r="H117" s="12" t="s">
        <v>94</v>
      </c>
      <c r="I117" s="12" t="s">
        <v>29</v>
      </c>
      <c r="J117" s="12" t="s">
        <v>75</v>
      </c>
      <c r="K117" s="12" t="s">
        <v>95</v>
      </c>
      <c r="L117" s="12" t="s">
        <v>45</v>
      </c>
      <c r="M117" s="12">
        <v>2</v>
      </c>
      <c r="N117" s="14">
        <v>23840.11</v>
      </c>
      <c r="O117" s="15">
        <v>0</v>
      </c>
      <c r="P117" s="14">
        <v>47680.22</v>
      </c>
      <c r="Q117" s="14">
        <v>35245.57</v>
      </c>
      <c r="R117" s="14">
        <v>12434.65</v>
      </c>
      <c r="S117" s="12" t="s">
        <v>83</v>
      </c>
      <c r="T117" s="12" t="s">
        <v>119</v>
      </c>
      <c r="U117" s="12">
        <v>4</v>
      </c>
      <c r="V117" s="12" t="s">
        <v>157</v>
      </c>
    </row>
    <row r="118" spans="1:22" x14ac:dyDescent="0.3">
      <c r="A118" s="8" t="s">
        <v>336</v>
      </c>
      <c r="B118" s="9">
        <v>45906</v>
      </c>
      <c r="C118" s="8" t="s">
        <v>131</v>
      </c>
      <c r="D118" s="8" t="s">
        <v>132</v>
      </c>
      <c r="E118" s="8" t="s">
        <v>25</v>
      </c>
      <c r="F118" s="8" t="s">
        <v>337</v>
      </c>
      <c r="G118" s="8" t="s">
        <v>41</v>
      </c>
      <c r="H118" s="8" t="s">
        <v>94</v>
      </c>
      <c r="I118" s="8" t="s">
        <v>29</v>
      </c>
      <c r="J118" s="8" t="s">
        <v>43</v>
      </c>
      <c r="K118" s="8" t="s">
        <v>51</v>
      </c>
      <c r="L118" s="8" t="s">
        <v>91</v>
      </c>
      <c r="M118" s="8">
        <v>4</v>
      </c>
      <c r="N118" s="10">
        <v>1485.2</v>
      </c>
      <c r="O118" s="11">
        <v>0</v>
      </c>
      <c r="P118" s="10">
        <v>5940.8</v>
      </c>
      <c r="Q118" s="10">
        <v>2843.72</v>
      </c>
      <c r="R118" s="10">
        <v>3097.08</v>
      </c>
      <c r="S118" s="8" t="s">
        <v>46</v>
      </c>
      <c r="T118" s="8" t="s">
        <v>156</v>
      </c>
      <c r="U118" s="8">
        <v>5</v>
      </c>
      <c r="V118" s="8" t="s">
        <v>116</v>
      </c>
    </row>
    <row r="119" spans="1:22" x14ac:dyDescent="0.3">
      <c r="A119" s="12" t="s">
        <v>338</v>
      </c>
      <c r="B119" s="13">
        <v>45808</v>
      </c>
      <c r="C119" s="12" t="s">
        <v>131</v>
      </c>
      <c r="D119" s="12" t="s">
        <v>132</v>
      </c>
      <c r="E119" s="12" t="s">
        <v>25</v>
      </c>
      <c r="F119" s="12" t="s">
        <v>265</v>
      </c>
      <c r="G119" s="12" t="s">
        <v>41</v>
      </c>
      <c r="H119" s="12" t="s">
        <v>81</v>
      </c>
      <c r="I119" s="12" t="s">
        <v>68</v>
      </c>
      <c r="J119" s="12" t="s">
        <v>89</v>
      </c>
      <c r="K119" s="12" t="s">
        <v>151</v>
      </c>
      <c r="L119" s="12" t="s">
        <v>77</v>
      </c>
      <c r="M119" s="12">
        <v>1</v>
      </c>
      <c r="N119" s="14">
        <v>984.91</v>
      </c>
      <c r="O119" s="15">
        <v>0.3</v>
      </c>
      <c r="P119" s="14">
        <v>689.44</v>
      </c>
      <c r="Q119" s="14">
        <v>503.01</v>
      </c>
      <c r="R119" s="14">
        <v>186.43</v>
      </c>
      <c r="S119" s="12" t="s">
        <v>83</v>
      </c>
      <c r="T119" s="12" t="s">
        <v>34</v>
      </c>
      <c r="U119" s="12">
        <v>4</v>
      </c>
      <c r="V119" s="12" t="s">
        <v>134</v>
      </c>
    </row>
    <row r="120" spans="1:22" x14ac:dyDescent="0.3">
      <c r="A120" s="8" t="s">
        <v>339</v>
      </c>
      <c r="B120" s="9">
        <v>45723</v>
      </c>
      <c r="C120" s="8" t="s">
        <v>113</v>
      </c>
      <c r="D120" s="8" t="s">
        <v>114</v>
      </c>
      <c r="E120" s="8" t="s">
        <v>59</v>
      </c>
      <c r="F120" s="8" t="s">
        <v>340</v>
      </c>
      <c r="G120" s="8" t="s">
        <v>41</v>
      </c>
      <c r="H120" s="8" t="s">
        <v>28</v>
      </c>
      <c r="I120" s="8" t="s">
        <v>61</v>
      </c>
      <c r="J120" s="8" t="s">
        <v>89</v>
      </c>
      <c r="K120" s="8" t="s">
        <v>90</v>
      </c>
      <c r="L120" s="8" t="s">
        <v>91</v>
      </c>
      <c r="M120" s="8">
        <v>5</v>
      </c>
      <c r="N120" s="10">
        <v>3630.23</v>
      </c>
      <c r="O120" s="11">
        <v>0.3</v>
      </c>
      <c r="P120" s="10">
        <v>12705.81</v>
      </c>
      <c r="Q120" s="10">
        <v>10099.82</v>
      </c>
      <c r="R120" s="10">
        <v>2605.9899999999998</v>
      </c>
      <c r="S120" s="8" t="s">
        <v>63</v>
      </c>
      <c r="T120" s="8" t="s">
        <v>71</v>
      </c>
      <c r="U120" s="8">
        <v>3</v>
      </c>
      <c r="V120" s="8" t="s">
        <v>55</v>
      </c>
    </row>
    <row r="121" spans="1:22" x14ac:dyDescent="0.3">
      <c r="A121" s="12" t="s">
        <v>341</v>
      </c>
      <c r="B121" s="13">
        <v>45962</v>
      </c>
      <c r="C121" s="12" t="s">
        <v>107</v>
      </c>
      <c r="D121" s="12" t="s">
        <v>108</v>
      </c>
      <c r="E121" s="12" t="s">
        <v>39</v>
      </c>
      <c r="F121" s="12" t="s">
        <v>342</v>
      </c>
      <c r="G121" s="12" t="s">
        <v>27</v>
      </c>
      <c r="H121" s="12" t="s">
        <v>81</v>
      </c>
      <c r="I121" s="12" t="s">
        <v>61</v>
      </c>
      <c r="J121" s="12" t="s">
        <v>89</v>
      </c>
      <c r="K121" s="12" t="s">
        <v>90</v>
      </c>
      <c r="L121" s="12" t="s">
        <v>175</v>
      </c>
      <c r="M121" s="12">
        <v>2</v>
      </c>
      <c r="N121" s="14">
        <v>3633.51</v>
      </c>
      <c r="O121" s="15">
        <v>0.2</v>
      </c>
      <c r="P121" s="14">
        <v>5813.62</v>
      </c>
      <c r="Q121" s="14">
        <v>4059.87</v>
      </c>
      <c r="R121" s="14">
        <v>1753.75</v>
      </c>
      <c r="S121" s="12" t="s">
        <v>53</v>
      </c>
      <c r="T121" s="12" t="s">
        <v>104</v>
      </c>
      <c r="U121" s="12">
        <v>5</v>
      </c>
      <c r="V121" s="12" t="s">
        <v>65</v>
      </c>
    </row>
    <row r="122" spans="1:22" x14ac:dyDescent="0.3">
      <c r="A122" s="8" t="s">
        <v>343</v>
      </c>
      <c r="B122" s="9">
        <v>45738</v>
      </c>
      <c r="C122" s="8" t="s">
        <v>125</v>
      </c>
      <c r="D122" s="8" t="s">
        <v>126</v>
      </c>
      <c r="E122" s="8" t="s">
        <v>25</v>
      </c>
      <c r="F122" s="8" t="s">
        <v>344</v>
      </c>
      <c r="G122" s="8" t="s">
        <v>41</v>
      </c>
      <c r="H122" s="8" t="s">
        <v>94</v>
      </c>
      <c r="I122" s="8" t="s">
        <v>29</v>
      </c>
      <c r="J122" s="8" t="s">
        <v>101</v>
      </c>
      <c r="K122" s="8" t="s">
        <v>102</v>
      </c>
      <c r="L122" s="8" t="s">
        <v>32</v>
      </c>
      <c r="M122" s="8">
        <v>2</v>
      </c>
      <c r="N122" s="10">
        <v>677.75</v>
      </c>
      <c r="O122" s="11">
        <v>0.3</v>
      </c>
      <c r="P122" s="10">
        <v>948.85</v>
      </c>
      <c r="Q122" s="10">
        <v>486.53</v>
      </c>
      <c r="R122" s="10">
        <v>462.32</v>
      </c>
      <c r="S122" s="8" t="s">
        <v>63</v>
      </c>
      <c r="T122" s="8" t="s">
        <v>54</v>
      </c>
      <c r="U122" s="8">
        <v>5</v>
      </c>
      <c r="V122" s="8" t="s">
        <v>55</v>
      </c>
    </row>
    <row r="123" spans="1:22" x14ac:dyDescent="0.3">
      <c r="A123" s="12" t="s">
        <v>345</v>
      </c>
      <c r="B123" s="13">
        <v>45727</v>
      </c>
      <c r="C123" s="12" t="s">
        <v>37</v>
      </c>
      <c r="D123" s="12" t="s">
        <v>38</v>
      </c>
      <c r="E123" s="12" t="s">
        <v>39</v>
      </c>
      <c r="F123" s="12" t="s">
        <v>346</v>
      </c>
      <c r="G123" s="12" t="s">
        <v>27</v>
      </c>
      <c r="H123" s="12" t="s">
        <v>81</v>
      </c>
      <c r="I123" s="12" t="s">
        <v>61</v>
      </c>
      <c r="J123" s="12" t="s">
        <v>69</v>
      </c>
      <c r="K123" s="12" t="s">
        <v>70</v>
      </c>
      <c r="L123" s="12" t="s">
        <v>103</v>
      </c>
      <c r="M123" s="12">
        <v>2</v>
      </c>
      <c r="N123" s="14">
        <v>941.69</v>
      </c>
      <c r="O123" s="15">
        <v>0.25</v>
      </c>
      <c r="P123" s="14">
        <v>1412.54</v>
      </c>
      <c r="Q123" s="14">
        <v>868.22</v>
      </c>
      <c r="R123" s="14">
        <v>544.32000000000005</v>
      </c>
      <c r="S123" s="12" t="s">
        <v>33</v>
      </c>
      <c r="T123" s="12" t="s">
        <v>54</v>
      </c>
      <c r="U123" s="12">
        <v>5</v>
      </c>
      <c r="V123" s="12" t="s">
        <v>55</v>
      </c>
    </row>
    <row r="124" spans="1:22" x14ac:dyDescent="0.3">
      <c r="A124" s="8" t="s">
        <v>347</v>
      </c>
      <c r="B124" s="9">
        <v>46021</v>
      </c>
      <c r="C124" s="8" t="s">
        <v>86</v>
      </c>
      <c r="D124" s="8" t="s">
        <v>87</v>
      </c>
      <c r="E124" s="8" t="s">
        <v>59</v>
      </c>
      <c r="F124" s="8" t="s">
        <v>348</v>
      </c>
      <c r="G124" s="8" t="s">
        <v>41</v>
      </c>
      <c r="H124" s="8" t="s">
        <v>94</v>
      </c>
      <c r="I124" s="8" t="s">
        <v>29</v>
      </c>
      <c r="J124" s="8" t="s">
        <v>43</v>
      </c>
      <c r="K124" s="8" t="s">
        <v>51</v>
      </c>
      <c r="L124" s="8" t="s">
        <v>91</v>
      </c>
      <c r="M124" s="8">
        <v>4</v>
      </c>
      <c r="N124" s="10">
        <v>1464.61</v>
      </c>
      <c r="O124" s="11">
        <v>0.3</v>
      </c>
      <c r="P124" s="10">
        <v>4100.91</v>
      </c>
      <c r="Q124" s="10">
        <v>2772.47</v>
      </c>
      <c r="R124" s="10">
        <v>1328.44</v>
      </c>
      <c r="S124" s="8" t="s">
        <v>53</v>
      </c>
      <c r="T124" s="8" t="s">
        <v>78</v>
      </c>
      <c r="U124" s="8">
        <v>3</v>
      </c>
      <c r="V124" s="8" t="s">
        <v>35</v>
      </c>
    </row>
    <row r="125" spans="1:22" x14ac:dyDescent="0.3">
      <c r="A125" s="12" t="s">
        <v>349</v>
      </c>
      <c r="B125" s="13">
        <v>45735</v>
      </c>
      <c r="C125" s="12" t="s">
        <v>57</v>
      </c>
      <c r="D125" s="12" t="s">
        <v>58</v>
      </c>
      <c r="E125" s="12" t="s">
        <v>59</v>
      </c>
      <c r="F125" s="12" t="s">
        <v>350</v>
      </c>
      <c r="G125" s="12" t="s">
        <v>27</v>
      </c>
      <c r="H125" s="12" t="s">
        <v>42</v>
      </c>
      <c r="I125" s="12" t="s">
        <v>61</v>
      </c>
      <c r="J125" s="12" t="s">
        <v>43</v>
      </c>
      <c r="K125" s="12" t="s">
        <v>44</v>
      </c>
      <c r="L125" s="12" t="s">
        <v>82</v>
      </c>
      <c r="M125" s="12">
        <v>5</v>
      </c>
      <c r="N125" s="14">
        <v>615.32000000000005</v>
      </c>
      <c r="O125" s="15">
        <v>0.05</v>
      </c>
      <c r="P125" s="14">
        <v>2922.77</v>
      </c>
      <c r="Q125" s="14">
        <v>1318.57</v>
      </c>
      <c r="R125" s="14">
        <v>1604.2</v>
      </c>
      <c r="S125" s="12" t="s">
        <v>33</v>
      </c>
      <c r="T125" s="12" t="s">
        <v>64</v>
      </c>
      <c r="U125" s="12">
        <v>3</v>
      </c>
      <c r="V125" s="12" t="s">
        <v>55</v>
      </c>
    </row>
    <row r="126" spans="1:22" x14ac:dyDescent="0.3">
      <c r="A126" s="8" t="s">
        <v>351</v>
      </c>
      <c r="B126" s="9">
        <v>45697</v>
      </c>
      <c r="C126" s="8" t="s">
        <v>131</v>
      </c>
      <c r="D126" s="8" t="s">
        <v>132</v>
      </c>
      <c r="E126" s="8" t="s">
        <v>25</v>
      </c>
      <c r="F126" s="8" t="s">
        <v>352</v>
      </c>
      <c r="G126" s="8" t="s">
        <v>41</v>
      </c>
      <c r="H126" s="8" t="s">
        <v>28</v>
      </c>
      <c r="I126" s="8" t="s">
        <v>61</v>
      </c>
      <c r="J126" s="8" t="s">
        <v>43</v>
      </c>
      <c r="K126" s="8" t="s">
        <v>162</v>
      </c>
      <c r="L126" s="8" t="s">
        <v>82</v>
      </c>
      <c r="M126" s="8">
        <v>5</v>
      </c>
      <c r="N126" s="10">
        <v>866.54</v>
      </c>
      <c r="O126" s="11">
        <v>0.2</v>
      </c>
      <c r="P126" s="10">
        <v>3466.16</v>
      </c>
      <c r="Q126" s="10">
        <v>2040.53</v>
      </c>
      <c r="R126" s="10">
        <v>1425.63</v>
      </c>
      <c r="S126" s="8" t="s">
        <v>46</v>
      </c>
      <c r="T126" s="8" t="s">
        <v>119</v>
      </c>
      <c r="U126" s="8">
        <v>5</v>
      </c>
      <c r="V126" s="8" t="s">
        <v>105</v>
      </c>
    </row>
    <row r="127" spans="1:22" x14ac:dyDescent="0.3">
      <c r="A127" s="12" t="s">
        <v>353</v>
      </c>
      <c r="B127" s="13">
        <v>45709</v>
      </c>
      <c r="C127" s="12" t="s">
        <v>86</v>
      </c>
      <c r="D127" s="12" t="s">
        <v>87</v>
      </c>
      <c r="E127" s="12" t="s">
        <v>59</v>
      </c>
      <c r="F127" s="12" t="s">
        <v>354</v>
      </c>
      <c r="G127" s="12" t="s">
        <v>27</v>
      </c>
      <c r="H127" s="12" t="s">
        <v>94</v>
      </c>
      <c r="I127" s="12" t="s">
        <v>61</v>
      </c>
      <c r="J127" s="12" t="s">
        <v>69</v>
      </c>
      <c r="K127" s="12" t="s">
        <v>137</v>
      </c>
      <c r="L127" s="12" t="s">
        <v>45</v>
      </c>
      <c r="M127" s="12">
        <v>3</v>
      </c>
      <c r="N127" s="14">
        <v>504.67</v>
      </c>
      <c r="O127" s="15">
        <v>0.3</v>
      </c>
      <c r="P127" s="14">
        <v>1059.81</v>
      </c>
      <c r="Q127" s="14">
        <v>627.76</v>
      </c>
      <c r="R127" s="14">
        <v>432.05</v>
      </c>
      <c r="S127" s="12" t="s">
        <v>46</v>
      </c>
      <c r="T127" s="12" t="s">
        <v>64</v>
      </c>
      <c r="U127" s="12">
        <v>5</v>
      </c>
      <c r="V127" s="12" t="s">
        <v>105</v>
      </c>
    </row>
    <row r="128" spans="1:22" x14ac:dyDescent="0.3">
      <c r="A128" s="8" t="s">
        <v>355</v>
      </c>
      <c r="B128" s="9">
        <v>45917</v>
      </c>
      <c r="C128" s="8" t="s">
        <v>125</v>
      </c>
      <c r="D128" s="8" t="s">
        <v>126</v>
      </c>
      <c r="E128" s="8" t="s">
        <v>25</v>
      </c>
      <c r="F128" s="8" t="s">
        <v>356</v>
      </c>
      <c r="G128" s="8" t="s">
        <v>27</v>
      </c>
      <c r="H128" s="8" t="s">
        <v>94</v>
      </c>
      <c r="I128" s="8" t="s">
        <v>29</v>
      </c>
      <c r="J128" s="8" t="s">
        <v>75</v>
      </c>
      <c r="K128" s="8" t="s">
        <v>95</v>
      </c>
      <c r="L128" s="8" t="s">
        <v>91</v>
      </c>
      <c r="M128" s="8">
        <v>2</v>
      </c>
      <c r="N128" s="10">
        <v>25442.79</v>
      </c>
      <c r="O128" s="11">
        <v>0.3</v>
      </c>
      <c r="P128" s="10">
        <v>35619.910000000003</v>
      </c>
      <c r="Q128" s="10">
        <v>36330.65</v>
      </c>
      <c r="R128" s="10">
        <v>-710.74</v>
      </c>
      <c r="S128" s="8" t="s">
        <v>83</v>
      </c>
      <c r="T128" s="8" t="s">
        <v>71</v>
      </c>
      <c r="U128" s="8">
        <v>4</v>
      </c>
      <c r="V128" s="8" t="s">
        <v>116</v>
      </c>
    </row>
    <row r="129" spans="1:22" x14ac:dyDescent="0.3">
      <c r="A129" s="12" t="s">
        <v>357</v>
      </c>
      <c r="B129" s="13">
        <v>45812</v>
      </c>
      <c r="C129" s="12" t="s">
        <v>48</v>
      </c>
      <c r="D129" s="12" t="s">
        <v>49</v>
      </c>
      <c r="E129" s="12" t="s">
        <v>39</v>
      </c>
      <c r="F129" s="12" t="s">
        <v>358</v>
      </c>
      <c r="G129" s="12" t="s">
        <v>41</v>
      </c>
      <c r="H129" s="12" t="s">
        <v>81</v>
      </c>
      <c r="I129" s="12" t="s">
        <v>29</v>
      </c>
      <c r="J129" s="12" t="s">
        <v>69</v>
      </c>
      <c r="K129" s="12" t="s">
        <v>137</v>
      </c>
      <c r="L129" s="12" t="s">
        <v>103</v>
      </c>
      <c r="M129" s="12">
        <v>3</v>
      </c>
      <c r="N129" s="14">
        <v>482.8</v>
      </c>
      <c r="O129" s="15">
        <v>0.2</v>
      </c>
      <c r="P129" s="14">
        <v>1158.72</v>
      </c>
      <c r="Q129" s="14">
        <v>645.66999999999996</v>
      </c>
      <c r="R129" s="14">
        <v>513.04999999999995</v>
      </c>
      <c r="S129" s="12" t="s">
        <v>53</v>
      </c>
      <c r="T129" s="12" t="s">
        <v>111</v>
      </c>
      <c r="U129" s="12">
        <v>3</v>
      </c>
      <c r="V129" s="12" t="s">
        <v>157</v>
      </c>
    </row>
    <row r="130" spans="1:22" x14ac:dyDescent="0.3">
      <c r="A130" s="8" t="s">
        <v>359</v>
      </c>
      <c r="B130" s="9">
        <v>45663</v>
      </c>
      <c r="C130" s="8" t="s">
        <v>86</v>
      </c>
      <c r="D130" s="8" t="s">
        <v>87</v>
      </c>
      <c r="E130" s="8" t="s">
        <v>59</v>
      </c>
      <c r="F130" s="8" t="s">
        <v>360</v>
      </c>
      <c r="G130" s="8" t="s">
        <v>27</v>
      </c>
      <c r="H130" s="8" t="s">
        <v>81</v>
      </c>
      <c r="I130" s="8" t="s">
        <v>29</v>
      </c>
      <c r="J130" s="8" t="s">
        <v>101</v>
      </c>
      <c r="K130" s="8" t="s">
        <v>102</v>
      </c>
      <c r="L130" s="8" t="s">
        <v>91</v>
      </c>
      <c r="M130" s="8">
        <v>4</v>
      </c>
      <c r="N130" s="10">
        <v>711.47</v>
      </c>
      <c r="O130" s="11">
        <v>0.1</v>
      </c>
      <c r="P130" s="10">
        <v>2561.29</v>
      </c>
      <c r="Q130" s="10">
        <v>968.31</v>
      </c>
      <c r="R130" s="10">
        <v>1592.98</v>
      </c>
      <c r="S130" s="8" t="s">
        <v>33</v>
      </c>
      <c r="T130" s="8" t="s">
        <v>147</v>
      </c>
      <c r="U130" s="8">
        <v>3</v>
      </c>
      <c r="V130" s="8" t="s">
        <v>84</v>
      </c>
    </row>
    <row r="131" spans="1:22" x14ac:dyDescent="0.3">
      <c r="A131" s="12" t="s">
        <v>361</v>
      </c>
      <c r="B131" s="13">
        <v>45800</v>
      </c>
      <c r="C131" s="12" t="s">
        <v>107</v>
      </c>
      <c r="D131" s="12" t="s">
        <v>108</v>
      </c>
      <c r="E131" s="12" t="s">
        <v>39</v>
      </c>
      <c r="F131" s="12" t="s">
        <v>362</v>
      </c>
      <c r="G131" s="12" t="s">
        <v>27</v>
      </c>
      <c r="H131" s="12" t="s">
        <v>81</v>
      </c>
      <c r="I131" s="12" t="s">
        <v>29</v>
      </c>
      <c r="J131" s="12" t="s">
        <v>101</v>
      </c>
      <c r="K131" s="12" t="s">
        <v>217</v>
      </c>
      <c r="L131" s="12" t="s">
        <v>103</v>
      </c>
      <c r="M131" s="12">
        <v>5</v>
      </c>
      <c r="N131" s="14">
        <v>3065.25</v>
      </c>
      <c r="O131" s="15">
        <v>0</v>
      </c>
      <c r="P131" s="14">
        <v>15326.25</v>
      </c>
      <c r="Q131" s="14">
        <v>8590.81</v>
      </c>
      <c r="R131" s="14">
        <v>6735.44</v>
      </c>
      <c r="S131" s="12" t="s">
        <v>83</v>
      </c>
      <c r="T131" s="12" t="s">
        <v>54</v>
      </c>
      <c r="U131" s="12">
        <v>5</v>
      </c>
      <c r="V131" s="12" t="s">
        <v>134</v>
      </c>
    </row>
    <row r="132" spans="1:22" x14ac:dyDescent="0.3">
      <c r="A132" s="8" t="s">
        <v>363</v>
      </c>
      <c r="B132" s="9">
        <v>45913</v>
      </c>
      <c r="C132" s="8" t="s">
        <v>107</v>
      </c>
      <c r="D132" s="8" t="s">
        <v>108</v>
      </c>
      <c r="E132" s="8" t="s">
        <v>39</v>
      </c>
      <c r="F132" s="8" t="s">
        <v>314</v>
      </c>
      <c r="G132" s="8" t="s">
        <v>41</v>
      </c>
      <c r="H132" s="8" t="s">
        <v>81</v>
      </c>
      <c r="I132" s="8" t="s">
        <v>61</v>
      </c>
      <c r="J132" s="8" t="s">
        <v>75</v>
      </c>
      <c r="K132" s="8" t="s">
        <v>95</v>
      </c>
      <c r="L132" s="8" t="s">
        <v>32</v>
      </c>
      <c r="M132" s="8">
        <v>1</v>
      </c>
      <c r="N132" s="10">
        <v>25677.94</v>
      </c>
      <c r="O132" s="11">
        <v>0.3</v>
      </c>
      <c r="P132" s="10">
        <v>17974.560000000001</v>
      </c>
      <c r="Q132" s="10">
        <v>18480.61</v>
      </c>
      <c r="R132" s="10">
        <v>-506.05</v>
      </c>
      <c r="S132" s="8" t="s">
        <v>46</v>
      </c>
      <c r="T132" s="8" t="s">
        <v>64</v>
      </c>
      <c r="U132" s="8">
        <v>5</v>
      </c>
      <c r="V132" s="8" t="s">
        <v>116</v>
      </c>
    </row>
    <row r="133" spans="1:22" x14ac:dyDescent="0.3">
      <c r="A133" s="12" t="s">
        <v>364</v>
      </c>
      <c r="B133" s="13">
        <v>45669</v>
      </c>
      <c r="C133" s="12" t="s">
        <v>23</v>
      </c>
      <c r="D133" s="12" t="s">
        <v>24</v>
      </c>
      <c r="E133" s="12" t="s">
        <v>25</v>
      </c>
      <c r="F133" s="12" t="s">
        <v>316</v>
      </c>
      <c r="G133" s="12" t="s">
        <v>41</v>
      </c>
      <c r="H133" s="12" t="s">
        <v>42</v>
      </c>
      <c r="I133" s="12" t="s">
        <v>68</v>
      </c>
      <c r="J133" s="12" t="s">
        <v>30</v>
      </c>
      <c r="K133" s="12" t="s">
        <v>31</v>
      </c>
      <c r="L133" s="12" t="s">
        <v>91</v>
      </c>
      <c r="M133" s="12">
        <v>1</v>
      </c>
      <c r="N133" s="14">
        <v>3986.06</v>
      </c>
      <c r="O133" s="15">
        <v>0.15</v>
      </c>
      <c r="P133" s="14">
        <v>3388.15</v>
      </c>
      <c r="Q133" s="14">
        <v>2274.29</v>
      </c>
      <c r="R133" s="14">
        <v>1113.8599999999999</v>
      </c>
      <c r="S133" s="12" t="s">
        <v>46</v>
      </c>
      <c r="T133" s="12" t="s">
        <v>71</v>
      </c>
      <c r="U133" s="12">
        <v>5</v>
      </c>
      <c r="V133" s="12" t="s">
        <v>84</v>
      </c>
    </row>
    <row r="134" spans="1:22" x14ac:dyDescent="0.3">
      <c r="A134" s="8" t="s">
        <v>365</v>
      </c>
      <c r="B134" s="9">
        <v>45796</v>
      </c>
      <c r="C134" s="8" t="s">
        <v>131</v>
      </c>
      <c r="D134" s="8" t="s">
        <v>132</v>
      </c>
      <c r="E134" s="8" t="s">
        <v>25</v>
      </c>
      <c r="F134" s="8" t="s">
        <v>366</v>
      </c>
      <c r="G134" s="8" t="s">
        <v>41</v>
      </c>
      <c r="H134" s="8" t="s">
        <v>28</v>
      </c>
      <c r="I134" s="8" t="s">
        <v>68</v>
      </c>
      <c r="J134" s="8" t="s">
        <v>43</v>
      </c>
      <c r="K134" s="8" t="s">
        <v>44</v>
      </c>
      <c r="L134" s="8" t="s">
        <v>52</v>
      </c>
      <c r="M134" s="8">
        <v>1</v>
      </c>
      <c r="N134" s="10">
        <v>580.22</v>
      </c>
      <c r="O134" s="11">
        <v>0.2</v>
      </c>
      <c r="P134" s="10">
        <v>464.18</v>
      </c>
      <c r="Q134" s="10">
        <v>271.26</v>
      </c>
      <c r="R134" s="10">
        <v>192.92</v>
      </c>
      <c r="S134" s="8" t="s">
        <v>46</v>
      </c>
      <c r="T134" s="8" t="s">
        <v>147</v>
      </c>
      <c r="U134" s="8">
        <v>3</v>
      </c>
      <c r="V134" s="8" t="s">
        <v>134</v>
      </c>
    </row>
    <row r="135" spans="1:22" x14ac:dyDescent="0.3">
      <c r="A135" s="12" t="s">
        <v>367</v>
      </c>
      <c r="B135" s="13">
        <v>45963</v>
      </c>
      <c r="C135" s="12" t="s">
        <v>57</v>
      </c>
      <c r="D135" s="12" t="s">
        <v>58</v>
      </c>
      <c r="E135" s="12" t="s">
        <v>59</v>
      </c>
      <c r="F135" s="12" t="s">
        <v>368</v>
      </c>
      <c r="G135" s="12" t="s">
        <v>27</v>
      </c>
      <c r="H135" s="12" t="s">
        <v>28</v>
      </c>
      <c r="I135" s="12" t="s">
        <v>29</v>
      </c>
      <c r="J135" s="12" t="s">
        <v>101</v>
      </c>
      <c r="K135" s="12" t="s">
        <v>102</v>
      </c>
      <c r="L135" s="12" t="s">
        <v>175</v>
      </c>
      <c r="M135" s="12">
        <v>4</v>
      </c>
      <c r="N135" s="14">
        <v>723.39</v>
      </c>
      <c r="O135" s="15">
        <v>0</v>
      </c>
      <c r="P135" s="14">
        <v>2893.56</v>
      </c>
      <c r="Q135" s="14">
        <v>970.87</v>
      </c>
      <c r="R135" s="14">
        <v>1922.69</v>
      </c>
      <c r="S135" s="12" t="s">
        <v>33</v>
      </c>
      <c r="T135" s="12" t="s">
        <v>147</v>
      </c>
      <c r="U135" s="12">
        <v>3</v>
      </c>
      <c r="V135" s="12" t="s">
        <v>65</v>
      </c>
    </row>
    <row r="136" spans="1:22" x14ac:dyDescent="0.3">
      <c r="A136" s="8" t="s">
        <v>369</v>
      </c>
      <c r="B136" s="9">
        <v>46013</v>
      </c>
      <c r="C136" s="8" t="s">
        <v>57</v>
      </c>
      <c r="D136" s="8" t="s">
        <v>58</v>
      </c>
      <c r="E136" s="8" t="s">
        <v>59</v>
      </c>
      <c r="F136" s="8" t="s">
        <v>370</v>
      </c>
      <c r="G136" s="8" t="s">
        <v>41</v>
      </c>
      <c r="H136" s="8" t="s">
        <v>94</v>
      </c>
      <c r="I136" s="8" t="s">
        <v>68</v>
      </c>
      <c r="J136" s="8" t="s">
        <v>75</v>
      </c>
      <c r="K136" s="8" t="s">
        <v>154</v>
      </c>
      <c r="L136" s="8" t="s">
        <v>32</v>
      </c>
      <c r="M136" s="8">
        <v>2</v>
      </c>
      <c r="N136" s="10">
        <v>1987.79</v>
      </c>
      <c r="O136" s="11">
        <v>0.2</v>
      </c>
      <c r="P136" s="10">
        <v>3180.46</v>
      </c>
      <c r="Q136" s="10">
        <v>2094.35</v>
      </c>
      <c r="R136" s="10">
        <v>1086.1099999999999</v>
      </c>
      <c r="S136" s="8" t="s">
        <v>53</v>
      </c>
      <c r="T136" s="8" t="s">
        <v>34</v>
      </c>
      <c r="U136" s="8">
        <v>3</v>
      </c>
      <c r="V136" s="8" t="s">
        <v>35</v>
      </c>
    </row>
    <row r="137" spans="1:22" x14ac:dyDescent="0.3">
      <c r="A137" s="12" t="s">
        <v>371</v>
      </c>
      <c r="B137" s="13">
        <v>45967</v>
      </c>
      <c r="C137" s="12" t="s">
        <v>23</v>
      </c>
      <c r="D137" s="12" t="s">
        <v>24</v>
      </c>
      <c r="E137" s="12" t="s">
        <v>25</v>
      </c>
      <c r="F137" s="12" t="s">
        <v>372</v>
      </c>
      <c r="G137" s="12" t="s">
        <v>27</v>
      </c>
      <c r="H137" s="12" t="s">
        <v>28</v>
      </c>
      <c r="I137" s="12" t="s">
        <v>29</v>
      </c>
      <c r="J137" s="12" t="s">
        <v>43</v>
      </c>
      <c r="K137" s="12" t="s">
        <v>44</v>
      </c>
      <c r="L137" s="12" t="s">
        <v>91</v>
      </c>
      <c r="M137" s="12">
        <v>5</v>
      </c>
      <c r="N137" s="14">
        <v>570.71</v>
      </c>
      <c r="O137" s="15">
        <v>0.1</v>
      </c>
      <c r="P137" s="14">
        <v>2568.1999999999998</v>
      </c>
      <c r="Q137" s="14">
        <v>1333.43</v>
      </c>
      <c r="R137" s="14">
        <v>1234.77</v>
      </c>
      <c r="S137" s="12" t="s">
        <v>53</v>
      </c>
      <c r="T137" s="12" t="s">
        <v>34</v>
      </c>
      <c r="U137" s="12">
        <v>3</v>
      </c>
      <c r="V137" s="12" t="s">
        <v>65</v>
      </c>
    </row>
    <row r="138" spans="1:22" x14ac:dyDescent="0.3">
      <c r="A138" s="8" t="s">
        <v>373</v>
      </c>
      <c r="B138" s="9">
        <v>45863</v>
      </c>
      <c r="C138" s="8" t="s">
        <v>98</v>
      </c>
      <c r="D138" s="8" t="s">
        <v>99</v>
      </c>
      <c r="E138" s="8" t="s">
        <v>25</v>
      </c>
      <c r="F138" s="8" t="s">
        <v>374</v>
      </c>
      <c r="G138" s="8" t="s">
        <v>27</v>
      </c>
      <c r="H138" s="8" t="s">
        <v>28</v>
      </c>
      <c r="I138" s="8" t="s">
        <v>29</v>
      </c>
      <c r="J138" s="8" t="s">
        <v>75</v>
      </c>
      <c r="K138" s="8" t="s">
        <v>76</v>
      </c>
      <c r="L138" s="8" t="s">
        <v>175</v>
      </c>
      <c r="M138" s="8">
        <v>2</v>
      </c>
      <c r="N138" s="10">
        <v>774.24</v>
      </c>
      <c r="O138" s="11">
        <v>0.15</v>
      </c>
      <c r="P138" s="10">
        <v>1316.21</v>
      </c>
      <c r="Q138" s="10">
        <v>696.03</v>
      </c>
      <c r="R138" s="10">
        <v>620.17999999999995</v>
      </c>
      <c r="S138" s="8" t="s">
        <v>53</v>
      </c>
      <c r="T138" s="8" t="s">
        <v>34</v>
      </c>
      <c r="U138" s="8">
        <v>4</v>
      </c>
      <c r="V138" s="8" t="s">
        <v>120</v>
      </c>
    </row>
    <row r="139" spans="1:22" x14ac:dyDescent="0.3">
      <c r="A139" s="12" t="s">
        <v>375</v>
      </c>
      <c r="B139" s="13">
        <v>45821</v>
      </c>
      <c r="C139" s="12" t="s">
        <v>107</v>
      </c>
      <c r="D139" s="12" t="s">
        <v>108</v>
      </c>
      <c r="E139" s="12" t="s">
        <v>39</v>
      </c>
      <c r="F139" s="12" t="s">
        <v>376</v>
      </c>
      <c r="G139" s="12" t="s">
        <v>41</v>
      </c>
      <c r="H139" s="12" t="s">
        <v>28</v>
      </c>
      <c r="I139" s="12" t="s">
        <v>29</v>
      </c>
      <c r="J139" s="12" t="s">
        <v>69</v>
      </c>
      <c r="K139" s="12" t="s">
        <v>180</v>
      </c>
      <c r="L139" s="12" t="s">
        <v>82</v>
      </c>
      <c r="M139" s="12">
        <v>1</v>
      </c>
      <c r="N139" s="14">
        <v>1449.93</v>
      </c>
      <c r="O139" s="15">
        <v>0.2</v>
      </c>
      <c r="P139" s="14">
        <v>1159.94</v>
      </c>
      <c r="Q139" s="14">
        <v>876.69</v>
      </c>
      <c r="R139" s="14">
        <v>283.25</v>
      </c>
      <c r="S139" s="12" t="s">
        <v>33</v>
      </c>
      <c r="T139" s="12" t="s">
        <v>147</v>
      </c>
      <c r="U139" s="12">
        <v>5</v>
      </c>
      <c r="V139" s="12" t="s">
        <v>157</v>
      </c>
    </row>
    <row r="140" spans="1:22" x14ac:dyDescent="0.3">
      <c r="A140" s="8" t="s">
        <v>377</v>
      </c>
      <c r="B140" s="9">
        <v>45761</v>
      </c>
      <c r="C140" s="8" t="s">
        <v>131</v>
      </c>
      <c r="D140" s="8" t="s">
        <v>132</v>
      </c>
      <c r="E140" s="8" t="s">
        <v>25</v>
      </c>
      <c r="F140" s="8" t="s">
        <v>253</v>
      </c>
      <c r="G140" s="8" t="s">
        <v>27</v>
      </c>
      <c r="H140" s="8" t="s">
        <v>28</v>
      </c>
      <c r="I140" s="8" t="s">
        <v>29</v>
      </c>
      <c r="J140" s="8" t="s">
        <v>69</v>
      </c>
      <c r="K140" s="8" t="s">
        <v>137</v>
      </c>
      <c r="L140" s="8" t="s">
        <v>52</v>
      </c>
      <c r="M140" s="8">
        <v>3</v>
      </c>
      <c r="N140" s="10">
        <v>523.19000000000005</v>
      </c>
      <c r="O140" s="11">
        <v>0.25</v>
      </c>
      <c r="P140" s="10">
        <v>1177.18</v>
      </c>
      <c r="Q140" s="10">
        <v>685.37</v>
      </c>
      <c r="R140" s="10">
        <v>491.81</v>
      </c>
      <c r="S140" s="8" t="s">
        <v>53</v>
      </c>
      <c r="T140" s="8" t="s">
        <v>64</v>
      </c>
      <c r="U140" s="8">
        <v>4</v>
      </c>
      <c r="V140" s="8" t="s">
        <v>96</v>
      </c>
    </row>
    <row r="141" spans="1:22" x14ac:dyDescent="0.3">
      <c r="A141" s="12" t="s">
        <v>378</v>
      </c>
      <c r="B141" s="13">
        <v>45797</v>
      </c>
      <c r="C141" s="12" t="s">
        <v>23</v>
      </c>
      <c r="D141" s="12" t="s">
        <v>24</v>
      </c>
      <c r="E141" s="12" t="s">
        <v>25</v>
      </c>
      <c r="F141" s="12" t="s">
        <v>379</v>
      </c>
      <c r="G141" s="12" t="s">
        <v>41</v>
      </c>
      <c r="H141" s="12" t="s">
        <v>28</v>
      </c>
      <c r="I141" s="12" t="s">
        <v>61</v>
      </c>
      <c r="J141" s="12" t="s">
        <v>89</v>
      </c>
      <c r="K141" s="12" t="s">
        <v>89</v>
      </c>
      <c r="L141" s="12" t="s">
        <v>32</v>
      </c>
      <c r="M141" s="12">
        <v>3</v>
      </c>
      <c r="N141" s="14">
        <v>1322.9</v>
      </c>
      <c r="O141" s="15">
        <v>0.25</v>
      </c>
      <c r="P141" s="14">
        <v>2976.53</v>
      </c>
      <c r="Q141" s="14">
        <v>2015.76</v>
      </c>
      <c r="R141" s="14">
        <v>960.77</v>
      </c>
      <c r="S141" s="12" t="s">
        <v>33</v>
      </c>
      <c r="T141" s="12" t="s">
        <v>54</v>
      </c>
      <c r="U141" s="12">
        <v>5</v>
      </c>
      <c r="V141" s="12" t="s">
        <v>134</v>
      </c>
    </row>
    <row r="142" spans="1:22" x14ac:dyDescent="0.3">
      <c r="A142" s="8" t="s">
        <v>380</v>
      </c>
      <c r="B142" s="9">
        <v>45893</v>
      </c>
      <c r="C142" s="8" t="s">
        <v>125</v>
      </c>
      <c r="D142" s="8" t="s">
        <v>126</v>
      </c>
      <c r="E142" s="8" t="s">
        <v>25</v>
      </c>
      <c r="F142" s="8" t="s">
        <v>381</v>
      </c>
      <c r="G142" s="8" t="s">
        <v>41</v>
      </c>
      <c r="H142" s="8" t="s">
        <v>28</v>
      </c>
      <c r="I142" s="8" t="s">
        <v>68</v>
      </c>
      <c r="J142" s="8" t="s">
        <v>69</v>
      </c>
      <c r="K142" s="8" t="s">
        <v>137</v>
      </c>
      <c r="L142" s="8" t="s">
        <v>103</v>
      </c>
      <c r="M142" s="8">
        <v>2</v>
      </c>
      <c r="N142" s="10">
        <v>497.96</v>
      </c>
      <c r="O142" s="11">
        <v>0.1</v>
      </c>
      <c r="P142" s="10">
        <v>896.33</v>
      </c>
      <c r="Q142" s="10">
        <v>431.52</v>
      </c>
      <c r="R142" s="10">
        <v>464.81</v>
      </c>
      <c r="S142" s="8" t="s">
        <v>83</v>
      </c>
      <c r="T142" s="8" t="s">
        <v>156</v>
      </c>
      <c r="U142" s="8">
        <v>4</v>
      </c>
      <c r="V142" s="8" t="s">
        <v>72</v>
      </c>
    </row>
    <row r="143" spans="1:22" x14ac:dyDescent="0.3">
      <c r="A143" s="12" t="s">
        <v>382</v>
      </c>
      <c r="B143" s="13">
        <v>45977</v>
      </c>
      <c r="C143" s="12" t="s">
        <v>125</v>
      </c>
      <c r="D143" s="12" t="s">
        <v>126</v>
      </c>
      <c r="E143" s="12" t="s">
        <v>25</v>
      </c>
      <c r="F143" s="12" t="s">
        <v>383</v>
      </c>
      <c r="G143" s="12" t="s">
        <v>27</v>
      </c>
      <c r="H143" s="12" t="s">
        <v>28</v>
      </c>
      <c r="I143" s="12" t="s">
        <v>68</v>
      </c>
      <c r="J143" s="12" t="s">
        <v>43</v>
      </c>
      <c r="K143" s="12" t="s">
        <v>162</v>
      </c>
      <c r="L143" s="12" t="s">
        <v>175</v>
      </c>
      <c r="M143" s="12">
        <v>3</v>
      </c>
      <c r="N143" s="14">
        <v>883.78</v>
      </c>
      <c r="O143" s="15">
        <v>0.3</v>
      </c>
      <c r="P143" s="14">
        <v>1855.94</v>
      </c>
      <c r="Q143" s="14">
        <v>1247.75</v>
      </c>
      <c r="R143" s="14">
        <v>608.19000000000005</v>
      </c>
      <c r="S143" s="12" t="s">
        <v>53</v>
      </c>
      <c r="T143" s="12" t="s">
        <v>111</v>
      </c>
      <c r="U143" s="12">
        <v>4</v>
      </c>
      <c r="V143" s="12" t="s">
        <v>65</v>
      </c>
    </row>
    <row r="144" spans="1:22" x14ac:dyDescent="0.3">
      <c r="A144" s="8" t="s">
        <v>384</v>
      </c>
      <c r="B144" s="9">
        <v>46022</v>
      </c>
      <c r="C144" s="8" t="s">
        <v>113</v>
      </c>
      <c r="D144" s="8" t="s">
        <v>114</v>
      </c>
      <c r="E144" s="8" t="s">
        <v>59</v>
      </c>
      <c r="F144" s="8" t="s">
        <v>385</v>
      </c>
      <c r="G144" s="8" t="s">
        <v>41</v>
      </c>
      <c r="H144" s="8" t="s">
        <v>28</v>
      </c>
      <c r="I144" s="8" t="s">
        <v>61</v>
      </c>
      <c r="J144" s="8" t="s">
        <v>89</v>
      </c>
      <c r="K144" s="8" t="s">
        <v>89</v>
      </c>
      <c r="L144" s="8" t="s">
        <v>52</v>
      </c>
      <c r="M144" s="8">
        <v>3</v>
      </c>
      <c r="N144" s="10">
        <v>1353.15</v>
      </c>
      <c r="O144" s="11">
        <v>0.25</v>
      </c>
      <c r="P144" s="10">
        <v>3044.59</v>
      </c>
      <c r="Q144" s="10">
        <v>2154.44</v>
      </c>
      <c r="R144" s="10">
        <v>890.15</v>
      </c>
      <c r="S144" s="8" t="s">
        <v>63</v>
      </c>
      <c r="T144" s="8" t="s">
        <v>147</v>
      </c>
      <c r="U144" s="8">
        <v>4</v>
      </c>
      <c r="V144" s="8" t="s">
        <v>35</v>
      </c>
    </row>
    <row r="145" spans="1:22" x14ac:dyDescent="0.3">
      <c r="A145" s="12" t="s">
        <v>386</v>
      </c>
      <c r="B145" s="13">
        <v>45751</v>
      </c>
      <c r="C145" s="12" t="s">
        <v>98</v>
      </c>
      <c r="D145" s="12" t="s">
        <v>99</v>
      </c>
      <c r="E145" s="12" t="s">
        <v>25</v>
      </c>
      <c r="F145" s="12" t="s">
        <v>387</v>
      </c>
      <c r="G145" s="12" t="s">
        <v>41</v>
      </c>
      <c r="H145" s="12" t="s">
        <v>28</v>
      </c>
      <c r="I145" s="12" t="s">
        <v>61</v>
      </c>
      <c r="J145" s="12" t="s">
        <v>43</v>
      </c>
      <c r="K145" s="12" t="s">
        <v>162</v>
      </c>
      <c r="L145" s="12" t="s">
        <v>91</v>
      </c>
      <c r="M145" s="12">
        <v>2</v>
      </c>
      <c r="N145" s="14">
        <v>891.03</v>
      </c>
      <c r="O145" s="15">
        <v>0</v>
      </c>
      <c r="P145" s="14">
        <v>1782.06</v>
      </c>
      <c r="Q145" s="14">
        <v>829.05</v>
      </c>
      <c r="R145" s="14">
        <v>953.01</v>
      </c>
      <c r="S145" s="12" t="s">
        <v>46</v>
      </c>
      <c r="T145" s="12" t="s">
        <v>104</v>
      </c>
      <c r="U145" s="12">
        <v>4</v>
      </c>
      <c r="V145" s="12" t="s">
        <v>96</v>
      </c>
    </row>
    <row r="146" spans="1:22" x14ac:dyDescent="0.3">
      <c r="A146" s="8" t="s">
        <v>388</v>
      </c>
      <c r="B146" s="9">
        <v>45755</v>
      </c>
      <c r="C146" s="8" t="s">
        <v>131</v>
      </c>
      <c r="D146" s="8" t="s">
        <v>132</v>
      </c>
      <c r="E146" s="8" t="s">
        <v>25</v>
      </c>
      <c r="F146" s="8" t="s">
        <v>389</v>
      </c>
      <c r="G146" s="8" t="s">
        <v>27</v>
      </c>
      <c r="H146" s="8" t="s">
        <v>94</v>
      </c>
      <c r="I146" s="8" t="s">
        <v>29</v>
      </c>
      <c r="J146" s="8" t="s">
        <v>30</v>
      </c>
      <c r="K146" s="8" t="s">
        <v>144</v>
      </c>
      <c r="L146" s="8" t="s">
        <v>82</v>
      </c>
      <c r="M146" s="8">
        <v>3</v>
      </c>
      <c r="N146" s="10">
        <v>2586.9499999999998</v>
      </c>
      <c r="O146" s="11">
        <v>0.25</v>
      </c>
      <c r="P146" s="10">
        <v>5820.64</v>
      </c>
      <c r="Q146" s="10">
        <v>4355.2700000000004</v>
      </c>
      <c r="R146" s="10">
        <v>1465.37</v>
      </c>
      <c r="S146" s="8" t="s">
        <v>33</v>
      </c>
      <c r="T146" s="8" t="s">
        <v>111</v>
      </c>
      <c r="U146" s="8">
        <v>4</v>
      </c>
      <c r="V146" s="8" t="s">
        <v>96</v>
      </c>
    </row>
    <row r="147" spans="1:22" x14ac:dyDescent="0.3">
      <c r="A147" s="12" t="s">
        <v>390</v>
      </c>
      <c r="B147" s="13">
        <v>45820</v>
      </c>
      <c r="C147" s="12" t="s">
        <v>57</v>
      </c>
      <c r="D147" s="12" t="s">
        <v>58</v>
      </c>
      <c r="E147" s="12" t="s">
        <v>59</v>
      </c>
      <c r="F147" s="12" t="s">
        <v>198</v>
      </c>
      <c r="G147" s="12" t="s">
        <v>41</v>
      </c>
      <c r="H147" s="12" t="s">
        <v>28</v>
      </c>
      <c r="I147" s="12" t="s">
        <v>29</v>
      </c>
      <c r="J147" s="12" t="s">
        <v>43</v>
      </c>
      <c r="K147" s="12" t="s">
        <v>44</v>
      </c>
      <c r="L147" s="12" t="s">
        <v>82</v>
      </c>
      <c r="M147" s="12">
        <v>4</v>
      </c>
      <c r="N147" s="14">
        <v>574.67999999999995</v>
      </c>
      <c r="O147" s="15">
        <v>0</v>
      </c>
      <c r="P147" s="14">
        <v>2298.7199999999998</v>
      </c>
      <c r="Q147" s="14">
        <v>1065.69</v>
      </c>
      <c r="R147" s="14">
        <v>1233.03</v>
      </c>
      <c r="S147" s="12" t="s">
        <v>83</v>
      </c>
      <c r="T147" s="12" t="s">
        <v>119</v>
      </c>
      <c r="U147" s="12">
        <v>4</v>
      </c>
      <c r="V147" s="12" t="s">
        <v>157</v>
      </c>
    </row>
    <row r="148" spans="1:22" x14ac:dyDescent="0.3">
      <c r="A148" s="8" t="s">
        <v>391</v>
      </c>
      <c r="B148" s="9">
        <v>45956</v>
      </c>
      <c r="C148" s="8" t="s">
        <v>107</v>
      </c>
      <c r="D148" s="8" t="s">
        <v>108</v>
      </c>
      <c r="E148" s="8" t="s">
        <v>39</v>
      </c>
      <c r="F148" s="8" t="s">
        <v>392</v>
      </c>
      <c r="G148" s="8" t="s">
        <v>41</v>
      </c>
      <c r="H148" s="8" t="s">
        <v>81</v>
      </c>
      <c r="I148" s="8" t="s">
        <v>61</v>
      </c>
      <c r="J148" s="8" t="s">
        <v>89</v>
      </c>
      <c r="K148" s="8" t="s">
        <v>89</v>
      </c>
      <c r="L148" s="8" t="s">
        <v>82</v>
      </c>
      <c r="M148" s="8">
        <v>3</v>
      </c>
      <c r="N148" s="10">
        <v>1315</v>
      </c>
      <c r="O148" s="11">
        <v>0</v>
      </c>
      <c r="P148" s="10">
        <v>3945</v>
      </c>
      <c r="Q148" s="10">
        <v>2102.38</v>
      </c>
      <c r="R148" s="10">
        <v>1842.62</v>
      </c>
      <c r="S148" s="8" t="s">
        <v>46</v>
      </c>
      <c r="T148" s="8" t="s">
        <v>34</v>
      </c>
      <c r="U148" s="8">
        <v>5</v>
      </c>
      <c r="V148" s="8" t="s">
        <v>123</v>
      </c>
    </row>
    <row r="149" spans="1:22" x14ac:dyDescent="0.3">
      <c r="A149" s="12" t="s">
        <v>393</v>
      </c>
      <c r="B149" s="13">
        <v>45909</v>
      </c>
      <c r="C149" s="12" t="s">
        <v>131</v>
      </c>
      <c r="D149" s="12" t="s">
        <v>132</v>
      </c>
      <c r="E149" s="12" t="s">
        <v>25</v>
      </c>
      <c r="F149" s="12" t="s">
        <v>394</v>
      </c>
      <c r="G149" s="12" t="s">
        <v>41</v>
      </c>
      <c r="H149" s="12" t="s">
        <v>28</v>
      </c>
      <c r="I149" s="12" t="s">
        <v>29</v>
      </c>
      <c r="J149" s="12" t="s">
        <v>30</v>
      </c>
      <c r="K149" s="12" t="s">
        <v>62</v>
      </c>
      <c r="L149" s="12" t="s">
        <v>45</v>
      </c>
      <c r="M149" s="12">
        <v>4</v>
      </c>
      <c r="N149" s="14">
        <v>971.43</v>
      </c>
      <c r="O149" s="15">
        <v>0</v>
      </c>
      <c r="P149" s="14">
        <v>3885.72</v>
      </c>
      <c r="Q149" s="14">
        <v>1769.8</v>
      </c>
      <c r="R149" s="14">
        <v>2115.92</v>
      </c>
      <c r="S149" s="12" t="s">
        <v>33</v>
      </c>
      <c r="T149" s="12" t="s">
        <v>104</v>
      </c>
      <c r="U149" s="12">
        <v>4</v>
      </c>
      <c r="V149" s="12" t="s">
        <v>116</v>
      </c>
    </row>
    <row r="150" spans="1:22" x14ac:dyDescent="0.3">
      <c r="A150" s="8" t="s">
        <v>395</v>
      </c>
      <c r="B150" s="9">
        <v>45954</v>
      </c>
      <c r="C150" s="8" t="s">
        <v>86</v>
      </c>
      <c r="D150" s="8" t="s">
        <v>87</v>
      </c>
      <c r="E150" s="8" t="s">
        <v>59</v>
      </c>
      <c r="F150" s="8" t="s">
        <v>396</v>
      </c>
      <c r="G150" s="8" t="s">
        <v>27</v>
      </c>
      <c r="H150" s="8" t="s">
        <v>28</v>
      </c>
      <c r="I150" s="8" t="s">
        <v>29</v>
      </c>
      <c r="J150" s="8" t="s">
        <v>43</v>
      </c>
      <c r="K150" s="8" t="s">
        <v>51</v>
      </c>
      <c r="L150" s="8" t="s">
        <v>91</v>
      </c>
      <c r="M150" s="8">
        <v>2</v>
      </c>
      <c r="N150" s="10">
        <v>1559.36</v>
      </c>
      <c r="O150" s="11">
        <v>0.3</v>
      </c>
      <c r="P150" s="10">
        <v>2183.1</v>
      </c>
      <c r="Q150" s="10">
        <v>1413.89</v>
      </c>
      <c r="R150" s="10">
        <v>769.21</v>
      </c>
      <c r="S150" s="8" t="s">
        <v>33</v>
      </c>
      <c r="T150" s="8" t="s">
        <v>34</v>
      </c>
      <c r="U150" s="8">
        <v>3</v>
      </c>
      <c r="V150" s="8" t="s">
        <v>123</v>
      </c>
    </row>
    <row r="151" spans="1:22" x14ac:dyDescent="0.3">
      <c r="A151" s="12" t="s">
        <v>397</v>
      </c>
      <c r="B151" s="13">
        <v>45777</v>
      </c>
      <c r="C151" s="12" t="s">
        <v>57</v>
      </c>
      <c r="D151" s="12" t="s">
        <v>58</v>
      </c>
      <c r="E151" s="12" t="s">
        <v>59</v>
      </c>
      <c r="F151" s="12" t="s">
        <v>398</v>
      </c>
      <c r="G151" s="12" t="s">
        <v>41</v>
      </c>
      <c r="H151" s="12" t="s">
        <v>94</v>
      </c>
      <c r="I151" s="12" t="s">
        <v>29</v>
      </c>
      <c r="J151" s="12" t="s">
        <v>89</v>
      </c>
      <c r="K151" s="12" t="s">
        <v>90</v>
      </c>
      <c r="L151" s="12" t="s">
        <v>32</v>
      </c>
      <c r="M151" s="12">
        <v>5</v>
      </c>
      <c r="N151" s="14">
        <v>3414.41</v>
      </c>
      <c r="O151" s="15">
        <v>0.1</v>
      </c>
      <c r="P151" s="14">
        <v>15364.84</v>
      </c>
      <c r="Q151" s="14">
        <v>10236.25</v>
      </c>
      <c r="R151" s="14">
        <v>5128.59</v>
      </c>
      <c r="S151" s="12" t="s">
        <v>53</v>
      </c>
      <c r="T151" s="12" t="s">
        <v>78</v>
      </c>
      <c r="U151" s="12">
        <v>4</v>
      </c>
      <c r="V151" s="12" t="s">
        <v>96</v>
      </c>
    </row>
    <row r="152" spans="1:22" x14ac:dyDescent="0.3">
      <c r="A152" s="8" t="s">
        <v>399</v>
      </c>
      <c r="B152" s="9">
        <v>45770</v>
      </c>
      <c r="C152" s="8" t="s">
        <v>57</v>
      </c>
      <c r="D152" s="8" t="s">
        <v>58</v>
      </c>
      <c r="E152" s="8" t="s">
        <v>59</v>
      </c>
      <c r="F152" s="8" t="s">
        <v>115</v>
      </c>
      <c r="G152" s="8" t="s">
        <v>41</v>
      </c>
      <c r="H152" s="8" t="s">
        <v>28</v>
      </c>
      <c r="I152" s="8" t="s">
        <v>68</v>
      </c>
      <c r="J152" s="8" t="s">
        <v>43</v>
      </c>
      <c r="K152" s="8" t="s">
        <v>44</v>
      </c>
      <c r="L152" s="8" t="s">
        <v>45</v>
      </c>
      <c r="M152" s="8">
        <v>4</v>
      </c>
      <c r="N152" s="10">
        <v>577.98</v>
      </c>
      <c r="O152" s="11">
        <v>0.2</v>
      </c>
      <c r="P152" s="10">
        <v>1849.54</v>
      </c>
      <c r="Q152" s="10">
        <v>1001.74</v>
      </c>
      <c r="R152" s="10">
        <v>847.8</v>
      </c>
      <c r="S152" s="8" t="s">
        <v>33</v>
      </c>
      <c r="T152" s="8" t="s">
        <v>156</v>
      </c>
      <c r="U152" s="8">
        <v>4</v>
      </c>
      <c r="V152" s="8" t="s">
        <v>96</v>
      </c>
    </row>
    <row r="153" spans="1:22" x14ac:dyDescent="0.3">
      <c r="A153" s="12" t="s">
        <v>400</v>
      </c>
      <c r="B153" s="13">
        <v>45678</v>
      </c>
      <c r="C153" s="12" t="s">
        <v>113</v>
      </c>
      <c r="D153" s="12" t="s">
        <v>114</v>
      </c>
      <c r="E153" s="12" t="s">
        <v>59</v>
      </c>
      <c r="F153" s="12" t="s">
        <v>401</v>
      </c>
      <c r="G153" s="12" t="s">
        <v>27</v>
      </c>
      <c r="H153" s="12" t="s">
        <v>81</v>
      </c>
      <c r="I153" s="12" t="s">
        <v>29</v>
      </c>
      <c r="J153" s="12" t="s">
        <v>30</v>
      </c>
      <c r="K153" s="12" t="s">
        <v>31</v>
      </c>
      <c r="L153" s="12" t="s">
        <v>32</v>
      </c>
      <c r="M153" s="12">
        <v>5</v>
      </c>
      <c r="N153" s="14">
        <v>3964.28</v>
      </c>
      <c r="O153" s="15">
        <v>0.15</v>
      </c>
      <c r="P153" s="14">
        <v>16848.189999999999</v>
      </c>
      <c r="Q153" s="14">
        <v>10767.71</v>
      </c>
      <c r="R153" s="14">
        <v>6080.48</v>
      </c>
      <c r="S153" s="12" t="s">
        <v>33</v>
      </c>
      <c r="T153" s="12" t="s">
        <v>54</v>
      </c>
      <c r="U153" s="12">
        <v>5</v>
      </c>
      <c r="V153" s="12" t="s">
        <v>84</v>
      </c>
    </row>
    <row r="154" spans="1:22" x14ac:dyDescent="0.3">
      <c r="A154" s="8" t="s">
        <v>402</v>
      </c>
      <c r="B154" s="9">
        <v>45670</v>
      </c>
      <c r="C154" s="8" t="s">
        <v>86</v>
      </c>
      <c r="D154" s="8" t="s">
        <v>87</v>
      </c>
      <c r="E154" s="8" t="s">
        <v>59</v>
      </c>
      <c r="F154" s="8" t="s">
        <v>403</v>
      </c>
      <c r="G154" s="8" t="s">
        <v>27</v>
      </c>
      <c r="H154" s="8" t="s">
        <v>28</v>
      </c>
      <c r="I154" s="8" t="s">
        <v>68</v>
      </c>
      <c r="J154" s="8" t="s">
        <v>101</v>
      </c>
      <c r="K154" s="8" t="s">
        <v>102</v>
      </c>
      <c r="L154" s="8" t="s">
        <v>91</v>
      </c>
      <c r="M154" s="8">
        <v>4</v>
      </c>
      <c r="N154" s="10">
        <v>729.75</v>
      </c>
      <c r="O154" s="11">
        <v>0.2</v>
      </c>
      <c r="P154" s="10">
        <v>2335.1999999999998</v>
      </c>
      <c r="Q154" s="10">
        <v>989.41</v>
      </c>
      <c r="R154" s="10">
        <v>1345.79</v>
      </c>
      <c r="S154" s="8" t="s">
        <v>46</v>
      </c>
      <c r="T154" s="8" t="s">
        <v>71</v>
      </c>
      <c r="U154" s="8">
        <v>5</v>
      </c>
      <c r="V154" s="8" t="s">
        <v>84</v>
      </c>
    </row>
    <row r="155" spans="1:22" x14ac:dyDescent="0.3">
      <c r="A155" s="12" t="s">
        <v>404</v>
      </c>
      <c r="B155" s="13">
        <v>45735</v>
      </c>
      <c r="C155" s="12" t="s">
        <v>48</v>
      </c>
      <c r="D155" s="12" t="s">
        <v>49</v>
      </c>
      <c r="E155" s="12" t="s">
        <v>39</v>
      </c>
      <c r="F155" s="12" t="s">
        <v>277</v>
      </c>
      <c r="G155" s="12" t="s">
        <v>27</v>
      </c>
      <c r="H155" s="12" t="s">
        <v>81</v>
      </c>
      <c r="I155" s="12" t="s">
        <v>61</v>
      </c>
      <c r="J155" s="12" t="s">
        <v>69</v>
      </c>
      <c r="K155" s="12" t="s">
        <v>180</v>
      </c>
      <c r="L155" s="12" t="s">
        <v>45</v>
      </c>
      <c r="M155" s="12">
        <v>3</v>
      </c>
      <c r="N155" s="14">
        <v>1529.11</v>
      </c>
      <c r="O155" s="15">
        <v>0.05</v>
      </c>
      <c r="P155" s="14">
        <v>4357.96</v>
      </c>
      <c r="Q155" s="14">
        <v>2613.75</v>
      </c>
      <c r="R155" s="14">
        <v>1744.21</v>
      </c>
      <c r="S155" s="12" t="s">
        <v>83</v>
      </c>
      <c r="T155" s="12" t="s">
        <v>111</v>
      </c>
      <c r="U155" s="12">
        <v>5</v>
      </c>
      <c r="V155" s="12" t="s">
        <v>55</v>
      </c>
    </row>
    <row r="156" spans="1:22" x14ac:dyDescent="0.3">
      <c r="A156" s="8" t="s">
        <v>405</v>
      </c>
      <c r="B156" s="9">
        <v>45938</v>
      </c>
      <c r="C156" s="8" t="s">
        <v>23</v>
      </c>
      <c r="D156" s="8" t="s">
        <v>24</v>
      </c>
      <c r="E156" s="8" t="s">
        <v>25</v>
      </c>
      <c r="F156" s="8" t="s">
        <v>406</v>
      </c>
      <c r="G156" s="8" t="s">
        <v>27</v>
      </c>
      <c r="H156" s="8" t="s">
        <v>81</v>
      </c>
      <c r="I156" s="8" t="s">
        <v>68</v>
      </c>
      <c r="J156" s="8" t="s">
        <v>43</v>
      </c>
      <c r="K156" s="8" t="s">
        <v>162</v>
      </c>
      <c r="L156" s="8" t="s">
        <v>82</v>
      </c>
      <c r="M156" s="8">
        <v>1</v>
      </c>
      <c r="N156" s="10">
        <v>879.02</v>
      </c>
      <c r="O156" s="11">
        <v>0.2</v>
      </c>
      <c r="P156" s="10">
        <v>703.22</v>
      </c>
      <c r="Q156" s="10">
        <v>396.12</v>
      </c>
      <c r="R156" s="10">
        <v>307.10000000000002</v>
      </c>
      <c r="S156" s="8" t="s">
        <v>46</v>
      </c>
      <c r="T156" s="8" t="s">
        <v>71</v>
      </c>
      <c r="U156" s="8">
        <v>5</v>
      </c>
      <c r="V156" s="8" t="s">
        <v>123</v>
      </c>
    </row>
    <row r="157" spans="1:22" x14ac:dyDescent="0.3">
      <c r="A157" s="12" t="s">
        <v>407</v>
      </c>
      <c r="B157" s="13">
        <v>45944</v>
      </c>
      <c r="C157" s="12" t="s">
        <v>98</v>
      </c>
      <c r="D157" s="12" t="s">
        <v>99</v>
      </c>
      <c r="E157" s="12" t="s">
        <v>25</v>
      </c>
      <c r="F157" s="12" t="s">
        <v>408</v>
      </c>
      <c r="G157" s="12" t="s">
        <v>27</v>
      </c>
      <c r="H157" s="12" t="s">
        <v>81</v>
      </c>
      <c r="I157" s="12" t="s">
        <v>29</v>
      </c>
      <c r="J157" s="12" t="s">
        <v>30</v>
      </c>
      <c r="K157" s="12" t="s">
        <v>31</v>
      </c>
      <c r="L157" s="12" t="s">
        <v>45</v>
      </c>
      <c r="M157" s="12">
        <v>1</v>
      </c>
      <c r="N157" s="14">
        <v>4060.92</v>
      </c>
      <c r="O157" s="15">
        <v>0.05</v>
      </c>
      <c r="P157" s="14">
        <v>3857.87</v>
      </c>
      <c r="Q157" s="14">
        <v>2230.48</v>
      </c>
      <c r="R157" s="14">
        <v>1627.39</v>
      </c>
      <c r="S157" s="12" t="s">
        <v>53</v>
      </c>
      <c r="T157" s="12" t="s">
        <v>111</v>
      </c>
      <c r="U157" s="12">
        <v>5</v>
      </c>
      <c r="V157" s="12" t="s">
        <v>123</v>
      </c>
    </row>
    <row r="158" spans="1:22" x14ac:dyDescent="0.3">
      <c r="A158" s="8" t="s">
        <v>409</v>
      </c>
      <c r="B158" s="9">
        <v>45879</v>
      </c>
      <c r="C158" s="8" t="s">
        <v>125</v>
      </c>
      <c r="D158" s="8" t="s">
        <v>126</v>
      </c>
      <c r="E158" s="8" t="s">
        <v>25</v>
      </c>
      <c r="F158" s="8" t="s">
        <v>410</v>
      </c>
      <c r="G158" s="8" t="s">
        <v>27</v>
      </c>
      <c r="H158" s="8" t="s">
        <v>94</v>
      </c>
      <c r="I158" s="8" t="s">
        <v>68</v>
      </c>
      <c r="J158" s="8" t="s">
        <v>75</v>
      </c>
      <c r="K158" s="8" t="s">
        <v>95</v>
      </c>
      <c r="L158" s="8" t="s">
        <v>52</v>
      </c>
      <c r="M158" s="8">
        <v>3</v>
      </c>
      <c r="N158" s="10">
        <v>24775.39</v>
      </c>
      <c r="O158" s="11">
        <v>0.15</v>
      </c>
      <c r="P158" s="10">
        <v>63177.24</v>
      </c>
      <c r="Q158" s="10">
        <v>55789</v>
      </c>
      <c r="R158" s="10">
        <v>7388.24</v>
      </c>
      <c r="S158" s="8" t="s">
        <v>33</v>
      </c>
      <c r="T158" s="8" t="s">
        <v>78</v>
      </c>
      <c r="U158" s="8">
        <v>5</v>
      </c>
      <c r="V158" s="8" t="s">
        <v>72</v>
      </c>
    </row>
    <row r="159" spans="1:22" x14ac:dyDescent="0.3">
      <c r="A159" s="12" t="s">
        <v>411</v>
      </c>
      <c r="B159" s="13">
        <v>45833</v>
      </c>
      <c r="C159" s="12" t="s">
        <v>37</v>
      </c>
      <c r="D159" s="12" t="s">
        <v>38</v>
      </c>
      <c r="E159" s="12" t="s">
        <v>39</v>
      </c>
      <c r="F159" s="12" t="s">
        <v>412</v>
      </c>
      <c r="G159" s="12" t="s">
        <v>27</v>
      </c>
      <c r="H159" s="12" t="s">
        <v>81</v>
      </c>
      <c r="I159" s="12" t="s">
        <v>29</v>
      </c>
      <c r="J159" s="12" t="s">
        <v>89</v>
      </c>
      <c r="K159" s="12" t="s">
        <v>151</v>
      </c>
      <c r="L159" s="12" t="s">
        <v>77</v>
      </c>
      <c r="M159" s="12">
        <v>1</v>
      </c>
      <c r="N159" s="14">
        <v>1010.85</v>
      </c>
      <c r="O159" s="15">
        <v>0.15</v>
      </c>
      <c r="P159" s="14">
        <v>859.22</v>
      </c>
      <c r="Q159" s="14">
        <v>497.13</v>
      </c>
      <c r="R159" s="14">
        <v>362.09</v>
      </c>
      <c r="S159" s="12" t="s">
        <v>33</v>
      </c>
      <c r="T159" s="12" t="s">
        <v>34</v>
      </c>
      <c r="U159" s="12">
        <v>3</v>
      </c>
      <c r="V159" s="12" t="s">
        <v>157</v>
      </c>
    </row>
    <row r="160" spans="1:22" x14ac:dyDescent="0.3">
      <c r="A160" s="8" t="s">
        <v>413</v>
      </c>
      <c r="B160" s="9">
        <v>45719</v>
      </c>
      <c r="C160" s="8" t="s">
        <v>107</v>
      </c>
      <c r="D160" s="8" t="s">
        <v>108</v>
      </c>
      <c r="E160" s="8" t="s">
        <v>39</v>
      </c>
      <c r="F160" s="8" t="s">
        <v>414</v>
      </c>
      <c r="G160" s="8" t="s">
        <v>41</v>
      </c>
      <c r="H160" s="8" t="s">
        <v>28</v>
      </c>
      <c r="I160" s="8" t="s">
        <v>29</v>
      </c>
      <c r="J160" s="8" t="s">
        <v>89</v>
      </c>
      <c r="K160" s="8" t="s">
        <v>90</v>
      </c>
      <c r="L160" s="8" t="s">
        <v>175</v>
      </c>
      <c r="M160" s="8">
        <v>4</v>
      </c>
      <c r="N160" s="10">
        <v>3452.78</v>
      </c>
      <c r="O160" s="11">
        <v>0.1</v>
      </c>
      <c r="P160" s="10">
        <v>12430.01</v>
      </c>
      <c r="Q160" s="10">
        <v>8770.73</v>
      </c>
      <c r="R160" s="10">
        <v>3659.28</v>
      </c>
      <c r="S160" s="8" t="s">
        <v>63</v>
      </c>
      <c r="T160" s="8" t="s">
        <v>119</v>
      </c>
      <c r="U160" s="8">
        <v>4</v>
      </c>
      <c r="V160" s="8" t="s">
        <v>55</v>
      </c>
    </row>
    <row r="161" spans="1:22" x14ac:dyDescent="0.3">
      <c r="A161" s="12" t="s">
        <v>415</v>
      </c>
      <c r="B161" s="13">
        <v>45804</v>
      </c>
      <c r="C161" s="12" t="s">
        <v>86</v>
      </c>
      <c r="D161" s="12" t="s">
        <v>87</v>
      </c>
      <c r="E161" s="12" t="s">
        <v>59</v>
      </c>
      <c r="F161" s="12" t="s">
        <v>416</v>
      </c>
      <c r="G161" s="12" t="s">
        <v>41</v>
      </c>
      <c r="H161" s="12" t="s">
        <v>94</v>
      </c>
      <c r="I161" s="12" t="s">
        <v>68</v>
      </c>
      <c r="J161" s="12" t="s">
        <v>89</v>
      </c>
      <c r="K161" s="12" t="s">
        <v>151</v>
      </c>
      <c r="L161" s="12" t="s">
        <v>77</v>
      </c>
      <c r="M161" s="12">
        <v>1</v>
      </c>
      <c r="N161" s="14">
        <v>1038.44</v>
      </c>
      <c r="O161" s="15">
        <v>0.2</v>
      </c>
      <c r="P161" s="14">
        <v>830.75</v>
      </c>
      <c r="Q161" s="14">
        <v>497.93</v>
      </c>
      <c r="R161" s="14">
        <v>332.82</v>
      </c>
      <c r="S161" s="12" t="s">
        <v>33</v>
      </c>
      <c r="T161" s="12" t="s">
        <v>119</v>
      </c>
      <c r="U161" s="12">
        <v>5</v>
      </c>
      <c r="V161" s="12" t="s">
        <v>134</v>
      </c>
    </row>
    <row r="162" spans="1:22" x14ac:dyDescent="0.3">
      <c r="A162" s="8" t="s">
        <v>417</v>
      </c>
      <c r="B162" s="9">
        <v>45756</v>
      </c>
      <c r="C162" s="8" t="s">
        <v>37</v>
      </c>
      <c r="D162" s="8" t="s">
        <v>38</v>
      </c>
      <c r="E162" s="8" t="s">
        <v>39</v>
      </c>
      <c r="F162" s="8" t="s">
        <v>418</v>
      </c>
      <c r="G162" s="8" t="s">
        <v>41</v>
      </c>
      <c r="H162" s="8" t="s">
        <v>81</v>
      </c>
      <c r="I162" s="8" t="s">
        <v>61</v>
      </c>
      <c r="J162" s="8" t="s">
        <v>43</v>
      </c>
      <c r="K162" s="8" t="s">
        <v>162</v>
      </c>
      <c r="L162" s="8" t="s">
        <v>45</v>
      </c>
      <c r="M162" s="8">
        <v>5</v>
      </c>
      <c r="N162" s="10">
        <v>887.14</v>
      </c>
      <c r="O162" s="11">
        <v>0.15</v>
      </c>
      <c r="P162" s="10">
        <v>3770.34</v>
      </c>
      <c r="Q162" s="10">
        <v>2092.75</v>
      </c>
      <c r="R162" s="10">
        <v>1677.59</v>
      </c>
      <c r="S162" s="8" t="s">
        <v>33</v>
      </c>
      <c r="T162" s="8" t="s">
        <v>156</v>
      </c>
      <c r="U162" s="8">
        <v>5</v>
      </c>
      <c r="V162" s="8" t="s">
        <v>96</v>
      </c>
    </row>
    <row r="163" spans="1:22" x14ac:dyDescent="0.3">
      <c r="A163" s="12" t="s">
        <v>419</v>
      </c>
      <c r="B163" s="13">
        <v>45987</v>
      </c>
      <c r="C163" s="12" t="s">
        <v>131</v>
      </c>
      <c r="D163" s="12" t="s">
        <v>132</v>
      </c>
      <c r="E163" s="12" t="s">
        <v>25</v>
      </c>
      <c r="F163" s="12" t="s">
        <v>420</v>
      </c>
      <c r="G163" s="12" t="s">
        <v>27</v>
      </c>
      <c r="H163" s="12" t="s">
        <v>42</v>
      </c>
      <c r="I163" s="12" t="s">
        <v>29</v>
      </c>
      <c r="J163" s="12" t="s">
        <v>89</v>
      </c>
      <c r="K163" s="12" t="s">
        <v>90</v>
      </c>
      <c r="L163" s="12" t="s">
        <v>103</v>
      </c>
      <c r="M163" s="12">
        <v>2</v>
      </c>
      <c r="N163" s="14">
        <v>3362.89</v>
      </c>
      <c r="O163" s="15">
        <v>0.2</v>
      </c>
      <c r="P163" s="14">
        <v>5380.62</v>
      </c>
      <c r="Q163" s="14">
        <v>4282.54</v>
      </c>
      <c r="R163" s="14">
        <v>1098.08</v>
      </c>
      <c r="S163" s="12" t="s">
        <v>33</v>
      </c>
      <c r="T163" s="12" t="s">
        <v>104</v>
      </c>
      <c r="U163" s="12">
        <v>4</v>
      </c>
      <c r="V163" s="12" t="s">
        <v>65</v>
      </c>
    </row>
    <row r="164" spans="1:22" x14ac:dyDescent="0.3">
      <c r="A164" s="8" t="s">
        <v>421</v>
      </c>
      <c r="B164" s="9">
        <v>45869</v>
      </c>
      <c r="C164" s="8" t="s">
        <v>86</v>
      </c>
      <c r="D164" s="8" t="s">
        <v>87</v>
      </c>
      <c r="E164" s="8" t="s">
        <v>59</v>
      </c>
      <c r="F164" s="8" t="s">
        <v>422</v>
      </c>
      <c r="G164" s="8" t="s">
        <v>27</v>
      </c>
      <c r="H164" s="8" t="s">
        <v>94</v>
      </c>
      <c r="I164" s="8" t="s">
        <v>61</v>
      </c>
      <c r="J164" s="8" t="s">
        <v>101</v>
      </c>
      <c r="K164" s="8" t="s">
        <v>102</v>
      </c>
      <c r="L164" s="8" t="s">
        <v>103</v>
      </c>
      <c r="M164" s="8">
        <v>5</v>
      </c>
      <c r="N164" s="10">
        <v>690.17</v>
      </c>
      <c r="O164" s="11">
        <v>0.3</v>
      </c>
      <c r="P164" s="10">
        <v>2415.59</v>
      </c>
      <c r="Q164" s="10">
        <v>1187.8699999999999</v>
      </c>
      <c r="R164" s="10">
        <v>1227.72</v>
      </c>
      <c r="S164" s="8" t="s">
        <v>63</v>
      </c>
      <c r="T164" s="8" t="s">
        <v>78</v>
      </c>
      <c r="U164" s="8">
        <v>5</v>
      </c>
      <c r="V164" s="8" t="s">
        <v>120</v>
      </c>
    </row>
    <row r="165" spans="1:22" x14ac:dyDescent="0.3">
      <c r="A165" s="12" t="s">
        <v>423</v>
      </c>
      <c r="B165" s="13">
        <v>45994</v>
      </c>
      <c r="C165" s="12" t="s">
        <v>57</v>
      </c>
      <c r="D165" s="12" t="s">
        <v>58</v>
      </c>
      <c r="E165" s="12" t="s">
        <v>59</v>
      </c>
      <c r="F165" s="12" t="s">
        <v>424</v>
      </c>
      <c r="G165" s="12" t="s">
        <v>27</v>
      </c>
      <c r="H165" s="12" t="s">
        <v>81</v>
      </c>
      <c r="I165" s="12" t="s">
        <v>68</v>
      </c>
      <c r="J165" s="12" t="s">
        <v>89</v>
      </c>
      <c r="K165" s="12" t="s">
        <v>90</v>
      </c>
      <c r="L165" s="12" t="s">
        <v>52</v>
      </c>
      <c r="M165" s="12">
        <v>5</v>
      </c>
      <c r="N165" s="14">
        <v>3672.67</v>
      </c>
      <c r="O165" s="15">
        <v>0.1</v>
      </c>
      <c r="P165" s="14">
        <v>16527.009999999998</v>
      </c>
      <c r="Q165" s="14">
        <v>10911.58</v>
      </c>
      <c r="R165" s="14">
        <v>5615.43</v>
      </c>
      <c r="S165" s="12" t="s">
        <v>83</v>
      </c>
      <c r="T165" s="12" t="s">
        <v>147</v>
      </c>
      <c r="U165" s="12">
        <v>3</v>
      </c>
      <c r="V165" s="12" t="s">
        <v>35</v>
      </c>
    </row>
    <row r="166" spans="1:22" x14ac:dyDescent="0.3">
      <c r="A166" s="8" t="s">
        <v>425</v>
      </c>
      <c r="B166" s="9">
        <v>45853</v>
      </c>
      <c r="C166" s="8" t="s">
        <v>86</v>
      </c>
      <c r="D166" s="8" t="s">
        <v>87</v>
      </c>
      <c r="E166" s="8" t="s">
        <v>59</v>
      </c>
      <c r="F166" s="8" t="s">
        <v>426</v>
      </c>
      <c r="G166" s="8" t="s">
        <v>41</v>
      </c>
      <c r="H166" s="8" t="s">
        <v>81</v>
      </c>
      <c r="I166" s="8" t="s">
        <v>68</v>
      </c>
      <c r="J166" s="8" t="s">
        <v>75</v>
      </c>
      <c r="K166" s="8" t="s">
        <v>95</v>
      </c>
      <c r="L166" s="8" t="s">
        <v>103</v>
      </c>
      <c r="M166" s="8">
        <v>1</v>
      </c>
      <c r="N166" s="10">
        <v>24742.720000000001</v>
      </c>
      <c r="O166" s="11">
        <v>0.15</v>
      </c>
      <c r="P166" s="10">
        <v>21031.31</v>
      </c>
      <c r="Q166" s="10">
        <v>17611.79</v>
      </c>
      <c r="R166" s="10">
        <v>3419.52</v>
      </c>
      <c r="S166" s="8" t="s">
        <v>33</v>
      </c>
      <c r="T166" s="8" t="s">
        <v>34</v>
      </c>
      <c r="U166" s="8">
        <v>4</v>
      </c>
      <c r="V166" s="8" t="s">
        <v>120</v>
      </c>
    </row>
    <row r="167" spans="1:22" x14ac:dyDescent="0.3">
      <c r="A167" s="12" t="s">
        <v>427</v>
      </c>
      <c r="B167" s="13">
        <v>45870</v>
      </c>
      <c r="C167" s="12" t="s">
        <v>48</v>
      </c>
      <c r="D167" s="12" t="s">
        <v>49</v>
      </c>
      <c r="E167" s="12" t="s">
        <v>39</v>
      </c>
      <c r="F167" s="12" t="s">
        <v>428</v>
      </c>
      <c r="G167" s="12" t="s">
        <v>27</v>
      </c>
      <c r="H167" s="12" t="s">
        <v>94</v>
      </c>
      <c r="I167" s="12" t="s">
        <v>29</v>
      </c>
      <c r="J167" s="12" t="s">
        <v>75</v>
      </c>
      <c r="K167" s="12" t="s">
        <v>76</v>
      </c>
      <c r="L167" s="12" t="s">
        <v>77</v>
      </c>
      <c r="M167" s="12">
        <v>5</v>
      </c>
      <c r="N167" s="14">
        <v>822.67</v>
      </c>
      <c r="O167" s="15">
        <v>0.05</v>
      </c>
      <c r="P167" s="14">
        <v>3907.68</v>
      </c>
      <c r="Q167" s="14">
        <v>1691.39</v>
      </c>
      <c r="R167" s="14">
        <v>2216.29</v>
      </c>
      <c r="S167" s="12" t="s">
        <v>46</v>
      </c>
      <c r="T167" s="12" t="s">
        <v>119</v>
      </c>
      <c r="U167" s="12">
        <v>3</v>
      </c>
      <c r="V167" s="12" t="s">
        <v>72</v>
      </c>
    </row>
    <row r="168" spans="1:22" x14ac:dyDescent="0.3">
      <c r="A168" s="8" t="s">
        <v>429</v>
      </c>
      <c r="B168" s="9">
        <v>45950</v>
      </c>
      <c r="C168" s="8" t="s">
        <v>57</v>
      </c>
      <c r="D168" s="8" t="s">
        <v>58</v>
      </c>
      <c r="E168" s="8" t="s">
        <v>59</v>
      </c>
      <c r="F168" s="8" t="s">
        <v>430</v>
      </c>
      <c r="G168" s="8" t="s">
        <v>27</v>
      </c>
      <c r="H168" s="8" t="s">
        <v>81</v>
      </c>
      <c r="I168" s="8" t="s">
        <v>29</v>
      </c>
      <c r="J168" s="8" t="s">
        <v>43</v>
      </c>
      <c r="K168" s="8" t="s">
        <v>51</v>
      </c>
      <c r="L168" s="8" t="s">
        <v>52</v>
      </c>
      <c r="M168" s="8">
        <v>4</v>
      </c>
      <c r="N168" s="10">
        <v>1570.34</v>
      </c>
      <c r="O168" s="11">
        <v>0.15</v>
      </c>
      <c r="P168" s="10">
        <v>5339.16</v>
      </c>
      <c r="Q168" s="10">
        <v>2851.44</v>
      </c>
      <c r="R168" s="10">
        <v>2487.7199999999998</v>
      </c>
      <c r="S168" s="8" t="s">
        <v>46</v>
      </c>
      <c r="T168" s="8" t="s">
        <v>78</v>
      </c>
      <c r="U168" s="8">
        <v>5</v>
      </c>
      <c r="V168" s="8" t="s">
        <v>123</v>
      </c>
    </row>
    <row r="169" spans="1:22" x14ac:dyDescent="0.3">
      <c r="A169" s="12" t="s">
        <v>431</v>
      </c>
      <c r="B169" s="13">
        <v>45807</v>
      </c>
      <c r="C169" s="12" t="s">
        <v>125</v>
      </c>
      <c r="D169" s="12" t="s">
        <v>126</v>
      </c>
      <c r="E169" s="12" t="s">
        <v>25</v>
      </c>
      <c r="F169" s="12" t="s">
        <v>432</v>
      </c>
      <c r="G169" s="12" t="s">
        <v>27</v>
      </c>
      <c r="H169" s="12" t="s">
        <v>81</v>
      </c>
      <c r="I169" s="12" t="s">
        <v>61</v>
      </c>
      <c r="J169" s="12" t="s">
        <v>43</v>
      </c>
      <c r="K169" s="12" t="s">
        <v>44</v>
      </c>
      <c r="L169" s="12" t="s">
        <v>91</v>
      </c>
      <c r="M169" s="12">
        <v>5</v>
      </c>
      <c r="N169" s="14">
        <v>613.82000000000005</v>
      </c>
      <c r="O169" s="15">
        <v>0.05</v>
      </c>
      <c r="P169" s="14">
        <v>2915.65</v>
      </c>
      <c r="Q169" s="14">
        <v>1357.16</v>
      </c>
      <c r="R169" s="14">
        <v>1558.49</v>
      </c>
      <c r="S169" s="12" t="s">
        <v>33</v>
      </c>
      <c r="T169" s="12" t="s">
        <v>119</v>
      </c>
      <c r="U169" s="12">
        <v>4</v>
      </c>
      <c r="V169" s="12" t="s">
        <v>134</v>
      </c>
    </row>
    <row r="170" spans="1:22" x14ac:dyDescent="0.3">
      <c r="A170" s="8" t="s">
        <v>433</v>
      </c>
      <c r="B170" s="9">
        <v>45664</v>
      </c>
      <c r="C170" s="8" t="s">
        <v>131</v>
      </c>
      <c r="D170" s="8" t="s">
        <v>132</v>
      </c>
      <c r="E170" s="8" t="s">
        <v>25</v>
      </c>
      <c r="F170" s="8" t="s">
        <v>434</v>
      </c>
      <c r="G170" s="8" t="s">
        <v>27</v>
      </c>
      <c r="H170" s="8" t="s">
        <v>28</v>
      </c>
      <c r="I170" s="8" t="s">
        <v>29</v>
      </c>
      <c r="J170" s="8" t="s">
        <v>89</v>
      </c>
      <c r="K170" s="8" t="s">
        <v>89</v>
      </c>
      <c r="L170" s="8" t="s">
        <v>52</v>
      </c>
      <c r="M170" s="8">
        <v>2</v>
      </c>
      <c r="N170" s="10">
        <v>1258.3</v>
      </c>
      <c r="O170" s="11">
        <v>0.05</v>
      </c>
      <c r="P170" s="10">
        <v>2390.77</v>
      </c>
      <c r="Q170" s="10">
        <v>1454.04</v>
      </c>
      <c r="R170" s="10">
        <v>936.73</v>
      </c>
      <c r="S170" s="8" t="s">
        <v>33</v>
      </c>
      <c r="T170" s="8" t="s">
        <v>78</v>
      </c>
      <c r="U170" s="8">
        <v>3</v>
      </c>
      <c r="V170" s="8" t="s">
        <v>84</v>
      </c>
    </row>
    <row r="171" spans="1:22" x14ac:dyDescent="0.3">
      <c r="A171" s="12" t="s">
        <v>435</v>
      </c>
      <c r="B171" s="13">
        <v>45845</v>
      </c>
      <c r="C171" s="12" t="s">
        <v>57</v>
      </c>
      <c r="D171" s="12" t="s">
        <v>58</v>
      </c>
      <c r="E171" s="12" t="s">
        <v>59</v>
      </c>
      <c r="F171" s="12" t="s">
        <v>344</v>
      </c>
      <c r="G171" s="12" t="s">
        <v>41</v>
      </c>
      <c r="H171" s="12" t="s">
        <v>28</v>
      </c>
      <c r="I171" s="12" t="s">
        <v>68</v>
      </c>
      <c r="J171" s="12" t="s">
        <v>43</v>
      </c>
      <c r="K171" s="12" t="s">
        <v>162</v>
      </c>
      <c r="L171" s="12" t="s">
        <v>32</v>
      </c>
      <c r="M171" s="12">
        <v>1</v>
      </c>
      <c r="N171" s="14">
        <v>923.29</v>
      </c>
      <c r="O171" s="15">
        <v>0.3</v>
      </c>
      <c r="P171" s="14">
        <v>646.29999999999995</v>
      </c>
      <c r="Q171" s="14">
        <v>390.41</v>
      </c>
      <c r="R171" s="14">
        <v>255.89</v>
      </c>
      <c r="S171" s="12" t="s">
        <v>33</v>
      </c>
      <c r="T171" s="12" t="s">
        <v>78</v>
      </c>
      <c r="U171" s="12">
        <v>3</v>
      </c>
      <c r="V171" s="12" t="s">
        <v>120</v>
      </c>
    </row>
    <row r="172" spans="1:22" x14ac:dyDescent="0.3">
      <c r="A172" s="8" t="s">
        <v>436</v>
      </c>
      <c r="B172" s="9">
        <v>45728</v>
      </c>
      <c r="C172" s="8" t="s">
        <v>113</v>
      </c>
      <c r="D172" s="8" t="s">
        <v>114</v>
      </c>
      <c r="E172" s="8" t="s">
        <v>59</v>
      </c>
      <c r="F172" s="8" t="s">
        <v>437</v>
      </c>
      <c r="G172" s="8" t="s">
        <v>27</v>
      </c>
      <c r="H172" s="8" t="s">
        <v>42</v>
      </c>
      <c r="I172" s="8" t="s">
        <v>68</v>
      </c>
      <c r="J172" s="8" t="s">
        <v>43</v>
      </c>
      <c r="K172" s="8" t="s">
        <v>51</v>
      </c>
      <c r="L172" s="8" t="s">
        <v>77</v>
      </c>
      <c r="M172" s="8">
        <v>5</v>
      </c>
      <c r="N172" s="10">
        <v>1532.88</v>
      </c>
      <c r="O172" s="11">
        <v>0.05</v>
      </c>
      <c r="P172" s="10">
        <v>7281.18</v>
      </c>
      <c r="Q172" s="10">
        <v>3596.99</v>
      </c>
      <c r="R172" s="10">
        <v>3684.19</v>
      </c>
      <c r="S172" s="8" t="s">
        <v>83</v>
      </c>
      <c r="T172" s="8" t="s">
        <v>78</v>
      </c>
      <c r="U172" s="8">
        <v>4</v>
      </c>
      <c r="V172" s="8" t="s">
        <v>55</v>
      </c>
    </row>
    <row r="173" spans="1:22" x14ac:dyDescent="0.3">
      <c r="A173" s="12" t="s">
        <v>438</v>
      </c>
      <c r="B173" s="13">
        <v>45802</v>
      </c>
      <c r="C173" s="12" t="s">
        <v>125</v>
      </c>
      <c r="D173" s="12" t="s">
        <v>126</v>
      </c>
      <c r="E173" s="12" t="s">
        <v>25</v>
      </c>
      <c r="F173" s="12" t="s">
        <v>439</v>
      </c>
      <c r="G173" s="12" t="s">
        <v>41</v>
      </c>
      <c r="H173" s="12" t="s">
        <v>28</v>
      </c>
      <c r="I173" s="12" t="s">
        <v>68</v>
      </c>
      <c r="J173" s="12" t="s">
        <v>75</v>
      </c>
      <c r="K173" s="12" t="s">
        <v>76</v>
      </c>
      <c r="L173" s="12" t="s">
        <v>52</v>
      </c>
      <c r="M173" s="12">
        <v>3</v>
      </c>
      <c r="N173" s="14">
        <v>787.24</v>
      </c>
      <c r="O173" s="15">
        <v>0</v>
      </c>
      <c r="P173" s="14">
        <v>2361.7199999999998</v>
      </c>
      <c r="Q173" s="14">
        <v>1066.48</v>
      </c>
      <c r="R173" s="14">
        <v>1295.24</v>
      </c>
      <c r="S173" s="12" t="s">
        <v>83</v>
      </c>
      <c r="T173" s="12" t="s">
        <v>78</v>
      </c>
      <c r="U173" s="12">
        <v>3</v>
      </c>
      <c r="V173" s="12" t="s">
        <v>134</v>
      </c>
    </row>
    <row r="174" spans="1:22" x14ac:dyDescent="0.3">
      <c r="A174" s="8" t="s">
        <v>440</v>
      </c>
      <c r="B174" s="9">
        <v>45918</v>
      </c>
      <c r="C174" s="8" t="s">
        <v>57</v>
      </c>
      <c r="D174" s="8" t="s">
        <v>58</v>
      </c>
      <c r="E174" s="8" t="s">
        <v>59</v>
      </c>
      <c r="F174" s="8" t="s">
        <v>441</v>
      </c>
      <c r="G174" s="8" t="s">
        <v>27</v>
      </c>
      <c r="H174" s="8" t="s">
        <v>42</v>
      </c>
      <c r="I174" s="8" t="s">
        <v>68</v>
      </c>
      <c r="J174" s="8" t="s">
        <v>75</v>
      </c>
      <c r="K174" s="8" t="s">
        <v>95</v>
      </c>
      <c r="L174" s="8" t="s">
        <v>103</v>
      </c>
      <c r="M174" s="8">
        <v>3</v>
      </c>
      <c r="N174" s="10">
        <v>25087.15</v>
      </c>
      <c r="O174" s="11">
        <v>0.3</v>
      </c>
      <c r="P174" s="10">
        <v>52683.02</v>
      </c>
      <c r="Q174" s="10">
        <v>53716.99</v>
      </c>
      <c r="R174" s="10">
        <v>-1033.97</v>
      </c>
      <c r="S174" s="8" t="s">
        <v>53</v>
      </c>
      <c r="T174" s="8" t="s">
        <v>54</v>
      </c>
      <c r="U174" s="8">
        <v>5</v>
      </c>
      <c r="V174" s="8" t="s">
        <v>116</v>
      </c>
    </row>
    <row r="175" spans="1:22" x14ac:dyDescent="0.3">
      <c r="A175" s="12" t="s">
        <v>442</v>
      </c>
      <c r="B175" s="13">
        <v>45734</v>
      </c>
      <c r="C175" s="12" t="s">
        <v>125</v>
      </c>
      <c r="D175" s="12" t="s">
        <v>126</v>
      </c>
      <c r="E175" s="12" t="s">
        <v>25</v>
      </c>
      <c r="F175" s="12" t="s">
        <v>206</v>
      </c>
      <c r="G175" s="12" t="s">
        <v>41</v>
      </c>
      <c r="H175" s="12" t="s">
        <v>94</v>
      </c>
      <c r="I175" s="12" t="s">
        <v>61</v>
      </c>
      <c r="J175" s="12" t="s">
        <v>75</v>
      </c>
      <c r="K175" s="12" t="s">
        <v>95</v>
      </c>
      <c r="L175" s="12" t="s">
        <v>82</v>
      </c>
      <c r="M175" s="12">
        <v>5</v>
      </c>
      <c r="N175" s="14">
        <v>25267.15</v>
      </c>
      <c r="O175" s="15">
        <v>0</v>
      </c>
      <c r="P175" s="14">
        <v>126335.75</v>
      </c>
      <c r="Q175" s="14">
        <v>93256.07</v>
      </c>
      <c r="R175" s="14">
        <v>33079.68</v>
      </c>
      <c r="S175" s="12" t="s">
        <v>46</v>
      </c>
      <c r="T175" s="12" t="s">
        <v>119</v>
      </c>
      <c r="U175" s="12">
        <v>3</v>
      </c>
      <c r="V175" s="12" t="s">
        <v>55</v>
      </c>
    </row>
    <row r="176" spans="1:22" x14ac:dyDescent="0.3">
      <c r="A176" s="8" t="s">
        <v>443</v>
      </c>
      <c r="B176" s="9">
        <v>45778</v>
      </c>
      <c r="C176" s="8" t="s">
        <v>57</v>
      </c>
      <c r="D176" s="8" t="s">
        <v>58</v>
      </c>
      <c r="E176" s="8" t="s">
        <v>59</v>
      </c>
      <c r="F176" s="8" t="s">
        <v>444</v>
      </c>
      <c r="G176" s="8" t="s">
        <v>41</v>
      </c>
      <c r="H176" s="8" t="s">
        <v>28</v>
      </c>
      <c r="I176" s="8" t="s">
        <v>29</v>
      </c>
      <c r="J176" s="8" t="s">
        <v>69</v>
      </c>
      <c r="K176" s="8" t="s">
        <v>180</v>
      </c>
      <c r="L176" s="8" t="s">
        <v>91</v>
      </c>
      <c r="M176" s="8">
        <v>2</v>
      </c>
      <c r="N176" s="10">
        <v>1462.88</v>
      </c>
      <c r="O176" s="11">
        <v>0.05</v>
      </c>
      <c r="P176" s="10">
        <v>2779.47</v>
      </c>
      <c r="Q176" s="10">
        <v>1756.74</v>
      </c>
      <c r="R176" s="10">
        <v>1022.73</v>
      </c>
      <c r="S176" s="8" t="s">
        <v>46</v>
      </c>
      <c r="T176" s="8" t="s">
        <v>71</v>
      </c>
      <c r="U176" s="8">
        <v>4</v>
      </c>
      <c r="V176" s="8" t="s">
        <v>134</v>
      </c>
    </row>
    <row r="177" spans="1:22" x14ac:dyDescent="0.3">
      <c r="A177" s="12" t="s">
        <v>445</v>
      </c>
      <c r="B177" s="13">
        <v>45870</v>
      </c>
      <c r="C177" s="12" t="s">
        <v>23</v>
      </c>
      <c r="D177" s="12" t="s">
        <v>24</v>
      </c>
      <c r="E177" s="12" t="s">
        <v>25</v>
      </c>
      <c r="F177" s="12" t="s">
        <v>446</v>
      </c>
      <c r="G177" s="12" t="s">
        <v>27</v>
      </c>
      <c r="H177" s="12" t="s">
        <v>42</v>
      </c>
      <c r="I177" s="12" t="s">
        <v>29</v>
      </c>
      <c r="J177" s="12" t="s">
        <v>43</v>
      </c>
      <c r="K177" s="12" t="s">
        <v>44</v>
      </c>
      <c r="L177" s="12" t="s">
        <v>103</v>
      </c>
      <c r="M177" s="12">
        <v>4</v>
      </c>
      <c r="N177" s="14">
        <v>594.51</v>
      </c>
      <c r="O177" s="15">
        <v>0.1</v>
      </c>
      <c r="P177" s="14">
        <v>2140.2399999999998</v>
      </c>
      <c r="Q177" s="14">
        <v>1046.06</v>
      </c>
      <c r="R177" s="14">
        <v>1094.18</v>
      </c>
      <c r="S177" s="12" t="s">
        <v>46</v>
      </c>
      <c r="T177" s="12" t="s">
        <v>147</v>
      </c>
      <c r="U177" s="12">
        <v>3</v>
      </c>
      <c r="V177" s="12" t="s">
        <v>72</v>
      </c>
    </row>
    <row r="178" spans="1:22" x14ac:dyDescent="0.3">
      <c r="A178" s="8" t="s">
        <v>447</v>
      </c>
      <c r="B178" s="9">
        <v>45724</v>
      </c>
      <c r="C178" s="8" t="s">
        <v>125</v>
      </c>
      <c r="D178" s="8" t="s">
        <v>126</v>
      </c>
      <c r="E178" s="8" t="s">
        <v>25</v>
      </c>
      <c r="F178" s="8" t="s">
        <v>448</v>
      </c>
      <c r="G178" s="8" t="s">
        <v>27</v>
      </c>
      <c r="H178" s="8" t="s">
        <v>94</v>
      </c>
      <c r="I178" s="8" t="s">
        <v>68</v>
      </c>
      <c r="J178" s="8" t="s">
        <v>30</v>
      </c>
      <c r="K178" s="8" t="s">
        <v>144</v>
      </c>
      <c r="L178" s="8" t="s">
        <v>91</v>
      </c>
      <c r="M178" s="8">
        <v>3</v>
      </c>
      <c r="N178" s="10">
        <v>2593.67</v>
      </c>
      <c r="O178" s="11">
        <v>0.3</v>
      </c>
      <c r="P178" s="10">
        <v>5446.71</v>
      </c>
      <c r="Q178" s="10">
        <v>4338.62</v>
      </c>
      <c r="R178" s="10">
        <v>1108.0899999999999</v>
      </c>
      <c r="S178" s="8" t="s">
        <v>63</v>
      </c>
      <c r="T178" s="8" t="s">
        <v>104</v>
      </c>
      <c r="U178" s="8">
        <v>5</v>
      </c>
      <c r="V178" s="8" t="s">
        <v>55</v>
      </c>
    </row>
    <row r="179" spans="1:22" x14ac:dyDescent="0.3">
      <c r="A179" s="12" t="s">
        <v>449</v>
      </c>
      <c r="B179" s="13">
        <v>45824</v>
      </c>
      <c r="C179" s="12" t="s">
        <v>131</v>
      </c>
      <c r="D179" s="12" t="s">
        <v>132</v>
      </c>
      <c r="E179" s="12" t="s">
        <v>25</v>
      </c>
      <c r="F179" s="12" t="s">
        <v>450</v>
      </c>
      <c r="G179" s="12" t="s">
        <v>41</v>
      </c>
      <c r="H179" s="12" t="s">
        <v>42</v>
      </c>
      <c r="I179" s="12" t="s">
        <v>29</v>
      </c>
      <c r="J179" s="12" t="s">
        <v>75</v>
      </c>
      <c r="K179" s="12" t="s">
        <v>76</v>
      </c>
      <c r="L179" s="12" t="s">
        <v>175</v>
      </c>
      <c r="M179" s="12">
        <v>5</v>
      </c>
      <c r="N179" s="14">
        <v>793.97</v>
      </c>
      <c r="O179" s="15">
        <v>0.25</v>
      </c>
      <c r="P179" s="14">
        <v>2977.39</v>
      </c>
      <c r="Q179" s="14">
        <v>1725.26</v>
      </c>
      <c r="R179" s="14">
        <v>1252.1300000000001</v>
      </c>
      <c r="S179" s="12" t="s">
        <v>46</v>
      </c>
      <c r="T179" s="12" t="s">
        <v>78</v>
      </c>
      <c r="U179" s="12">
        <v>3</v>
      </c>
      <c r="V179" s="12" t="s">
        <v>157</v>
      </c>
    </row>
    <row r="180" spans="1:22" x14ac:dyDescent="0.3">
      <c r="A180" s="8" t="s">
        <v>451</v>
      </c>
      <c r="B180" s="9">
        <v>45936</v>
      </c>
      <c r="C180" s="8" t="s">
        <v>107</v>
      </c>
      <c r="D180" s="8" t="s">
        <v>108</v>
      </c>
      <c r="E180" s="8" t="s">
        <v>39</v>
      </c>
      <c r="F180" s="8" t="s">
        <v>452</v>
      </c>
      <c r="G180" s="8" t="s">
        <v>27</v>
      </c>
      <c r="H180" s="8" t="s">
        <v>28</v>
      </c>
      <c r="I180" s="8" t="s">
        <v>29</v>
      </c>
      <c r="J180" s="8" t="s">
        <v>89</v>
      </c>
      <c r="K180" s="8" t="s">
        <v>151</v>
      </c>
      <c r="L180" s="8" t="s">
        <v>82</v>
      </c>
      <c r="M180" s="8">
        <v>5</v>
      </c>
      <c r="N180" s="10">
        <v>1047</v>
      </c>
      <c r="O180" s="11">
        <v>0.2</v>
      </c>
      <c r="P180" s="10">
        <v>4188</v>
      </c>
      <c r="Q180" s="10">
        <v>2518.79</v>
      </c>
      <c r="R180" s="10">
        <v>1669.21</v>
      </c>
      <c r="S180" s="8" t="s">
        <v>63</v>
      </c>
      <c r="T180" s="8" t="s">
        <v>147</v>
      </c>
      <c r="U180" s="8">
        <v>3</v>
      </c>
      <c r="V180" s="8" t="s">
        <v>123</v>
      </c>
    </row>
    <row r="181" spans="1:22" x14ac:dyDescent="0.3">
      <c r="A181" s="12" t="s">
        <v>453</v>
      </c>
      <c r="B181" s="13">
        <v>45787</v>
      </c>
      <c r="C181" s="12" t="s">
        <v>48</v>
      </c>
      <c r="D181" s="12" t="s">
        <v>49</v>
      </c>
      <c r="E181" s="12" t="s">
        <v>39</v>
      </c>
      <c r="F181" s="12" t="s">
        <v>454</v>
      </c>
      <c r="G181" s="12" t="s">
        <v>41</v>
      </c>
      <c r="H181" s="12" t="s">
        <v>94</v>
      </c>
      <c r="I181" s="12" t="s">
        <v>68</v>
      </c>
      <c r="J181" s="12" t="s">
        <v>30</v>
      </c>
      <c r="K181" s="12" t="s">
        <v>144</v>
      </c>
      <c r="L181" s="12" t="s">
        <v>91</v>
      </c>
      <c r="M181" s="12">
        <v>3</v>
      </c>
      <c r="N181" s="14">
        <v>2409.04</v>
      </c>
      <c r="O181" s="15">
        <v>0.15</v>
      </c>
      <c r="P181" s="14">
        <v>6143.05</v>
      </c>
      <c r="Q181" s="14">
        <v>4711.22</v>
      </c>
      <c r="R181" s="14">
        <v>1431.83</v>
      </c>
      <c r="S181" s="12" t="s">
        <v>63</v>
      </c>
      <c r="T181" s="12" t="s">
        <v>156</v>
      </c>
      <c r="U181" s="12">
        <v>4</v>
      </c>
      <c r="V181" s="12" t="s">
        <v>134</v>
      </c>
    </row>
    <row r="182" spans="1:22" x14ac:dyDescent="0.3">
      <c r="A182" s="8" t="s">
        <v>455</v>
      </c>
      <c r="B182" s="9">
        <v>46015</v>
      </c>
      <c r="C182" s="8" t="s">
        <v>131</v>
      </c>
      <c r="D182" s="8" t="s">
        <v>132</v>
      </c>
      <c r="E182" s="8" t="s">
        <v>25</v>
      </c>
      <c r="F182" s="8" t="s">
        <v>456</v>
      </c>
      <c r="G182" s="8" t="s">
        <v>41</v>
      </c>
      <c r="H182" s="8" t="s">
        <v>28</v>
      </c>
      <c r="I182" s="8" t="s">
        <v>29</v>
      </c>
      <c r="J182" s="8" t="s">
        <v>75</v>
      </c>
      <c r="K182" s="8" t="s">
        <v>76</v>
      </c>
      <c r="L182" s="8" t="s">
        <v>103</v>
      </c>
      <c r="M182" s="8">
        <v>3</v>
      </c>
      <c r="N182" s="10">
        <v>831.02</v>
      </c>
      <c r="O182" s="11">
        <v>0.1</v>
      </c>
      <c r="P182" s="10">
        <v>2243.75</v>
      </c>
      <c r="Q182" s="10">
        <v>1018.67</v>
      </c>
      <c r="R182" s="10">
        <v>1225.08</v>
      </c>
      <c r="S182" s="8" t="s">
        <v>63</v>
      </c>
      <c r="T182" s="8" t="s">
        <v>147</v>
      </c>
      <c r="U182" s="8">
        <v>5</v>
      </c>
      <c r="V182" s="8" t="s">
        <v>35</v>
      </c>
    </row>
    <row r="183" spans="1:22" x14ac:dyDescent="0.3">
      <c r="A183" s="12" t="s">
        <v>457</v>
      </c>
      <c r="B183" s="13">
        <v>45863</v>
      </c>
      <c r="C183" s="12" t="s">
        <v>48</v>
      </c>
      <c r="D183" s="12" t="s">
        <v>49</v>
      </c>
      <c r="E183" s="12" t="s">
        <v>39</v>
      </c>
      <c r="F183" s="12" t="s">
        <v>458</v>
      </c>
      <c r="G183" s="12" t="s">
        <v>27</v>
      </c>
      <c r="H183" s="12" t="s">
        <v>81</v>
      </c>
      <c r="I183" s="12" t="s">
        <v>68</v>
      </c>
      <c r="J183" s="12" t="s">
        <v>75</v>
      </c>
      <c r="K183" s="12" t="s">
        <v>95</v>
      </c>
      <c r="L183" s="12" t="s">
        <v>175</v>
      </c>
      <c r="M183" s="12">
        <v>3</v>
      </c>
      <c r="N183" s="14">
        <v>24827.040000000001</v>
      </c>
      <c r="O183" s="15">
        <v>0</v>
      </c>
      <c r="P183" s="14">
        <v>74481.119999999995</v>
      </c>
      <c r="Q183" s="14">
        <v>52588.56</v>
      </c>
      <c r="R183" s="14">
        <v>21892.560000000001</v>
      </c>
      <c r="S183" s="12" t="s">
        <v>83</v>
      </c>
      <c r="T183" s="12" t="s">
        <v>64</v>
      </c>
      <c r="U183" s="12">
        <v>4</v>
      </c>
      <c r="V183" s="12" t="s">
        <v>120</v>
      </c>
    </row>
    <row r="184" spans="1:22" x14ac:dyDescent="0.3">
      <c r="A184" s="8" t="s">
        <v>459</v>
      </c>
      <c r="B184" s="9">
        <v>45710</v>
      </c>
      <c r="C184" s="8" t="s">
        <v>98</v>
      </c>
      <c r="D184" s="8" t="s">
        <v>99</v>
      </c>
      <c r="E184" s="8" t="s">
        <v>25</v>
      </c>
      <c r="F184" s="8" t="s">
        <v>460</v>
      </c>
      <c r="G184" s="8" t="s">
        <v>41</v>
      </c>
      <c r="H184" s="8" t="s">
        <v>94</v>
      </c>
      <c r="I184" s="8" t="s">
        <v>29</v>
      </c>
      <c r="J184" s="8" t="s">
        <v>75</v>
      </c>
      <c r="K184" s="8" t="s">
        <v>76</v>
      </c>
      <c r="L184" s="8" t="s">
        <v>91</v>
      </c>
      <c r="M184" s="8">
        <v>3</v>
      </c>
      <c r="N184" s="10">
        <v>799.61</v>
      </c>
      <c r="O184" s="11">
        <v>0.1</v>
      </c>
      <c r="P184" s="10">
        <v>2158.9499999999998</v>
      </c>
      <c r="Q184" s="10">
        <v>1094.6199999999999</v>
      </c>
      <c r="R184" s="10">
        <v>1064.33</v>
      </c>
      <c r="S184" s="8" t="s">
        <v>33</v>
      </c>
      <c r="T184" s="8" t="s">
        <v>64</v>
      </c>
      <c r="U184" s="8">
        <v>5</v>
      </c>
      <c r="V184" s="8" t="s">
        <v>105</v>
      </c>
    </row>
    <row r="185" spans="1:22" x14ac:dyDescent="0.3">
      <c r="A185" s="12" t="s">
        <v>461</v>
      </c>
      <c r="B185" s="13">
        <v>45726</v>
      </c>
      <c r="C185" s="12" t="s">
        <v>125</v>
      </c>
      <c r="D185" s="12" t="s">
        <v>126</v>
      </c>
      <c r="E185" s="12" t="s">
        <v>25</v>
      </c>
      <c r="F185" s="12" t="s">
        <v>462</v>
      </c>
      <c r="G185" s="12" t="s">
        <v>41</v>
      </c>
      <c r="H185" s="12" t="s">
        <v>28</v>
      </c>
      <c r="I185" s="12" t="s">
        <v>61</v>
      </c>
      <c r="J185" s="12" t="s">
        <v>43</v>
      </c>
      <c r="K185" s="12" t="s">
        <v>162</v>
      </c>
      <c r="L185" s="12" t="s">
        <v>77</v>
      </c>
      <c r="M185" s="12">
        <v>5</v>
      </c>
      <c r="N185" s="14">
        <v>876.4</v>
      </c>
      <c r="O185" s="15">
        <v>0</v>
      </c>
      <c r="P185" s="14">
        <v>4382</v>
      </c>
      <c r="Q185" s="14">
        <v>1942.64</v>
      </c>
      <c r="R185" s="14">
        <v>2439.36</v>
      </c>
      <c r="S185" s="12" t="s">
        <v>53</v>
      </c>
      <c r="T185" s="12" t="s">
        <v>156</v>
      </c>
      <c r="U185" s="12">
        <v>4</v>
      </c>
      <c r="V185" s="12" t="s">
        <v>55</v>
      </c>
    </row>
    <row r="186" spans="1:22" x14ac:dyDescent="0.3">
      <c r="A186" s="8" t="s">
        <v>463</v>
      </c>
      <c r="B186" s="9">
        <v>45769</v>
      </c>
      <c r="C186" s="8" t="s">
        <v>57</v>
      </c>
      <c r="D186" s="8" t="s">
        <v>58</v>
      </c>
      <c r="E186" s="8" t="s">
        <v>59</v>
      </c>
      <c r="F186" s="8" t="s">
        <v>464</v>
      </c>
      <c r="G186" s="8" t="s">
        <v>41</v>
      </c>
      <c r="H186" s="8" t="s">
        <v>94</v>
      </c>
      <c r="I186" s="8" t="s">
        <v>68</v>
      </c>
      <c r="J186" s="8" t="s">
        <v>101</v>
      </c>
      <c r="K186" s="8" t="s">
        <v>217</v>
      </c>
      <c r="L186" s="8" t="s">
        <v>45</v>
      </c>
      <c r="M186" s="8">
        <v>5</v>
      </c>
      <c r="N186" s="10">
        <v>3012.26</v>
      </c>
      <c r="O186" s="11">
        <v>0.25</v>
      </c>
      <c r="P186" s="10">
        <v>11295.98</v>
      </c>
      <c r="Q186" s="10">
        <v>8645.64</v>
      </c>
      <c r="R186" s="10">
        <v>2650.34</v>
      </c>
      <c r="S186" s="8" t="s">
        <v>83</v>
      </c>
      <c r="T186" s="8" t="s">
        <v>34</v>
      </c>
      <c r="U186" s="8">
        <v>5</v>
      </c>
      <c r="V186" s="8" t="s">
        <v>96</v>
      </c>
    </row>
    <row r="187" spans="1:22" x14ac:dyDescent="0.3">
      <c r="A187" s="12" t="s">
        <v>465</v>
      </c>
      <c r="B187" s="13">
        <v>46020</v>
      </c>
      <c r="C187" s="12" t="s">
        <v>86</v>
      </c>
      <c r="D187" s="12" t="s">
        <v>87</v>
      </c>
      <c r="E187" s="12" t="s">
        <v>59</v>
      </c>
      <c r="F187" s="12" t="s">
        <v>466</v>
      </c>
      <c r="G187" s="12" t="s">
        <v>41</v>
      </c>
      <c r="H187" s="12" t="s">
        <v>28</v>
      </c>
      <c r="I187" s="12" t="s">
        <v>29</v>
      </c>
      <c r="J187" s="12" t="s">
        <v>69</v>
      </c>
      <c r="K187" s="12" t="s">
        <v>137</v>
      </c>
      <c r="L187" s="12" t="s">
        <v>103</v>
      </c>
      <c r="M187" s="12">
        <v>2</v>
      </c>
      <c r="N187" s="14">
        <v>479.53</v>
      </c>
      <c r="O187" s="15">
        <v>0.05</v>
      </c>
      <c r="P187" s="14">
        <v>911.11</v>
      </c>
      <c r="Q187" s="14">
        <v>435.71</v>
      </c>
      <c r="R187" s="14">
        <v>475.4</v>
      </c>
      <c r="S187" s="12" t="s">
        <v>63</v>
      </c>
      <c r="T187" s="12" t="s">
        <v>64</v>
      </c>
      <c r="U187" s="12">
        <v>4</v>
      </c>
      <c r="V187" s="12" t="s">
        <v>35</v>
      </c>
    </row>
    <row r="188" spans="1:22" x14ac:dyDescent="0.3">
      <c r="A188" s="8" t="s">
        <v>467</v>
      </c>
      <c r="B188" s="9">
        <v>45915</v>
      </c>
      <c r="C188" s="8" t="s">
        <v>125</v>
      </c>
      <c r="D188" s="8" t="s">
        <v>126</v>
      </c>
      <c r="E188" s="8" t="s">
        <v>25</v>
      </c>
      <c r="F188" s="8" t="s">
        <v>468</v>
      </c>
      <c r="G188" s="8" t="s">
        <v>41</v>
      </c>
      <c r="H188" s="8" t="s">
        <v>81</v>
      </c>
      <c r="I188" s="8" t="s">
        <v>29</v>
      </c>
      <c r="J188" s="8" t="s">
        <v>75</v>
      </c>
      <c r="K188" s="8" t="s">
        <v>154</v>
      </c>
      <c r="L188" s="8" t="s">
        <v>77</v>
      </c>
      <c r="M188" s="8">
        <v>5</v>
      </c>
      <c r="N188" s="10">
        <v>1922.93</v>
      </c>
      <c r="O188" s="11">
        <v>0</v>
      </c>
      <c r="P188" s="10">
        <v>9614.65</v>
      </c>
      <c r="Q188" s="10">
        <v>5323.6</v>
      </c>
      <c r="R188" s="10">
        <v>4291.05</v>
      </c>
      <c r="S188" s="8" t="s">
        <v>33</v>
      </c>
      <c r="T188" s="8" t="s">
        <v>64</v>
      </c>
      <c r="U188" s="8">
        <v>5</v>
      </c>
      <c r="V188" s="8" t="s">
        <v>116</v>
      </c>
    </row>
    <row r="189" spans="1:22" x14ac:dyDescent="0.3">
      <c r="A189" s="12" t="s">
        <v>469</v>
      </c>
      <c r="B189" s="13">
        <v>45835</v>
      </c>
      <c r="C189" s="12" t="s">
        <v>86</v>
      </c>
      <c r="D189" s="12" t="s">
        <v>87</v>
      </c>
      <c r="E189" s="12" t="s">
        <v>59</v>
      </c>
      <c r="F189" s="12" t="s">
        <v>470</v>
      </c>
      <c r="G189" s="12" t="s">
        <v>27</v>
      </c>
      <c r="H189" s="12" t="s">
        <v>81</v>
      </c>
      <c r="I189" s="12" t="s">
        <v>68</v>
      </c>
      <c r="J189" s="12" t="s">
        <v>43</v>
      </c>
      <c r="K189" s="12" t="s">
        <v>44</v>
      </c>
      <c r="L189" s="12" t="s">
        <v>32</v>
      </c>
      <c r="M189" s="12">
        <v>1</v>
      </c>
      <c r="N189" s="14">
        <v>612.66</v>
      </c>
      <c r="O189" s="15">
        <v>0</v>
      </c>
      <c r="P189" s="14">
        <v>612.66</v>
      </c>
      <c r="Q189" s="14">
        <v>257.52</v>
      </c>
      <c r="R189" s="14">
        <v>355.14</v>
      </c>
      <c r="S189" s="12" t="s">
        <v>33</v>
      </c>
      <c r="T189" s="12" t="s">
        <v>34</v>
      </c>
      <c r="U189" s="12">
        <v>3</v>
      </c>
      <c r="V189" s="12" t="s">
        <v>157</v>
      </c>
    </row>
    <row r="190" spans="1:22" x14ac:dyDescent="0.3">
      <c r="A190" s="8" t="s">
        <v>471</v>
      </c>
      <c r="B190" s="9">
        <v>46018</v>
      </c>
      <c r="C190" s="8" t="s">
        <v>131</v>
      </c>
      <c r="D190" s="8" t="s">
        <v>132</v>
      </c>
      <c r="E190" s="8" t="s">
        <v>25</v>
      </c>
      <c r="F190" s="8" t="s">
        <v>164</v>
      </c>
      <c r="G190" s="8" t="s">
        <v>27</v>
      </c>
      <c r="H190" s="8" t="s">
        <v>81</v>
      </c>
      <c r="I190" s="8" t="s">
        <v>29</v>
      </c>
      <c r="J190" s="8" t="s">
        <v>75</v>
      </c>
      <c r="K190" s="8" t="s">
        <v>95</v>
      </c>
      <c r="L190" s="8" t="s">
        <v>52</v>
      </c>
      <c r="M190" s="8">
        <v>1</v>
      </c>
      <c r="N190" s="10">
        <v>25855.02</v>
      </c>
      <c r="O190" s="11">
        <v>0</v>
      </c>
      <c r="P190" s="10">
        <v>25855.02</v>
      </c>
      <c r="Q190" s="10">
        <v>18745.32</v>
      </c>
      <c r="R190" s="10">
        <v>7109.7</v>
      </c>
      <c r="S190" s="8" t="s">
        <v>33</v>
      </c>
      <c r="T190" s="8" t="s">
        <v>156</v>
      </c>
      <c r="U190" s="8">
        <v>3</v>
      </c>
      <c r="V190" s="8" t="s">
        <v>35</v>
      </c>
    </row>
    <row r="191" spans="1:22" x14ac:dyDescent="0.3">
      <c r="A191" s="12" t="s">
        <v>472</v>
      </c>
      <c r="B191" s="13">
        <v>45749</v>
      </c>
      <c r="C191" s="12" t="s">
        <v>37</v>
      </c>
      <c r="D191" s="12" t="s">
        <v>38</v>
      </c>
      <c r="E191" s="12" t="s">
        <v>39</v>
      </c>
      <c r="F191" s="12" t="s">
        <v>473</v>
      </c>
      <c r="G191" s="12" t="s">
        <v>41</v>
      </c>
      <c r="H191" s="12" t="s">
        <v>42</v>
      </c>
      <c r="I191" s="12" t="s">
        <v>68</v>
      </c>
      <c r="J191" s="12" t="s">
        <v>30</v>
      </c>
      <c r="K191" s="12" t="s">
        <v>144</v>
      </c>
      <c r="L191" s="12" t="s">
        <v>32</v>
      </c>
      <c r="M191" s="12">
        <v>5</v>
      </c>
      <c r="N191" s="14">
        <v>2446.5300000000002</v>
      </c>
      <c r="O191" s="15">
        <v>0.25</v>
      </c>
      <c r="P191" s="14">
        <v>9174.49</v>
      </c>
      <c r="Q191" s="14">
        <v>7187.15</v>
      </c>
      <c r="R191" s="14">
        <v>1987.34</v>
      </c>
      <c r="S191" s="12" t="s">
        <v>83</v>
      </c>
      <c r="T191" s="12" t="s">
        <v>111</v>
      </c>
      <c r="U191" s="12">
        <v>4</v>
      </c>
      <c r="V191" s="12" t="s">
        <v>96</v>
      </c>
    </row>
    <row r="192" spans="1:22" x14ac:dyDescent="0.3">
      <c r="A192" s="8" t="s">
        <v>474</v>
      </c>
      <c r="B192" s="9">
        <v>45969</v>
      </c>
      <c r="C192" s="8" t="s">
        <v>125</v>
      </c>
      <c r="D192" s="8" t="s">
        <v>126</v>
      </c>
      <c r="E192" s="8" t="s">
        <v>25</v>
      </c>
      <c r="F192" s="8" t="s">
        <v>475</v>
      </c>
      <c r="G192" s="8" t="s">
        <v>27</v>
      </c>
      <c r="H192" s="8" t="s">
        <v>42</v>
      </c>
      <c r="I192" s="8" t="s">
        <v>68</v>
      </c>
      <c r="J192" s="8" t="s">
        <v>75</v>
      </c>
      <c r="K192" s="8" t="s">
        <v>76</v>
      </c>
      <c r="L192" s="8" t="s">
        <v>82</v>
      </c>
      <c r="M192" s="8">
        <v>4</v>
      </c>
      <c r="N192" s="10">
        <v>834.19</v>
      </c>
      <c r="O192" s="11">
        <v>0.2</v>
      </c>
      <c r="P192" s="10">
        <v>2669.41</v>
      </c>
      <c r="Q192" s="10">
        <v>1448.7</v>
      </c>
      <c r="R192" s="10">
        <v>1220.71</v>
      </c>
      <c r="S192" s="8" t="s">
        <v>63</v>
      </c>
      <c r="T192" s="8" t="s">
        <v>34</v>
      </c>
      <c r="U192" s="8">
        <v>5</v>
      </c>
      <c r="V192" s="8" t="s">
        <v>65</v>
      </c>
    </row>
    <row r="193" spans="1:22" x14ac:dyDescent="0.3">
      <c r="A193" s="12" t="s">
        <v>476</v>
      </c>
      <c r="B193" s="13">
        <v>45844</v>
      </c>
      <c r="C193" s="12" t="s">
        <v>131</v>
      </c>
      <c r="D193" s="12" t="s">
        <v>132</v>
      </c>
      <c r="E193" s="12" t="s">
        <v>25</v>
      </c>
      <c r="F193" s="12" t="s">
        <v>477</v>
      </c>
      <c r="G193" s="12" t="s">
        <v>27</v>
      </c>
      <c r="H193" s="12" t="s">
        <v>81</v>
      </c>
      <c r="I193" s="12" t="s">
        <v>29</v>
      </c>
      <c r="J193" s="12" t="s">
        <v>69</v>
      </c>
      <c r="K193" s="12" t="s">
        <v>70</v>
      </c>
      <c r="L193" s="12" t="s">
        <v>82</v>
      </c>
      <c r="M193" s="12">
        <v>3</v>
      </c>
      <c r="N193" s="14">
        <v>869.98</v>
      </c>
      <c r="O193" s="15">
        <v>0.15</v>
      </c>
      <c r="P193" s="14">
        <v>2218.4499999999998</v>
      </c>
      <c r="Q193" s="14">
        <v>1371.83</v>
      </c>
      <c r="R193" s="14">
        <v>846.62</v>
      </c>
      <c r="S193" s="12" t="s">
        <v>53</v>
      </c>
      <c r="T193" s="12" t="s">
        <v>78</v>
      </c>
      <c r="U193" s="12">
        <v>3</v>
      </c>
      <c r="V193" s="12" t="s">
        <v>120</v>
      </c>
    </row>
    <row r="194" spans="1:22" x14ac:dyDescent="0.3">
      <c r="A194" s="8" t="s">
        <v>478</v>
      </c>
      <c r="B194" s="9">
        <v>45902</v>
      </c>
      <c r="C194" s="8" t="s">
        <v>23</v>
      </c>
      <c r="D194" s="8" t="s">
        <v>24</v>
      </c>
      <c r="E194" s="8" t="s">
        <v>25</v>
      </c>
      <c r="F194" s="8" t="s">
        <v>434</v>
      </c>
      <c r="G194" s="8" t="s">
        <v>41</v>
      </c>
      <c r="H194" s="8" t="s">
        <v>42</v>
      </c>
      <c r="I194" s="8" t="s">
        <v>61</v>
      </c>
      <c r="J194" s="8" t="s">
        <v>75</v>
      </c>
      <c r="K194" s="8" t="s">
        <v>95</v>
      </c>
      <c r="L194" s="8" t="s">
        <v>103</v>
      </c>
      <c r="M194" s="8">
        <v>4</v>
      </c>
      <c r="N194" s="10">
        <v>24871.72</v>
      </c>
      <c r="O194" s="11">
        <v>0.05</v>
      </c>
      <c r="P194" s="10">
        <v>94512.54</v>
      </c>
      <c r="Q194" s="10">
        <v>72421.78</v>
      </c>
      <c r="R194" s="10">
        <v>22090.76</v>
      </c>
      <c r="S194" s="8" t="s">
        <v>33</v>
      </c>
      <c r="T194" s="8" t="s">
        <v>71</v>
      </c>
      <c r="U194" s="8">
        <v>5</v>
      </c>
      <c r="V194" s="8" t="s">
        <v>116</v>
      </c>
    </row>
    <row r="195" spans="1:22" x14ac:dyDescent="0.3">
      <c r="A195" s="12" t="s">
        <v>479</v>
      </c>
      <c r="B195" s="13">
        <v>45864</v>
      </c>
      <c r="C195" s="12" t="s">
        <v>23</v>
      </c>
      <c r="D195" s="12" t="s">
        <v>24</v>
      </c>
      <c r="E195" s="12" t="s">
        <v>25</v>
      </c>
      <c r="F195" s="12" t="s">
        <v>480</v>
      </c>
      <c r="G195" s="12" t="s">
        <v>27</v>
      </c>
      <c r="H195" s="12" t="s">
        <v>42</v>
      </c>
      <c r="I195" s="12" t="s">
        <v>61</v>
      </c>
      <c r="J195" s="12" t="s">
        <v>75</v>
      </c>
      <c r="K195" s="12" t="s">
        <v>95</v>
      </c>
      <c r="L195" s="12" t="s">
        <v>175</v>
      </c>
      <c r="M195" s="12">
        <v>1</v>
      </c>
      <c r="N195" s="14">
        <v>24376.81</v>
      </c>
      <c r="O195" s="15">
        <v>0</v>
      </c>
      <c r="P195" s="14">
        <v>24376.81</v>
      </c>
      <c r="Q195" s="14">
        <v>18121.53</v>
      </c>
      <c r="R195" s="14">
        <v>6255.28</v>
      </c>
      <c r="S195" s="12" t="s">
        <v>46</v>
      </c>
      <c r="T195" s="12" t="s">
        <v>71</v>
      </c>
      <c r="U195" s="12">
        <v>3</v>
      </c>
      <c r="V195" s="12" t="s">
        <v>120</v>
      </c>
    </row>
    <row r="196" spans="1:22" x14ac:dyDescent="0.3">
      <c r="A196" s="8" t="s">
        <v>481</v>
      </c>
      <c r="B196" s="9">
        <v>45891</v>
      </c>
      <c r="C196" s="8" t="s">
        <v>57</v>
      </c>
      <c r="D196" s="8" t="s">
        <v>58</v>
      </c>
      <c r="E196" s="8" t="s">
        <v>59</v>
      </c>
      <c r="F196" s="8" t="s">
        <v>482</v>
      </c>
      <c r="G196" s="8" t="s">
        <v>27</v>
      </c>
      <c r="H196" s="8" t="s">
        <v>94</v>
      </c>
      <c r="I196" s="8" t="s">
        <v>29</v>
      </c>
      <c r="J196" s="8" t="s">
        <v>89</v>
      </c>
      <c r="K196" s="8" t="s">
        <v>151</v>
      </c>
      <c r="L196" s="8" t="s">
        <v>77</v>
      </c>
      <c r="M196" s="8">
        <v>5</v>
      </c>
      <c r="N196" s="10">
        <v>990.18</v>
      </c>
      <c r="O196" s="11">
        <v>0.1</v>
      </c>
      <c r="P196" s="10">
        <v>4455.8100000000004</v>
      </c>
      <c r="Q196" s="10">
        <v>2590.09</v>
      </c>
      <c r="R196" s="10">
        <v>1865.72</v>
      </c>
      <c r="S196" s="8" t="s">
        <v>33</v>
      </c>
      <c r="T196" s="8" t="s">
        <v>34</v>
      </c>
      <c r="U196" s="8">
        <v>5</v>
      </c>
      <c r="V196" s="8" t="s">
        <v>72</v>
      </c>
    </row>
    <row r="197" spans="1:22" x14ac:dyDescent="0.3">
      <c r="A197" s="12" t="s">
        <v>483</v>
      </c>
      <c r="B197" s="13">
        <v>46014</v>
      </c>
      <c r="C197" s="12" t="s">
        <v>57</v>
      </c>
      <c r="D197" s="12" t="s">
        <v>58</v>
      </c>
      <c r="E197" s="12" t="s">
        <v>59</v>
      </c>
      <c r="F197" s="12" t="s">
        <v>484</v>
      </c>
      <c r="G197" s="12" t="s">
        <v>41</v>
      </c>
      <c r="H197" s="12" t="s">
        <v>94</v>
      </c>
      <c r="I197" s="12" t="s">
        <v>29</v>
      </c>
      <c r="J197" s="12" t="s">
        <v>89</v>
      </c>
      <c r="K197" s="12" t="s">
        <v>151</v>
      </c>
      <c r="L197" s="12" t="s">
        <v>175</v>
      </c>
      <c r="M197" s="12">
        <v>4</v>
      </c>
      <c r="N197" s="14">
        <v>967.24</v>
      </c>
      <c r="O197" s="15">
        <v>0.1</v>
      </c>
      <c r="P197" s="14">
        <v>3482.06</v>
      </c>
      <c r="Q197" s="14">
        <v>2047.39</v>
      </c>
      <c r="R197" s="14">
        <v>1434.67</v>
      </c>
      <c r="S197" s="12" t="s">
        <v>33</v>
      </c>
      <c r="T197" s="12" t="s">
        <v>78</v>
      </c>
      <c r="U197" s="12">
        <v>3</v>
      </c>
      <c r="V197" s="12" t="s">
        <v>35</v>
      </c>
    </row>
    <row r="198" spans="1:22" x14ac:dyDescent="0.3">
      <c r="A198" s="8" t="s">
        <v>485</v>
      </c>
      <c r="B198" s="9">
        <v>45755</v>
      </c>
      <c r="C198" s="8" t="s">
        <v>48</v>
      </c>
      <c r="D198" s="8" t="s">
        <v>49</v>
      </c>
      <c r="E198" s="8" t="s">
        <v>39</v>
      </c>
      <c r="F198" s="8" t="s">
        <v>486</v>
      </c>
      <c r="G198" s="8" t="s">
        <v>41</v>
      </c>
      <c r="H198" s="8" t="s">
        <v>42</v>
      </c>
      <c r="I198" s="8" t="s">
        <v>29</v>
      </c>
      <c r="J198" s="8" t="s">
        <v>75</v>
      </c>
      <c r="K198" s="8" t="s">
        <v>154</v>
      </c>
      <c r="L198" s="8" t="s">
        <v>103</v>
      </c>
      <c r="M198" s="8">
        <v>4</v>
      </c>
      <c r="N198" s="10">
        <v>1967.89</v>
      </c>
      <c r="O198" s="11">
        <v>0.1</v>
      </c>
      <c r="P198" s="10">
        <v>7084.4</v>
      </c>
      <c r="Q198" s="10">
        <v>4455.66</v>
      </c>
      <c r="R198" s="10">
        <v>2628.74</v>
      </c>
      <c r="S198" s="8" t="s">
        <v>63</v>
      </c>
      <c r="T198" s="8" t="s">
        <v>71</v>
      </c>
      <c r="U198" s="8">
        <v>5</v>
      </c>
      <c r="V198" s="8" t="s">
        <v>96</v>
      </c>
    </row>
    <row r="199" spans="1:22" x14ac:dyDescent="0.3">
      <c r="A199" s="12" t="s">
        <v>487</v>
      </c>
      <c r="B199" s="13">
        <v>45677</v>
      </c>
      <c r="C199" s="12" t="s">
        <v>57</v>
      </c>
      <c r="D199" s="12" t="s">
        <v>58</v>
      </c>
      <c r="E199" s="12" t="s">
        <v>59</v>
      </c>
      <c r="F199" s="12" t="s">
        <v>273</v>
      </c>
      <c r="G199" s="12" t="s">
        <v>41</v>
      </c>
      <c r="H199" s="12" t="s">
        <v>94</v>
      </c>
      <c r="I199" s="12" t="s">
        <v>61</v>
      </c>
      <c r="J199" s="12" t="s">
        <v>101</v>
      </c>
      <c r="K199" s="12" t="s">
        <v>217</v>
      </c>
      <c r="L199" s="12" t="s">
        <v>103</v>
      </c>
      <c r="M199" s="12">
        <v>4</v>
      </c>
      <c r="N199" s="14">
        <v>2899.59</v>
      </c>
      <c r="O199" s="15">
        <v>0.1</v>
      </c>
      <c r="P199" s="14">
        <v>10438.52</v>
      </c>
      <c r="Q199" s="14">
        <v>7038</v>
      </c>
      <c r="R199" s="14">
        <v>3400.52</v>
      </c>
      <c r="S199" s="12" t="s">
        <v>46</v>
      </c>
      <c r="T199" s="12" t="s">
        <v>64</v>
      </c>
      <c r="U199" s="12">
        <v>4</v>
      </c>
      <c r="V199" s="12" t="s">
        <v>84</v>
      </c>
    </row>
    <row r="200" spans="1:22" x14ac:dyDescent="0.3">
      <c r="A200" s="8" t="s">
        <v>488</v>
      </c>
      <c r="B200" s="9">
        <v>45865</v>
      </c>
      <c r="C200" s="8" t="s">
        <v>125</v>
      </c>
      <c r="D200" s="8" t="s">
        <v>126</v>
      </c>
      <c r="E200" s="8" t="s">
        <v>25</v>
      </c>
      <c r="F200" s="8" t="s">
        <v>392</v>
      </c>
      <c r="G200" s="8" t="s">
        <v>27</v>
      </c>
      <c r="H200" s="8" t="s">
        <v>42</v>
      </c>
      <c r="I200" s="8" t="s">
        <v>29</v>
      </c>
      <c r="J200" s="8" t="s">
        <v>89</v>
      </c>
      <c r="K200" s="8" t="s">
        <v>90</v>
      </c>
      <c r="L200" s="8" t="s">
        <v>103</v>
      </c>
      <c r="M200" s="8">
        <v>2</v>
      </c>
      <c r="N200" s="10">
        <v>3616.49</v>
      </c>
      <c r="O200" s="11">
        <v>0.05</v>
      </c>
      <c r="P200" s="10">
        <v>6871.33</v>
      </c>
      <c r="Q200" s="10">
        <v>3992.04</v>
      </c>
      <c r="R200" s="10">
        <v>2879.29</v>
      </c>
      <c r="S200" s="8" t="s">
        <v>53</v>
      </c>
      <c r="T200" s="8" t="s">
        <v>111</v>
      </c>
      <c r="U200" s="8">
        <v>3</v>
      </c>
      <c r="V200" s="8" t="s">
        <v>120</v>
      </c>
    </row>
    <row r="201" spans="1:22" x14ac:dyDescent="0.3">
      <c r="A201" s="12" t="s">
        <v>489</v>
      </c>
      <c r="B201" s="13">
        <v>45985</v>
      </c>
      <c r="C201" s="12" t="s">
        <v>86</v>
      </c>
      <c r="D201" s="12" t="s">
        <v>87</v>
      </c>
      <c r="E201" s="12" t="s">
        <v>59</v>
      </c>
      <c r="F201" s="12" t="s">
        <v>490</v>
      </c>
      <c r="G201" s="12" t="s">
        <v>27</v>
      </c>
      <c r="H201" s="12" t="s">
        <v>42</v>
      </c>
      <c r="I201" s="12" t="s">
        <v>68</v>
      </c>
      <c r="J201" s="12" t="s">
        <v>43</v>
      </c>
      <c r="K201" s="12" t="s">
        <v>44</v>
      </c>
      <c r="L201" s="12" t="s">
        <v>91</v>
      </c>
      <c r="M201" s="12">
        <v>4</v>
      </c>
      <c r="N201" s="14">
        <v>573.05999999999995</v>
      </c>
      <c r="O201" s="15">
        <v>0.05</v>
      </c>
      <c r="P201" s="14">
        <v>2177.63</v>
      </c>
      <c r="Q201" s="14">
        <v>1071.3</v>
      </c>
      <c r="R201" s="14">
        <v>1106.33</v>
      </c>
      <c r="S201" s="12" t="s">
        <v>53</v>
      </c>
      <c r="T201" s="12" t="s">
        <v>119</v>
      </c>
      <c r="U201" s="12">
        <v>4</v>
      </c>
      <c r="V201" s="12" t="s">
        <v>65</v>
      </c>
    </row>
    <row r="202" spans="1:22" x14ac:dyDescent="0.3">
      <c r="A202" s="8" t="s">
        <v>491</v>
      </c>
      <c r="B202" s="9">
        <v>45747</v>
      </c>
      <c r="C202" s="8" t="s">
        <v>57</v>
      </c>
      <c r="D202" s="8" t="s">
        <v>58</v>
      </c>
      <c r="E202" s="8" t="s">
        <v>59</v>
      </c>
      <c r="F202" s="8" t="s">
        <v>277</v>
      </c>
      <c r="G202" s="8" t="s">
        <v>27</v>
      </c>
      <c r="H202" s="8" t="s">
        <v>81</v>
      </c>
      <c r="I202" s="8" t="s">
        <v>68</v>
      </c>
      <c r="J202" s="8" t="s">
        <v>89</v>
      </c>
      <c r="K202" s="8" t="s">
        <v>90</v>
      </c>
      <c r="L202" s="8" t="s">
        <v>91</v>
      </c>
      <c r="M202" s="8">
        <v>1</v>
      </c>
      <c r="N202" s="10">
        <v>3592.61</v>
      </c>
      <c r="O202" s="11">
        <v>0.05</v>
      </c>
      <c r="P202" s="10">
        <v>3412.98</v>
      </c>
      <c r="Q202" s="10">
        <v>2140.0100000000002</v>
      </c>
      <c r="R202" s="10">
        <v>1272.97</v>
      </c>
      <c r="S202" s="8" t="s">
        <v>83</v>
      </c>
      <c r="T202" s="8" t="s">
        <v>104</v>
      </c>
      <c r="U202" s="8">
        <v>5</v>
      </c>
      <c r="V202" s="8" t="s">
        <v>55</v>
      </c>
    </row>
    <row r="203" spans="1:22" x14ac:dyDescent="0.3">
      <c r="A203" s="12" t="s">
        <v>492</v>
      </c>
      <c r="B203" s="13">
        <v>45994</v>
      </c>
      <c r="C203" s="12" t="s">
        <v>86</v>
      </c>
      <c r="D203" s="12" t="s">
        <v>87</v>
      </c>
      <c r="E203" s="12" t="s">
        <v>59</v>
      </c>
      <c r="F203" s="12" t="s">
        <v>493</v>
      </c>
      <c r="G203" s="12" t="s">
        <v>41</v>
      </c>
      <c r="H203" s="12" t="s">
        <v>42</v>
      </c>
      <c r="I203" s="12" t="s">
        <v>61</v>
      </c>
      <c r="J203" s="12" t="s">
        <v>75</v>
      </c>
      <c r="K203" s="12" t="s">
        <v>154</v>
      </c>
      <c r="L203" s="12" t="s">
        <v>82</v>
      </c>
      <c r="M203" s="12">
        <v>4</v>
      </c>
      <c r="N203" s="14">
        <v>2080.39</v>
      </c>
      <c r="O203" s="15">
        <v>0</v>
      </c>
      <c r="P203" s="14">
        <v>8321.56</v>
      </c>
      <c r="Q203" s="14">
        <v>4212.7700000000004</v>
      </c>
      <c r="R203" s="14">
        <v>4108.79</v>
      </c>
      <c r="S203" s="12" t="s">
        <v>46</v>
      </c>
      <c r="T203" s="12" t="s">
        <v>156</v>
      </c>
      <c r="U203" s="12">
        <v>4</v>
      </c>
      <c r="V203" s="12" t="s">
        <v>35</v>
      </c>
    </row>
    <row r="204" spans="1:22" x14ac:dyDescent="0.3">
      <c r="A204" s="8" t="s">
        <v>494</v>
      </c>
      <c r="B204" s="9">
        <v>45693</v>
      </c>
      <c r="C204" s="8" t="s">
        <v>107</v>
      </c>
      <c r="D204" s="8" t="s">
        <v>108</v>
      </c>
      <c r="E204" s="8" t="s">
        <v>39</v>
      </c>
      <c r="F204" s="8" t="s">
        <v>495</v>
      </c>
      <c r="G204" s="8" t="s">
        <v>27</v>
      </c>
      <c r="H204" s="8" t="s">
        <v>42</v>
      </c>
      <c r="I204" s="8" t="s">
        <v>29</v>
      </c>
      <c r="J204" s="8" t="s">
        <v>43</v>
      </c>
      <c r="K204" s="8" t="s">
        <v>51</v>
      </c>
      <c r="L204" s="8" t="s">
        <v>32</v>
      </c>
      <c r="M204" s="8">
        <v>2</v>
      </c>
      <c r="N204" s="10">
        <v>1436.19</v>
      </c>
      <c r="O204" s="11">
        <v>0.05</v>
      </c>
      <c r="P204" s="10">
        <v>2728.76</v>
      </c>
      <c r="Q204" s="10">
        <v>1383.49</v>
      </c>
      <c r="R204" s="10">
        <v>1345.27</v>
      </c>
      <c r="S204" s="8" t="s">
        <v>53</v>
      </c>
      <c r="T204" s="8" t="s">
        <v>54</v>
      </c>
      <c r="U204" s="8">
        <v>3</v>
      </c>
      <c r="V204" s="8" t="s">
        <v>105</v>
      </c>
    </row>
    <row r="205" spans="1:22" x14ac:dyDescent="0.3">
      <c r="A205" s="12" t="s">
        <v>496</v>
      </c>
      <c r="B205" s="13">
        <v>45871</v>
      </c>
      <c r="C205" s="12" t="s">
        <v>48</v>
      </c>
      <c r="D205" s="12" t="s">
        <v>49</v>
      </c>
      <c r="E205" s="12" t="s">
        <v>39</v>
      </c>
      <c r="F205" s="12" t="s">
        <v>497</v>
      </c>
      <c r="G205" s="12" t="s">
        <v>27</v>
      </c>
      <c r="H205" s="12" t="s">
        <v>28</v>
      </c>
      <c r="I205" s="12" t="s">
        <v>29</v>
      </c>
      <c r="J205" s="12" t="s">
        <v>43</v>
      </c>
      <c r="K205" s="12" t="s">
        <v>51</v>
      </c>
      <c r="L205" s="12" t="s">
        <v>175</v>
      </c>
      <c r="M205" s="12">
        <v>2</v>
      </c>
      <c r="N205" s="14">
        <v>1458.05</v>
      </c>
      <c r="O205" s="15">
        <v>0.3</v>
      </c>
      <c r="P205" s="14">
        <v>2041.27</v>
      </c>
      <c r="Q205" s="14">
        <v>1420.32</v>
      </c>
      <c r="R205" s="14">
        <v>620.95000000000005</v>
      </c>
      <c r="S205" s="12" t="s">
        <v>63</v>
      </c>
      <c r="T205" s="12" t="s">
        <v>119</v>
      </c>
      <c r="U205" s="12">
        <v>3</v>
      </c>
      <c r="V205" s="12" t="s">
        <v>72</v>
      </c>
    </row>
    <row r="206" spans="1:22" x14ac:dyDescent="0.3">
      <c r="A206" s="8" t="s">
        <v>498</v>
      </c>
      <c r="B206" s="9">
        <v>45967</v>
      </c>
      <c r="C206" s="8" t="s">
        <v>98</v>
      </c>
      <c r="D206" s="8" t="s">
        <v>99</v>
      </c>
      <c r="E206" s="8" t="s">
        <v>25</v>
      </c>
      <c r="F206" s="8" t="s">
        <v>499</v>
      </c>
      <c r="G206" s="8" t="s">
        <v>27</v>
      </c>
      <c r="H206" s="8" t="s">
        <v>28</v>
      </c>
      <c r="I206" s="8" t="s">
        <v>29</v>
      </c>
      <c r="J206" s="8" t="s">
        <v>75</v>
      </c>
      <c r="K206" s="8" t="s">
        <v>154</v>
      </c>
      <c r="L206" s="8" t="s">
        <v>91</v>
      </c>
      <c r="M206" s="8">
        <v>4</v>
      </c>
      <c r="N206" s="10">
        <v>2000.74</v>
      </c>
      <c r="O206" s="11">
        <v>0.05</v>
      </c>
      <c r="P206" s="10">
        <v>7602.81</v>
      </c>
      <c r="Q206" s="10">
        <v>4235.18</v>
      </c>
      <c r="R206" s="10">
        <v>3367.63</v>
      </c>
      <c r="S206" s="8" t="s">
        <v>46</v>
      </c>
      <c r="T206" s="8" t="s">
        <v>78</v>
      </c>
      <c r="U206" s="8">
        <v>5</v>
      </c>
      <c r="V206" s="8" t="s">
        <v>65</v>
      </c>
    </row>
    <row r="207" spans="1:22" x14ac:dyDescent="0.3">
      <c r="A207" s="12" t="s">
        <v>500</v>
      </c>
      <c r="B207" s="13">
        <v>45720</v>
      </c>
      <c r="C207" s="12" t="s">
        <v>131</v>
      </c>
      <c r="D207" s="12" t="s">
        <v>132</v>
      </c>
      <c r="E207" s="12" t="s">
        <v>25</v>
      </c>
      <c r="F207" s="12" t="s">
        <v>501</v>
      </c>
      <c r="G207" s="12" t="s">
        <v>41</v>
      </c>
      <c r="H207" s="12" t="s">
        <v>94</v>
      </c>
      <c r="I207" s="12" t="s">
        <v>61</v>
      </c>
      <c r="J207" s="12" t="s">
        <v>43</v>
      </c>
      <c r="K207" s="12" t="s">
        <v>44</v>
      </c>
      <c r="L207" s="12" t="s">
        <v>32</v>
      </c>
      <c r="M207" s="12">
        <v>5</v>
      </c>
      <c r="N207" s="14">
        <v>571.52</v>
      </c>
      <c r="O207" s="15">
        <v>0.25</v>
      </c>
      <c r="P207" s="14">
        <v>2143.1999999999998</v>
      </c>
      <c r="Q207" s="14">
        <v>1353.05</v>
      </c>
      <c r="R207" s="14">
        <v>790.15</v>
      </c>
      <c r="S207" s="12" t="s">
        <v>83</v>
      </c>
      <c r="T207" s="12" t="s">
        <v>119</v>
      </c>
      <c r="U207" s="12">
        <v>3</v>
      </c>
      <c r="V207" s="12" t="s">
        <v>55</v>
      </c>
    </row>
    <row r="208" spans="1:22" x14ac:dyDescent="0.3">
      <c r="A208" s="8" t="s">
        <v>502</v>
      </c>
      <c r="B208" s="9">
        <v>45705</v>
      </c>
      <c r="C208" s="8" t="s">
        <v>86</v>
      </c>
      <c r="D208" s="8" t="s">
        <v>87</v>
      </c>
      <c r="E208" s="8" t="s">
        <v>59</v>
      </c>
      <c r="F208" s="8" t="s">
        <v>503</v>
      </c>
      <c r="G208" s="8" t="s">
        <v>41</v>
      </c>
      <c r="H208" s="8" t="s">
        <v>28</v>
      </c>
      <c r="I208" s="8" t="s">
        <v>68</v>
      </c>
      <c r="J208" s="8" t="s">
        <v>43</v>
      </c>
      <c r="K208" s="8" t="s">
        <v>44</v>
      </c>
      <c r="L208" s="8" t="s">
        <v>103</v>
      </c>
      <c r="M208" s="8">
        <v>5</v>
      </c>
      <c r="N208" s="10">
        <v>626.14</v>
      </c>
      <c r="O208" s="11">
        <v>0.1</v>
      </c>
      <c r="P208" s="10">
        <v>2817.63</v>
      </c>
      <c r="Q208" s="10">
        <v>1279.67</v>
      </c>
      <c r="R208" s="10">
        <v>1537.96</v>
      </c>
      <c r="S208" s="8" t="s">
        <v>83</v>
      </c>
      <c r="T208" s="8" t="s">
        <v>78</v>
      </c>
      <c r="U208" s="8">
        <v>4</v>
      </c>
      <c r="V208" s="8" t="s">
        <v>105</v>
      </c>
    </row>
    <row r="209" spans="1:22" x14ac:dyDescent="0.3">
      <c r="A209" s="12" t="s">
        <v>504</v>
      </c>
      <c r="B209" s="13">
        <v>45912</v>
      </c>
      <c r="C209" s="12" t="s">
        <v>98</v>
      </c>
      <c r="D209" s="12" t="s">
        <v>99</v>
      </c>
      <c r="E209" s="12" t="s">
        <v>25</v>
      </c>
      <c r="F209" s="12" t="s">
        <v>456</v>
      </c>
      <c r="G209" s="12" t="s">
        <v>41</v>
      </c>
      <c r="H209" s="12" t="s">
        <v>28</v>
      </c>
      <c r="I209" s="12" t="s">
        <v>61</v>
      </c>
      <c r="J209" s="12" t="s">
        <v>89</v>
      </c>
      <c r="K209" s="12" t="s">
        <v>89</v>
      </c>
      <c r="L209" s="12" t="s">
        <v>82</v>
      </c>
      <c r="M209" s="12">
        <v>2</v>
      </c>
      <c r="N209" s="14">
        <v>1329.35</v>
      </c>
      <c r="O209" s="15">
        <v>0.3</v>
      </c>
      <c r="P209" s="14">
        <v>1861.09</v>
      </c>
      <c r="Q209" s="14">
        <v>1332.14</v>
      </c>
      <c r="R209" s="14">
        <v>528.95000000000005</v>
      </c>
      <c r="S209" s="12" t="s">
        <v>83</v>
      </c>
      <c r="T209" s="12" t="s">
        <v>111</v>
      </c>
      <c r="U209" s="12">
        <v>4</v>
      </c>
      <c r="V209" s="12" t="s">
        <v>116</v>
      </c>
    </row>
    <row r="210" spans="1:22" x14ac:dyDescent="0.3">
      <c r="A210" s="8" t="s">
        <v>505</v>
      </c>
      <c r="B210" s="9">
        <v>45691</v>
      </c>
      <c r="C210" s="8" t="s">
        <v>125</v>
      </c>
      <c r="D210" s="8" t="s">
        <v>126</v>
      </c>
      <c r="E210" s="8" t="s">
        <v>25</v>
      </c>
      <c r="F210" s="8" t="s">
        <v>506</v>
      </c>
      <c r="G210" s="8" t="s">
        <v>27</v>
      </c>
      <c r="H210" s="8" t="s">
        <v>94</v>
      </c>
      <c r="I210" s="8" t="s">
        <v>68</v>
      </c>
      <c r="J210" s="8" t="s">
        <v>69</v>
      </c>
      <c r="K210" s="8" t="s">
        <v>137</v>
      </c>
      <c r="L210" s="8" t="s">
        <v>91</v>
      </c>
      <c r="M210" s="8">
        <v>5</v>
      </c>
      <c r="N210" s="10">
        <v>480.75</v>
      </c>
      <c r="O210" s="11">
        <v>0.05</v>
      </c>
      <c r="P210" s="10">
        <v>2283.56</v>
      </c>
      <c r="Q210" s="10">
        <v>1099.3</v>
      </c>
      <c r="R210" s="10">
        <v>1184.26</v>
      </c>
      <c r="S210" s="8" t="s">
        <v>53</v>
      </c>
      <c r="T210" s="8" t="s">
        <v>156</v>
      </c>
      <c r="U210" s="8">
        <v>5</v>
      </c>
      <c r="V210" s="8" t="s">
        <v>105</v>
      </c>
    </row>
    <row r="211" spans="1:22" x14ac:dyDescent="0.3">
      <c r="A211" s="12" t="s">
        <v>507</v>
      </c>
      <c r="B211" s="13">
        <v>45712</v>
      </c>
      <c r="C211" s="12" t="s">
        <v>48</v>
      </c>
      <c r="D211" s="12" t="s">
        <v>49</v>
      </c>
      <c r="E211" s="12" t="s">
        <v>39</v>
      </c>
      <c r="F211" s="12" t="s">
        <v>508</v>
      </c>
      <c r="G211" s="12" t="s">
        <v>27</v>
      </c>
      <c r="H211" s="12" t="s">
        <v>42</v>
      </c>
      <c r="I211" s="12" t="s">
        <v>68</v>
      </c>
      <c r="J211" s="12" t="s">
        <v>43</v>
      </c>
      <c r="K211" s="12" t="s">
        <v>51</v>
      </c>
      <c r="L211" s="12" t="s">
        <v>45</v>
      </c>
      <c r="M211" s="12">
        <v>3</v>
      </c>
      <c r="N211" s="14">
        <v>1557.24</v>
      </c>
      <c r="O211" s="15">
        <v>0.25</v>
      </c>
      <c r="P211" s="14">
        <v>3503.79</v>
      </c>
      <c r="Q211" s="14">
        <v>2175.52</v>
      </c>
      <c r="R211" s="14">
        <v>1328.27</v>
      </c>
      <c r="S211" s="12" t="s">
        <v>33</v>
      </c>
      <c r="T211" s="12" t="s">
        <v>71</v>
      </c>
      <c r="U211" s="12">
        <v>4</v>
      </c>
      <c r="V211" s="12" t="s">
        <v>105</v>
      </c>
    </row>
    <row r="212" spans="1:22" x14ac:dyDescent="0.3">
      <c r="A212" s="8" t="s">
        <v>509</v>
      </c>
      <c r="B212" s="9">
        <v>45855</v>
      </c>
      <c r="C212" s="8" t="s">
        <v>86</v>
      </c>
      <c r="D212" s="8" t="s">
        <v>87</v>
      </c>
      <c r="E212" s="8" t="s">
        <v>59</v>
      </c>
      <c r="F212" s="8" t="s">
        <v>510</v>
      </c>
      <c r="G212" s="8" t="s">
        <v>41</v>
      </c>
      <c r="H212" s="8" t="s">
        <v>42</v>
      </c>
      <c r="I212" s="8" t="s">
        <v>29</v>
      </c>
      <c r="J212" s="8" t="s">
        <v>75</v>
      </c>
      <c r="K212" s="8" t="s">
        <v>95</v>
      </c>
      <c r="L212" s="8" t="s">
        <v>32</v>
      </c>
      <c r="M212" s="8">
        <v>2</v>
      </c>
      <c r="N212" s="10">
        <v>24227.15</v>
      </c>
      <c r="O212" s="11">
        <v>0</v>
      </c>
      <c r="P212" s="10">
        <v>48454.3</v>
      </c>
      <c r="Q212" s="10">
        <v>34518.39</v>
      </c>
      <c r="R212" s="10">
        <v>13935.91</v>
      </c>
      <c r="S212" s="8" t="s">
        <v>53</v>
      </c>
      <c r="T212" s="8" t="s">
        <v>111</v>
      </c>
      <c r="U212" s="8">
        <v>3</v>
      </c>
      <c r="V212" s="8" t="s">
        <v>120</v>
      </c>
    </row>
    <row r="213" spans="1:22" x14ac:dyDescent="0.3">
      <c r="A213" s="12" t="s">
        <v>511</v>
      </c>
      <c r="B213" s="13">
        <v>45958</v>
      </c>
      <c r="C213" s="12" t="s">
        <v>125</v>
      </c>
      <c r="D213" s="12" t="s">
        <v>126</v>
      </c>
      <c r="E213" s="12" t="s">
        <v>25</v>
      </c>
      <c r="F213" s="12" t="s">
        <v>512</v>
      </c>
      <c r="G213" s="12" t="s">
        <v>41</v>
      </c>
      <c r="H213" s="12" t="s">
        <v>81</v>
      </c>
      <c r="I213" s="12" t="s">
        <v>68</v>
      </c>
      <c r="J213" s="12" t="s">
        <v>69</v>
      </c>
      <c r="K213" s="12" t="s">
        <v>70</v>
      </c>
      <c r="L213" s="12" t="s">
        <v>77</v>
      </c>
      <c r="M213" s="12">
        <v>1</v>
      </c>
      <c r="N213" s="14">
        <v>876.25</v>
      </c>
      <c r="O213" s="15">
        <v>0.05</v>
      </c>
      <c r="P213" s="14">
        <v>832.44</v>
      </c>
      <c r="Q213" s="14">
        <v>435.38</v>
      </c>
      <c r="R213" s="14">
        <v>397.06</v>
      </c>
      <c r="S213" s="12" t="s">
        <v>53</v>
      </c>
      <c r="T213" s="12" t="s">
        <v>34</v>
      </c>
      <c r="U213" s="12">
        <v>3</v>
      </c>
      <c r="V213" s="12" t="s">
        <v>123</v>
      </c>
    </row>
    <row r="214" spans="1:22" x14ac:dyDescent="0.3">
      <c r="A214" s="8" t="s">
        <v>513</v>
      </c>
      <c r="B214" s="9">
        <v>45829</v>
      </c>
      <c r="C214" s="8" t="s">
        <v>98</v>
      </c>
      <c r="D214" s="8" t="s">
        <v>99</v>
      </c>
      <c r="E214" s="8" t="s">
        <v>25</v>
      </c>
      <c r="F214" s="8" t="s">
        <v>514</v>
      </c>
      <c r="G214" s="8" t="s">
        <v>41</v>
      </c>
      <c r="H214" s="8" t="s">
        <v>28</v>
      </c>
      <c r="I214" s="8" t="s">
        <v>68</v>
      </c>
      <c r="J214" s="8" t="s">
        <v>69</v>
      </c>
      <c r="K214" s="8" t="s">
        <v>137</v>
      </c>
      <c r="L214" s="8" t="s">
        <v>77</v>
      </c>
      <c r="M214" s="8">
        <v>1</v>
      </c>
      <c r="N214" s="10">
        <v>501.63</v>
      </c>
      <c r="O214" s="11">
        <v>0</v>
      </c>
      <c r="P214" s="10">
        <v>501.63</v>
      </c>
      <c r="Q214" s="10">
        <v>220.6</v>
      </c>
      <c r="R214" s="10">
        <v>281.02999999999997</v>
      </c>
      <c r="S214" s="8" t="s">
        <v>33</v>
      </c>
      <c r="T214" s="8" t="s">
        <v>64</v>
      </c>
      <c r="U214" s="8">
        <v>5</v>
      </c>
      <c r="V214" s="8" t="s">
        <v>157</v>
      </c>
    </row>
    <row r="215" spans="1:22" x14ac:dyDescent="0.3">
      <c r="A215" s="12" t="s">
        <v>515</v>
      </c>
      <c r="B215" s="13">
        <v>45874</v>
      </c>
      <c r="C215" s="12" t="s">
        <v>125</v>
      </c>
      <c r="D215" s="12" t="s">
        <v>126</v>
      </c>
      <c r="E215" s="12" t="s">
        <v>25</v>
      </c>
      <c r="F215" s="12" t="s">
        <v>516</v>
      </c>
      <c r="G215" s="12" t="s">
        <v>41</v>
      </c>
      <c r="H215" s="12" t="s">
        <v>81</v>
      </c>
      <c r="I215" s="12" t="s">
        <v>68</v>
      </c>
      <c r="J215" s="12" t="s">
        <v>69</v>
      </c>
      <c r="K215" s="12" t="s">
        <v>70</v>
      </c>
      <c r="L215" s="12" t="s">
        <v>32</v>
      </c>
      <c r="M215" s="12">
        <v>3</v>
      </c>
      <c r="N215" s="14">
        <v>909.36</v>
      </c>
      <c r="O215" s="15">
        <v>0</v>
      </c>
      <c r="P215" s="14">
        <v>2728.08</v>
      </c>
      <c r="Q215" s="14">
        <v>1341.01</v>
      </c>
      <c r="R215" s="14">
        <v>1387.07</v>
      </c>
      <c r="S215" s="12" t="s">
        <v>63</v>
      </c>
      <c r="T215" s="12" t="s">
        <v>147</v>
      </c>
      <c r="U215" s="12">
        <v>5</v>
      </c>
      <c r="V215" s="12" t="s">
        <v>72</v>
      </c>
    </row>
    <row r="216" spans="1:22" x14ac:dyDescent="0.3">
      <c r="A216" s="8" t="s">
        <v>517</v>
      </c>
      <c r="B216" s="9">
        <v>45692</v>
      </c>
      <c r="C216" s="8" t="s">
        <v>98</v>
      </c>
      <c r="D216" s="8" t="s">
        <v>99</v>
      </c>
      <c r="E216" s="8" t="s">
        <v>25</v>
      </c>
      <c r="F216" s="8" t="s">
        <v>518</v>
      </c>
      <c r="G216" s="8" t="s">
        <v>41</v>
      </c>
      <c r="H216" s="8" t="s">
        <v>28</v>
      </c>
      <c r="I216" s="8" t="s">
        <v>68</v>
      </c>
      <c r="J216" s="8" t="s">
        <v>43</v>
      </c>
      <c r="K216" s="8" t="s">
        <v>51</v>
      </c>
      <c r="L216" s="8" t="s">
        <v>91</v>
      </c>
      <c r="M216" s="8">
        <v>3</v>
      </c>
      <c r="N216" s="10">
        <v>1465.05</v>
      </c>
      <c r="O216" s="11">
        <v>0.1</v>
      </c>
      <c r="P216" s="10">
        <v>3955.63</v>
      </c>
      <c r="Q216" s="10">
        <v>2017.09</v>
      </c>
      <c r="R216" s="10">
        <v>1938.54</v>
      </c>
      <c r="S216" s="8" t="s">
        <v>63</v>
      </c>
      <c r="T216" s="8" t="s">
        <v>104</v>
      </c>
      <c r="U216" s="8">
        <v>3</v>
      </c>
      <c r="V216" s="8" t="s">
        <v>105</v>
      </c>
    </row>
    <row r="217" spans="1:22" x14ac:dyDescent="0.3">
      <c r="A217" s="12" t="s">
        <v>519</v>
      </c>
      <c r="B217" s="13">
        <v>45807</v>
      </c>
      <c r="C217" s="12" t="s">
        <v>125</v>
      </c>
      <c r="D217" s="12" t="s">
        <v>126</v>
      </c>
      <c r="E217" s="12" t="s">
        <v>25</v>
      </c>
      <c r="F217" s="12" t="s">
        <v>316</v>
      </c>
      <c r="G217" s="12" t="s">
        <v>27</v>
      </c>
      <c r="H217" s="12" t="s">
        <v>81</v>
      </c>
      <c r="I217" s="12" t="s">
        <v>29</v>
      </c>
      <c r="J217" s="12" t="s">
        <v>43</v>
      </c>
      <c r="K217" s="12" t="s">
        <v>162</v>
      </c>
      <c r="L217" s="12" t="s">
        <v>91</v>
      </c>
      <c r="M217" s="12">
        <v>2</v>
      </c>
      <c r="N217" s="14">
        <v>880.59</v>
      </c>
      <c r="O217" s="15">
        <v>0</v>
      </c>
      <c r="P217" s="14">
        <v>1761.18</v>
      </c>
      <c r="Q217" s="14">
        <v>761.09</v>
      </c>
      <c r="R217" s="14">
        <v>1000.09</v>
      </c>
      <c r="S217" s="12" t="s">
        <v>33</v>
      </c>
      <c r="T217" s="12" t="s">
        <v>111</v>
      </c>
      <c r="U217" s="12">
        <v>3</v>
      </c>
      <c r="V217" s="12" t="s">
        <v>134</v>
      </c>
    </row>
    <row r="218" spans="1:22" x14ac:dyDescent="0.3">
      <c r="A218" s="8" t="s">
        <v>520</v>
      </c>
      <c r="B218" s="9">
        <v>45976</v>
      </c>
      <c r="C218" s="8" t="s">
        <v>86</v>
      </c>
      <c r="D218" s="8" t="s">
        <v>87</v>
      </c>
      <c r="E218" s="8" t="s">
        <v>59</v>
      </c>
      <c r="F218" s="8" t="s">
        <v>521</v>
      </c>
      <c r="G218" s="8" t="s">
        <v>41</v>
      </c>
      <c r="H218" s="8" t="s">
        <v>42</v>
      </c>
      <c r="I218" s="8" t="s">
        <v>29</v>
      </c>
      <c r="J218" s="8" t="s">
        <v>43</v>
      </c>
      <c r="K218" s="8" t="s">
        <v>162</v>
      </c>
      <c r="L218" s="8" t="s">
        <v>32</v>
      </c>
      <c r="M218" s="8">
        <v>2</v>
      </c>
      <c r="N218" s="10">
        <v>904.24</v>
      </c>
      <c r="O218" s="11">
        <v>0.05</v>
      </c>
      <c r="P218" s="10">
        <v>1718.06</v>
      </c>
      <c r="Q218" s="10">
        <v>774.16</v>
      </c>
      <c r="R218" s="10">
        <v>943.9</v>
      </c>
      <c r="S218" s="8" t="s">
        <v>33</v>
      </c>
      <c r="T218" s="8" t="s">
        <v>156</v>
      </c>
      <c r="U218" s="8">
        <v>3</v>
      </c>
      <c r="V218" s="8" t="s">
        <v>65</v>
      </c>
    </row>
    <row r="219" spans="1:22" x14ac:dyDescent="0.3">
      <c r="A219" s="12" t="s">
        <v>522</v>
      </c>
      <c r="B219" s="13">
        <v>45672</v>
      </c>
      <c r="C219" s="12" t="s">
        <v>37</v>
      </c>
      <c r="D219" s="12" t="s">
        <v>38</v>
      </c>
      <c r="E219" s="12" t="s">
        <v>39</v>
      </c>
      <c r="F219" s="12" t="s">
        <v>523</v>
      </c>
      <c r="G219" s="12" t="s">
        <v>27</v>
      </c>
      <c r="H219" s="12" t="s">
        <v>42</v>
      </c>
      <c r="I219" s="12" t="s">
        <v>61</v>
      </c>
      <c r="J219" s="12" t="s">
        <v>75</v>
      </c>
      <c r="K219" s="12" t="s">
        <v>95</v>
      </c>
      <c r="L219" s="12" t="s">
        <v>32</v>
      </c>
      <c r="M219" s="12">
        <v>2</v>
      </c>
      <c r="N219" s="14">
        <v>25720.46</v>
      </c>
      <c r="O219" s="15">
        <v>0.25</v>
      </c>
      <c r="P219" s="14">
        <v>38580.69</v>
      </c>
      <c r="Q219" s="14">
        <v>37610.31</v>
      </c>
      <c r="R219" s="14">
        <v>970.38</v>
      </c>
      <c r="S219" s="12" t="s">
        <v>63</v>
      </c>
      <c r="T219" s="12" t="s">
        <v>64</v>
      </c>
      <c r="U219" s="12">
        <v>5</v>
      </c>
      <c r="V219" s="12" t="s">
        <v>84</v>
      </c>
    </row>
    <row r="220" spans="1:22" x14ac:dyDescent="0.3">
      <c r="A220" s="8" t="s">
        <v>524</v>
      </c>
      <c r="B220" s="9">
        <v>45977</v>
      </c>
      <c r="C220" s="8" t="s">
        <v>57</v>
      </c>
      <c r="D220" s="8" t="s">
        <v>58</v>
      </c>
      <c r="E220" s="8" t="s">
        <v>59</v>
      </c>
      <c r="F220" s="8" t="s">
        <v>109</v>
      </c>
      <c r="G220" s="8" t="s">
        <v>27</v>
      </c>
      <c r="H220" s="8" t="s">
        <v>42</v>
      </c>
      <c r="I220" s="8" t="s">
        <v>61</v>
      </c>
      <c r="J220" s="8" t="s">
        <v>43</v>
      </c>
      <c r="K220" s="8" t="s">
        <v>162</v>
      </c>
      <c r="L220" s="8" t="s">
        <v>45</v>
      </c>
      <c r="M220" s="8">
        <v>4</v>
      </c>
      <c r="N220" s="10">
        <v>875.78</v>
      </c>
      <c r="O220" s="11">
        <v>0.3</v>
      </c>
      <c r="P220" s="10">
        <v>2452.1799999999998</v>
      </c>
      <c r="Q220" s="10">
        <v>1617.99</v>
      </c>
      <c r="R220" s="10">
        <v>834.19</v>
      </c>
      <c r="S220" s="8" t="s">
        <v>53</v>
      </c>
      <c r="T220" s="8" t="s">
        <v>64</v>
      </c>
      <c r="U220" s="8">
        <v>3</v>
      </c>
      <c r="V220" s="8" t="s">
        <v>65</v>
      </c>
    </row>
    <row r="221" spans="1:22" x14ac:dyDescent="0.3">
      <c r="A221" s="12" t="s">
        <v>525</v>
      </c>
      <c r="B221" s="13">
        <v>45680</v>
      </c>
      <c r="C221" s="12" t="s">
        <v>98</v>
      </c>
      <c r="D221" s="12" t="s">
        <v>99</v>
      </c>
      <c r="E221" s="12" t="s">
        <v>25</v>
      </c>
      <c r="F221" s="12" t="s">
        <v>526</v>
      </c>
      <c r="G221" s="12" t="s">
        <v>27</v>
      </c>
      <c r="H221" s="12" t="s">
        <v>28</v>
      </c>
      <c r="I221" s="12" t="s">
        <v>29</v>
      </c>
      <c r="J221" s="12" t="s">
        <v>75</v>
      </c>
      <c r="K221" s="12" t="s">
        <v>76</v>
      </c>
      <c r="L221" s="12" t="s">
        <v>175</v>
      </c>
      <c r="M221" s="12">
        <v>5</v>
      </c>
      <c r="N221" s="14">
        <v>823.53</v>
      </c>
      <c r="O221" s="15">
        <v>0.3</v>
      </c>
      <c r="P221" s="14">
        <v>2882.35</v>
      </c>
      <c r="Q221" s="14">
        <v>1817.63</v>
      </c>
      <c r="R221" s="14">
        <v>1064.72</v>
      </c>
      <c r="S221" s="12" t="s">
        <v>33</v>
      </c>
      <c r="T221" s="12" t="s">
        <v>104</v>
      </c>
      <c r="U221" s="12">
        <v>4</v>
      </c>
      <c r="V221" s="12" t="s">
        <v>84</v>
      </c>
    </row>
    <row r="222" spans="1:22" x14ac:dyDescent="0.3">
      <c r="A222" s="8" t="s">
        <v>527</v>
      </c>
      <c r="B222" s="9">
        <v>46022</v>
      </c>
      <c r="C222" s="8" t="s">
        <v>57</v>
      </c>
      <c r="D222" s="8" t="s">
        <v>58</v>
      </c>
      <c r="E222" s="8" t="s">
        <v>59</v>
      </c>
      <c r="F222" s="8" t="s">
        <v>528</v>
      </c>
      <c r="G222" s="8" t="s">
        <v>41</v>
      </c>
      <c r="H222" s="8" t="s">
        <v>28</v>
      </c>
      <c r="I222" s="8" t="s">
        <v>29</v>
      </c>
      <c r="J222" s="8" t="s">
        <v>89</v>
      </c>
      <c r="K222" s="8" t="s">
        <v>151</v>
      </c>
      <c r="L222" s="8" t="s">
        <v>32</v>
      </c>
      <c r="M222" s="8">
        <v>1</v>
      </c>
      <c r="N222" s="10">
        <v>987.84</v>
      </c>
      <c r="O222" s="11">
        <v>0.05</v>
      </c>
      <c r="P222" s="10">
        <v>938.45</v>
      </c>
      <c r="Q222" s="10">
        <v>511.74</v>
      </c>
      <c r="R222" s="10">
        <v>426.71</v>
      </c>
      <c r="S222" s="8" t="s">
        <v>33</v>
      </c>
      <c r="T222" s="8" t="s">
        <v>147</v>
      </c>
      <c r="U222" s="8">
        <v>4</v>
      </c>
      <c r="V222" s="8" t="s">
        <v>35</v>
      </c>
    </row>
    <row r="223" spans="1:22" x14ac:dyDescent="0.3">
      <c r="A223" s="12" t="s">
        <v>529</v>
      </c>
      <c r="B223" s="13">
        <v>45876</v>
      </c>
      <c r="C223" s="12" t="s">
        <v>37</v>
      </c>
      <c r="D223" s="12" t="s">
        <v>38</v>
      </c>
      <c r="E223" s="12" t="s">
        <v>39</v>
      </c>
      <c r="F223" s="12" t="s">
        <v>530</v>
      </c>
      <c r="G223" s="12" t="s">
        <v>27</v>
      </c>
      <c r="H223" s="12" t="s">
        <v>42</v>
      </c>
      <c r="I223" s="12" t="s">
        <v>61</v>
      </c>
      <c r="J223" s="12" t="s">
        <v>43</v>
      </c>
      <c r="K223" s="12" t="s">
        <v>162</v>
      </c>
      <c r="L223" s="12" t="s">
        <v>91</v>
      </c>
      <c r="M223" s="12">
        <v>3</v>
      </c>
      <c r="N223" s="14">
        <v>857.34</v>
      </c>
      <c r="O223" s="15">
        <v>0</v>
      </c>
      <c r="P223" s="14">
        <v>2572.02</v>
      </c>
      <c r="Q223" s="14">
        <v>1226.77</v>
      </c>
      <c r="R223" s="14">
        <v>1345.25</v>
      </c>
      <c r="S223" s="12" t="s">
        <v>63</v>
      </c>
      <c r="T223" s="12" t="s">
        <v>147</v>
      </c>
      <c r="U223" s="12">
        <v>4</v>
      </c>
      <c r="V223" s="12" t="s">
        <v>72</v>
      </c>
    </row>
    <row r="224" spans="1:22" x14ac:dyDescent="0.3">
      <c r="A224" s="8" t="s">
        <v>531</v>
      </c>
      <c r="B224" s="9">
        <v>45862</v>
      </c>
      <c r="C224" s="8" t="s">
        <v>107</v>
      </c>
      <c r="D224" s="8" t="s">
        <v>108</v>
      </c>
      <c r="E224" s="8" t="s">
        <v>39</v>
      </c>
      <c r="F224" s="8" t="s">
        <v>532</v>
      </c>
      <c r="G224" s="8" t="s">
        <v>41</v>
      </c>
      <c r="H224" s="8" t="s">
        <v>81</v>
      </c>
      <c r="I224" s="8" t="s">
        <v>29</v>
      </c>
      <c r="J224" s="8" t="s">
        <v>69</v>
      </c>
      <c r="K224" s="8" t="s">
        <v>137</v>
      </c>
      <c r="L224" s="8" t="s">
        <v>45</v>
      </c>
      <c r="M224" s="8">
        <v>1</v>
      </c>
      <c r="N224" s="10">
        <v>476.55</v>
      </c>
      <c r="O224" s="11">
        <v>0.25</v>
      </c>
      <c r="P224" s="10">
        <v>357.41</v>
      </c>
      <c r="Q224" s="10">
        <v>221.13</v>
      </c>
      <c r="R224" s="10">
        <v>136.28</v>
      </c>
      <c r="S224" s="8" t="s">
        <v>46</v>
      </c>
      <c r="T224" s="8" t="s">
        <v>78</v>
      </c>
      <c r="U224" s="8">
        <v>4</v>
      </c>
      <c r="V224" s="8" t="s">
        <v>120</v>
      </c>
    </row>
    <row r="225" spans="1:22" x14ac:dyDescent="0.3">
      <c r="A225" s="12" t="s">
        <v>533</v>
      </c>
      <c r="B225" s="13">
        <v>45835</v>
      </c>
      <c r="C225" s="12" t="s">
        <v>113</v>
      </c>
      <c r="D225" s="12" t="s">
        <v>114</v>
      </c>
      <c r="E225" s="12" t="s">
        <v>59</v>
      </c>
      <c r="F225" s="12" t="s">
        <v>534</v>
      </c>
      <c r="G225" s="12" t="s">
        <v>27</v>
      </c>
      <c r="H225" s="12" t="s">
        <v>81</v>
      </c>
      <c r="I225" s="12" t="s">
        <v>68</v>
      </c>
      <c r="J225" s="12" t="s">
        <v>89</v>
      </c>
      <c r="K225" s="12" t="s">
        <v>151</v>
      </c>
      <c r="L225" s="12" t="s">
        <v>32</v>
      </c>
      <c r="M225" s="12">
        <v>4</v>
      </c>
      <c r="N225" s="14">
        <v>1014.96</v>
      </c>
      <c r="O225" s="15">
        <v>0.3</v>
      </c>
      <c r="P225" s="14">
        <v>2841.89</v>
      </c>
      <c r="Q225" s="14">
        <v>1966.61</v>
      </c>
      <c r="R225" s="14">
        <v>875.28</v>
      </c>
      <c r="S225" s="12" t="s">
        <v>33</v>
      </c>
      <c r="T225" s="12" t="s">
        <v>147</v>
      </c>
      <c r="U225" s="12">
        <v>3</v>
      </c>
      <c r="V225" s="12" t="s">
        <v>157</v>
      </c>
    </row>
    <row r="226" spans="1:22" x14ac:dyDescent="0.3">
      <c r="A226" s="8" t="s">
        <v>535</v>
      </c>
      <c r="B226" s="9">
        <v>45913</v>
      </c>
      <c r="C226" s="8" t="s">
        <v>57</v>
      </c>
      <c r="D226" s="8" t="s">
        <v>58</v>
      </c>
      <c r="E226" s="8" t="s">
        <v>59</v>
      </c>
      <c r="F226" s="8" t="s">
        <v>536</v>
      </c>
      <c r="G226" s="8" t="s">
        <v>41</v>
      </c>
      <c r="H226" s="8" t="s">
        <v>81</v>
      </c>
      <c r="I226" s="8" t="s">
        <v>61</v>
      </c>
      <c r="J226" s="8" t="s">
        <v>89</v>
      </c>
      <c r="K226" s="8" t="s">
        <v>89</v>
      </c>
      <c r="L226" s="8" t="s">
        <v>77</v>
      </c>
      <c r="M226" s="8">
        <v>2</v>
      </c>
      <c r="N226" s="10">
        <v>1335.97</v>
      </c>
      <c r="O226" s="11">
        <v>0</v>
      </c>
      <c r="P226" s="10">
        <v>2671.94</v>
      </c>
      <c r="Q226" s="10">
        <v>1367.78</v>
      </c>
      <c r="R226" s="10">
        <v>1304.1600000000001</v>
      </c>
      <c r="S226" s="8" t="s">
        <v>53</v>
      </c>
      <c r="T226" s="8" t="s">
        <v>156</v>
      </c>
      <c r="U226" s="8">
        <v>3</v>
      </c>
      <c r="V226" s="8" t="s">
        <v>116</v>
      </c>
    </row>
    <row r="227" spans="1:22" x14ac:dyDescent="0.3">
      <c r="A227" s="12" t="s">
        <v>537</v>
      </c>
      <c r="B227" s="13">
        <v>45912</v>
      </c>
      <c r="C227" s="12" t="s">
        <v>131</v>
      </c>
      <c r="D227" s="12" t="s">
        <v>132</v>
      </c>
      <c r="E227" s="12" t="s">
        <v>25</v>
      </c>
      <c r="F227" s="12" t="s">
        <v>538</v>
      </c>
      <c r="G227" s="12" t="s">
        <v>27</v>
      </c>
      <c r="H227" s="12" t="s">
        <v>81</v>
      </c>
      <c r="I227" s="12" t="s">
        <v>61</v>
      </c>
      <c r="J227" s="12" t="s">
        <v>101</v>
      </c>
      <c r="K227" s="12" t="s">
        <v>217</v>
      </c>
      <c r="L227" s="12" t="s">
        <v>103</v>
      </c>
      <c r="M227" s="12">
        <v>3</v>
      </c>
      <c r="N227" s="14">
        <v>3009.04</v>
      </c>
      <c r="O227" s="15">
        <v>0.25</v>
      </c>
      <c r="P227" s="14">
        <v>6770.34</v>
      </c>
      <c r="Q227" s="14">
        <v>5125.76</v>
      </c>
      <c r="R227" s="14">
        <v>1644.58</v>
      </c>
      <c r="S227" s="12" t="s">
        <v>63</v>
      </c>
      <c r="T227" s="12" t="s">
        <v>104</v>
      </c>
      <c r="U227" s="12">
        <v>4</v>
      </c>
      <c r="V227" s="12" t="s">
        <v>116</v>
      </c>
    </row>
    <row r="228" spans="1:22" x14ac:dyDescent="0.3">
      <c r="A228" s="8" t="s">
        <v>539</v>
      </c>
      <c r="B228" s="9">
        <v>45994</v>
      </c>
      <c r="C228" s="8" t="s">
        <v>23</v>
      </c>
      <c r="D228" s="8" t="s">
        <v>24</v>
      </c>
      <c r="E228" s="8" t="s">
        <v>25</v>
      </c>
      <c r="F228" s="8" t="s">
        <v>540</v>
      </c>
      <c r="G228" s="8" t="s">
        <v>41</v>
      </c>
      <c r="H228" s="8" t="s">
        <v>28</v>
      </c>
      <c r="I228" s="8" t="s">
        <v>68</v>
      </c>
      <c r="J228" s="8" t="s">
        <v>89</v>
      </c>
      <c r="K228" s="8" t="s">
        <v>151</v>
      </c>
      <c r="L228" s="8" t="s">
        <v>175</v>
      </c>
      <c r="M228" s="8">
        <v>1</v>
      </c>
      <c r="N228" s="10">
        <v>989.15</v>
      </c>
      <c r="O228" s="11">
        <v>0.1</v>
      </c>
      <c r="P228" s="10">
        <v>890.24</v>
      </c>
      <c r="Q228" s="10">
        <v>519.07000000000005</v>
      </c>
      <c r="R228" s="10">
        <v>371.17</v>
      </c>
      <c r="S228" s="8" t="s">
        <v>63</v>
      </c>
      <c r="T228" s="8" t="s">
        <v>64</v>
      </c>
      <c r="U228" s="8">
        <v>4</v>
      </c>
      <c r="V228" s="8" t="s">
        <v>35</v>
      </c>
    </row>
    <row r="229" spans="1:22" x14ac:dyDescent="0.3">
      <c r="A229" s="12" t="s">
        <v>541</v>
      </c>
      <c r="B229" s="13">
        <v>45922</v>
      </c>
      <c r="C229" s="12" t="s">
        <v>37</v>
      </c>
      <c r="D229" s="12" t="s">
        <v>38</v>
      </c>
      <c r="E229" s="12" t="s">
        <v>39</v>
      </c>
      <c r="F229" s="12" t="s">
        <v>542</v>
      </c>
      <c r="G229" s="12" t="s">
        <v>41</v>
      </c>
      <c r="H229" s="12" t="s">
        <v>94</v>
      </c>
      <c r="I229" s="12" t="s">
        <v>68</v>
      </c>
      <c r="J229" s="12" t="s">
        <v>75</v>
      </c>
      <c r="K229" s="12" t="s">
        <v>95</v>
      </c>
      <c r="L229" s="12" t="s">
        <v>77</v>
      </c>
      <c r="M229" s="12">
        <v>4</v>
      </c>
      <c r="N229" s="14">
        <v>25554.34</v>
      </c>
      <c r="O229" s="15">
        <v>0.05</v>
      </c>
      <c r="P229" s="14">
        <v>97106.49</v>
      </c>
      <c r="Q229" s="14">
        <v>73336.820000000007</v>
      </c>
      <c r="R229" s="14">
        <v>23769.67</v>
      </c>
      <c r="S229" s="12" t="s">
        <v>63</v>
      </c>
      <c r="T229" s="12" t="s">
        <v>78</v>
      </c>
      <c r="U229" s="12">
        <v>5</v>
      </c>
      <c r="V229" s="12" t="s">
        <v>116</v>
      </c>
    </row>
    <row r="230" spans="1:22" x14ac:dyDescent="0.3">
      <c r="A230" s="8" t="s">
        <v>543</v>
      </c>
      <c r="B230" s="9">
        <v>45937</v>
      </c>
      <c r="C230" s="8" t="s">
        <v>23</v>
      </c>
      <c r="D230" s="8" t="s">
        <v>24</v>
      </c>
      <c r="E230" s="8" t="s">
        <v>25</v>
      </c>
      <c r="F230" s="8" t="s">
        <v>544</v>
      </c>
      <c r="G230" s="8" t="s">
        <v>41</v>
      </c>
      <c r="H230" s="8" t="s">
        <v>28</v>
      </c>
      <c r="I230" s="8" t="s">
        <v>61</v>
      </c>
      <c r="J230" s="8" t="s">
        <v>75</v>
      </c>
      <c r="K230" s="8" t="s">
        <v>154</v>
      </c>
      <c r="L230" s="8" t="s">
        <v>52</v>
      </c>
      <c r="M230" s="8">
        <v>5</v>
      </c>
      <c r="N230" s="10">
        <v>1970.1</v>
      </c>
      <c r="O230" s="11">
        <v>0</v>
      </c>
      <c r="P230" s="10">
        <v>9850.5</v>
      </c>
      <c r="Q230" s="10">
        <v>5295.79</v>
      </c>
      <c r="R230" s="10">
        <v>4554.71</v>
      </c>
      <c r="S230" s="8" t="s">
        <v>53</v>
      </c>
      <c r="T230" s="8" t="s">
        <v>78</v>
      </c>
      <c r="U230" s="8">
        <v>4</v>
      </c>
      <c r="V230" s="8" t="s">
        <v>123</v>
      </c>
    </row>
    <row r="231" spans="1:22" x14ac:dyDescent="0.3">
      <c r="A231" s="12" t="s">
        <v>545</v>
      </c>
      <c r="B231" s="13">
        <v>45686</v>
      </c>
      <c r="C231" s="12" t="s">
        <v>23</v>
      </c>
      <c r="D231" s="12" t="s">
        <v>24</v>
      </c>
      <c r="E231" s="12" t="s">
        <v>25</v>
      </c>
      <c r="F231" s="12" t="s">
        <v>546</v>
      </c>
      <c r="G231" s="12" t="s">
        <v>27</v>
      </c>
      <c r="H231" s="12" t="s">
        <v>94</v>
      </c>
      <c r="I231" s="12" t="s">
        <v>29</v>
      </c>
      <c r="J231" s="12" t="s">
        <v>69</v>
      </c>
      <c r="K231" s="12" t="s">
        <v>70</v>
      </c>
      <c r="L231" s="12" t="s">
        <v>82</v>
      </c>
      <c r="M231" s="12">
        <v>1</v>
      </c>
      <c r="N231" s="14">
        <v>883.14</v>
      </c>
      <c r="O231" s="15">
        <v>0.25</v>
      </c>
      <c r="P231" s="14">
        <v>662.36</v>
      </c>
      <c r="Q231" s="14">
        <v>444.75</v>
      </c>
      <c r="R231" s="14">
        <v>217.61</v>
      </c>
      <c r="S231" s="12" t="s">
        <v>33</v>
      </c>
      <c r="T231" s="12" t="s">
        <v>147</v>
      </c>
      <c r="U231" s="12">
        <v>4</v>
      </c>
      <c r="V231" s="12" t="s">
        <v>84</v>
      </c>
    </row>
    <row r="232" spans="1:22" x14ac:dyDescent="0.3">
      <c r="A232" s="8" t="s">
        <v>547</v>
      </c>
      <c r="B232" s="9">
        <v>45970</v>
      </c>
      <c r="C232" s="8" t="s">
        <v>86</v>
      </c>
      <c r="D232" s="8" t="s">
        <v>87</v>
      </c>
      <c r="E232" s="8" t="s">
        <v>59</v>
      </c>
      <c r="F232" s="8" t="s">
        <v>548</v>
      </c>
      <c r="G232" s="8" t="s">
        <v>27</v>
      </c>
      <c r="H232" s="8" t="s">
        <v>28</v>
      </c>
      <c r="I232" s="8" t="s">
        <v>61</v>
      </c>
      <c r="J232" s="8" t="s">
        <v>69</v>
      </c>
      <c r="K232" s="8" t="s">
        <v>70</v>
      </c>
      <c r="L232" s="8" t="s">
        <v>82</v>
      </c>
      <c r="M232" s="8">
        <v>3</v>
      </c>
      <c r="N232" s="10">
        <v>920.29</v>
      </c>
      <c r="O232" s="11">
        <v>0.15</v>
      </c>
      <c r="P232" s="10">
        <v>2346.7399999999998</v>
      </c>
      <c r="Q232" s="10">
        <v>1342.1</v>
      </c>
      <c r="R232" s="10">
        <v>1004.64</v>
      </c>
      <c r="S232" s="8" t="s">
        <v>46</v>
      </c>
      <c r="T232" s="8" t="s">
        <v>54</v>
      </c>
      <c r="U232" s="8">
        <v>5</v>
      </c>
      <c r="V232" s="8" t="s">
        <v>65</v>
      </c>
    </row>
    <row r="233" spans="1:22" x14ac:dyDescent="0.3">
      <c r="A233" s="12" t="s">
        <v>549</v>
      </c>
      <c r="B233" s="13">
        <v>45857</v>
      </c>
      <c r="C233" s="12" t="s">
        <v>86</v>
      </c>
      <c r="D233" s="12" t="s">
        <v>87</v>
      </c>
      <c r="E233" s="12" t="s">
        <v>59</v>
      </c>
      <c r="F233" s="12" t="s">
        <v>550</v>
      </c>
      <c r="G233" s="12" t="s">
        <v>41</v>
      </c>
      <c r="H233" s="12" t="s">
        <v>81</v>
      </c>
      <c r="I233" s="12" t="s">
        <v>29</v>
      </c>
      <c r="J233" s="12" t="s">
        <v>69</v>
      </c>
      <c r="K233" s="12" t="s">
        <v>180</v>
      </c>
      <c r="L233" s="12" t="s">
        <v>32</v>
      </c>
      <c r="M233" s="12">
        <v>3</v>
      </c>
      <c r="N233" s="14">
        <v>1458.36</v>
      </c>
      <c r="O233" s="15">
        <v>0.15</v>
      </c>
      <c r="P233" s="14">
        <v>3718.82</v>
      </c>
      <c r="Q233" s="14">
        <v>2617.0300000000002</v>
      </c>
      <c r="R233" s="14">
        <v>1101.79</v>
      </c>
      <c r="S233" s="12" t="s">
        <v>63</v>
      </c>
      <c r="T233" s="12" t="s">
        <v>156</v>
      </c>
      <c r="U233" s="12">
        <v>4</v>
      </c>
      <c r="V233" s="12" t="s">
        <v>120</v>
      </c>
    </row>
    <row r="234" spans="1:22" x14ac:dyDescent="0.3">
      <c r="A234" s="8" t="s">
        <v>551</v>
      </c>
      <c r="B234" s="9">
        <v>45969</v>
      </c>
      <c r="C234" s="8" t="s">
        <v>125</v>
      </c>
      <c r="D234" s="8" t="s">
        <v>126</v>
      </c>
      <c r="E234" s="8" t="s">
        <v>25</v>
      </c>
      <c r="F234" s="8" t="s">
        <v>552</v>
      </c>
      <c r="G234" s="8" t="s">
        <v>27</v>
      </c>
      <c r="H234" s="8" t="s">
        <v>42</v>
      </c>
      <c r="I234" s="8" t="s">
        <v>68</v>
      </c>
      <c r="J234" s="8" t="s">
        <v>75</v>
      </c>
      <c r="K234" s="8" t="s">
        <v>154</v>
      </c>
      <c r="L234" s="8" t="s">
        <v>103</v>
      </c>
      <c r="M234" s="8">
        <v>2</v>
      </c>
      <c r="N234" s="10">
        <v>1919.44</v>
      </c>
      <c r="O234" s="11">
        <v>0</v>
      </c>
      <c r="P234" s="10">
        <v>3838.88</v>
      </c>
      <c r="Q234" s="10">
        <v>2104.6</v>
      </c>
      <c r="R234" s="10">
        <v>1734.28</v>
      </c>
      <c r="S234" s="8" t="s">
        <v>46</v>
      </c>
      <c r="T234" s="8" t="s">
        <v>104</v>
      </c>
      <c r="U234" s="8">
        <v>5</v>
      </c>
      <c r="V234" s="8" t="s">
        <v>65</v>
      </c>
    </row>
    <row r="235" spans="1:22" x14ac:dyDescent="0.3">
      <c r="A235" s="12" t="s">
        <v>553</v>
      </c>
      <c r="B235" s="13">
        <v>45729</v>
      </c>
      <c r="C235" s="12" t="s">
        <v>23</v>
      </c>
      <c r="D235" s="12" t="s">
        <v>24</v>
      </c>
      <c r="E235" s="12" t="s">
        <v>25</v>
      </c>
      <c r="F235" s="12" t="s">
        <v>554</v>
      </c>
      <c r="G235" s="12" t="s">
        <v>41</v>
      </c>
      <c r="H235" s="12" t="s">
        <v>94</v>
      </c>
      <c r="I235" s="12" t="s">
        <v>68</v>
      </c>
      <c r="J235" s="12" t="s">
        <v>75</v>
      </c>
      <c r="K235" s="12" t="s">
        <v>76</v>
      </c>
      <c r="L235" s="12" t="s">
        <v>32</v>
      </c>
      <c r="M235" s="12">
        <v>2</v>
      </c>
      <c r="N235" s="14">
        <v>773.71</v>
      </c>
      <c r="O235" s="15">
        <v>0.15</v>
      </c>
      <c r="P235" s="14">
        <v>1315.31</v>
      </c>
      <c r="Q235" s="14">
        <v>698.29</v>
      </c>
      <c r="R235" s="14">
        <v>617.02</v>
      </c>
      <c r="S235" s="12" t="s">
        <v>83</v>
      </c>
      <c r="T235" s="12" t="s">
        <v>119</v>
      </c>
      <c r="U235" s="12">
        <v>4</v>
      </c>
      <c r="V235" s="12" t="s">
        <v>55</v>
      </c>
    </row>
    <row r="236" spans="1:22" x14ac:dyDescent="0.3">
      <c r="A236" s="8" t="s">
        <v>555</v>
      </c>
      <c r="B236" s="9">
        <v>45999</v>
      </c>
      <c r="C236" s="8" t="s">
        <v>86</v>
      </c>
      <c r="D236" s="8" t="s">
        <v>87</v>
      </c>
      <c r="E236" s="8" t="s">
        <v>59</v>
      </c>
      <c r="F236" s="8" t="s">
        <v>430</v>
      </c>
      <c r="G236" s="8" t="s">
        <v>41</v>
      </c>
      <c r="H236" s="8" t="s">
        <v>28</v>
      </c>
      <c r="I236" s="8" t="s">
        <v>29</v>
      </c>
      <c r="J236" s="8" t="s">
        <v>43</v>
      </c>
      <c r="K236" s="8" t="s">
        <v>51</v>
      </c>
      <c r="L236" s="8" t="s">
        <v>32</v>
      </c>
      <c r="M236" s="8">
        <v>5</v>
      </c>
      <c r="N236" s="10">
        <v>1560.69</v>
      </c>
      <c r="O236" s="11">
        <v>0.2</v>
      </c>
      <c r="P236" s="10">
        <v>6242.76</v>
      </c>
      <c r="Q236" s="10">
        <v>3660.21</v>
      </c>
      <c r="R236" s="10">
        <v>2582.5500000000002</v>
      </c>
      <c r="S236" s="8" t="s">
        <v>63</v>
      </c>
      <c r="T236" s="8" t="s">
        <v>111</v>
      </c>
      <c r="U236" s="8">
        <v>5</v>
      </c>
      <c r="V236" s="8" t="s">
        <v>35</v>
      </c>
    </row>
    <row r="237" spans="1:22" x14ac:dyDescent="0.3">
      <c r="A237" s="12" t="s">
        <v>556</v>
      </c>
      <c r="B237" s="13">
        <v>45866</v>
      </c>
      <c r="C237" s="12" t="s">
        <v>113</v>
      </c>
      <c r="D237" s="12" t="s">
        <v>114</v>
      </c>
      <c r="E237" s="12" t="s">
        <v>59</v>
      </c>
      <c r="F237" s="12" t="s">
        <v>557</v>
      </c>
      <c r="G237" s="12" t="s">
        <v>27</v>
      </c>
      <c r="H237" s="12" t="s">
        <v>28</v>
      </c>
      <c r="I237" s="12" t="s">
        <v>68</v>
      </c>
      <c r="J237" s="12" t="s">
        <v>75</v>
      </c>
      <c r="K237" s="12" t="s">
        <v>95</v>
      </c>
      <c r="L237" s="12" t="s">
        <v>91</v>
      </c>
      <c r="M237" s="12">
        <v>4</v>
      </c>
      <c r="N237" s="14">
        <v>24302.720000000001</v>
      </c>
      <c r="O237" s="15">
        <v>0.15</v>
      </c>
      <c r="P237" s="14">
        <v>82629.25</v>
      </c>
      <c r="Q237" s="14">
        <v>73404.31</v>
      </c>
      <c r="R237" s="14">
        <v>9224.94</v>
      </c>
      <c r="S237" s="12" t="s">
        <v>33</v>
      </c>
      <c r="T237" s="12" t="s">
        <v>34</v>
      </c>
      <c r="U237" s="12">
        <v>5</v>
      </c>
      <c r="V237" s="12" t="s">
        <v>120</v>
      </c>
    </row>
    <row r="238" spans="1:22" x14ac:dyDescent="0.3">
      <c r="A238" s="8" t="s">
        <v>558</v>
      </c>
      <c r="B238" s="9">
        <v>45847</v>
      </c>
      <c r="C238" s="8" t="s">
        <v>57</v>
      </c>
      <c r="D238" s="8" t="s">
        <v>58</v>
      </c>
      <c r="E238" s="8" t="s">
        <v>59</v>
      </c>
      <c r="F238" s="8" t="s">
        <v>267</v>
      </c>
      <c r="G238" s="8" t="s">
        <v>27</v>
      </c>
      <c r="H238" s="8" t="s">
        <v>42</v>
      </c>
      <c r="I238" s="8" t="s">
        <v>61</v>
      </c>
      <c r="J238" s="8" t="s">
        <v>69</v>
      </c>
      <c r="K238" s="8" t="s">
        <v>70</v>
      </c>
      <c r="L238" s="8" t="s">
        <v>91</v>
      </c>
      <c r="M238" s="8">
        <v>4</v>
      </c>
      <c r="N238" s="10">
        <v>925.93</v>
      </c>
      <c r="O238" s="11">
        <v>0</v>
      </c>
      <c r="P238" s="10">
        <v>3703.72</v>
      </c>
      <c r="Q238" s="10">
        <v>1805.42</v>
      </c>
      <c r="R238" s="10">
        <v>1898.3</v>
      </c>
      <c r="S238" s="8" t="s">
        <v>46</v>
      </c>
      <c r="T238" s="8" t="s">
        <v>147</v>
      </c>
      <c r="U238" s="8">
        <v>3</v>
      </c>
      <c r="V238" s="8" t="s">
        <v>120</v>
      </c>
    </row>
    <row r="239" spans="1:22" x14ac:dyDescent="0.3">
      <c r="A239" s="12" t="s">
        <v>559</v>
      </c>
      <c r="B239" s="13">
        <v>45979</v>
      </c>
      <c r="C239" s="12" t="s">
        <v>37</v>
      </c>
      <c r="D239" s="12" t="s">
        <v>38</v>
      </c>
      <c r="E239" s="12" t="s">
        <v>39</v>
      </c>
      <c r="F239" s="12" t="s">
        <v>560</v>
      </c>
      <c r="G239" s="12" t="s">
        <v>41</v>
      </c>
      <c r="H239" s="12" t="s">
        <v>81</v>
      </c>
      <c r="I239" s="12" t="s">
        <v>68</v>
      </c>
      <c r="J239" s="12" t="s">
        <v>69</v>
      </c>
      <c r="K239" s="12" t="s">
        <v>137</v>
      </c>
      <c r="L239" s="12" t="s">
        <v>91</v>
      </c>
      <c r="M239" s="12">
        <v>5</v>
      </c>
      <c r="N239" s="14">
        <v>491.06</v>
      </c>
      <c r="O239" s="15">
        <v>0</v>
      </c>
      <c r="P239" s="14">
        <v>2455.3000000000002</v>
      </c>
      <c r="Q239" s="14">
        <v>1067.44</v>
      </c>
      <c r="R239" s="14">
        <v>1387.86</v>
      </c>
      <c r="S239" s="12" t="s">
        <v>83</v>
      </c>
      <c r="T239" s="12" t="s">
        <v>104</v>
      </c>
      <c r="U239" s="12">
        <v>4</v>
      </c>
      <c r="V239" s="12" t="s">
        <v>65</v>
      </c>
    </row>
    <row r="240" spans="1:22" x14ac:dyDescent="0.3">
      <c r="A240" s="8" t="s">
        <v>561</v>
      </c>
      <c r="B240" s="9">
        <v>45763</v>
      </c>
      <c r="C240" s="8" t="s">
        <v>125</v>
      </c>
      <c r="D240" s="8" t="s">
        <v>126</v>
      </c>
      <c r="E240" s="8" t="s">
        <v>25</v>
      </c>
      <c r="F240" s="8" t="s">
        <v>326</v>
      </c>
      <c r="G240" s="8" t="s">
        <v>41</v>
      </c>
      <c r="H240" s="8" t="s">
        <v>28</v>
      </c>
      <c r="I240" s="8" t="s">
        <v>29</v>
      </c>
      <c r="J240" s="8" t="s">
        <v>101</v>
      </c>
      <c r="K240" s="8" t="s">
        <v>217</v>
      </c>
      <c r="L240" s="8" t="s">
        <v>82</v>
      </c>
      <c r="M240" s="8">
        <v>4</v>
      </c>
      <c r="N240" s="10">
        <v>3062.52</v>
      </c>
      <c r="O240" s="11">
        <v>0.15</v>
      </c>
      <c r="P240" s="10">
        <v>10412.57</v>
      </c>
      <c r="Q240" s="10">
        <v>6856.95</v>
      </c>
      <c r="R240" s="10">
        <v>3555.62</v>
      </c>
      <c r="S240" s="8" t="s">
        <v>63</v>
      </c>
      <c r="T240" s="8" t="s">
        <v>64</v>
      </c>
      <c r="U240" s="8">
        <v>5</v>
      </c>
      <c r="V240" s="8" t="s">
        <v>96</v>
      </c>
    </row>
    <row r="241" spans="1:22" x14ac:dyDescent="0.3">
      <c r="A241" s="12" t="s">
        <v>562</v>
      </c>
      <c r="B241" s="13">
        <v>45866</v>
      </c>
      <c r="C241" s="12" t="s">
        <v>107</v>
      </c>
      <c r="D241" s="12" t="s">
        <v>108</v>
      </c>
      <c r="E241" s="12" t="s">
        <v>39</v>
      </c>
      <c r="F241" s="12" t="s">
        <v>563</v>
      </c>
      <c r="G241" s="12" t="s">
        <v>41</v>
      </c>
      <c r="H241" s="12" t="s">
        <v>81</v>
      </c>
      <c r="I241" s="12" t="s">
        <v>29</v>
      </c>
      <c r="J241" s="12" t="s">
        <v>75</v>
      </c>
      <c r="K241" s="12" t="s">
        <v>154</v>
      </c>
      <c r="L241" s="12" t="s">
        <v>77</v>
      </c>
      <c r="M241" s="12">
        <v>1</v>
      </c>
      <c r="N241" s="14">
        <v>2012.97</v>
      </c>
      <c r="O241" s="15">
        <v>0.25</v>
      </c>
      <c r="P241" s="14">
        <v>1509.73</v>
      </c>
      <c r="Q241" s="14">
        <v>1108.05</v>
      </c>
      <c r="R241" s="14">
        <v>401.68</v>
      </c>
      <c r="S241" s="12" t="s">
        <v>83</v>
      </c>
      <c r="T241" s="12" t="s">
        <v>54</v>
      </c>
      <c r="U241" s="12">
        <v>5</v>
      </c>
      <c r="V241" s="12" t="s">
        <v>120</v>
      </c>
    </row>
    <row r="242" spans="1:22" x14ac:dyDescent="0.3">
      <c r="A242" s="8" t="s">
        <v>564</v>
      </c>
      <c r="B242" s="9">
        <v>45715</v>
      </c>
      <c r="C242" s="8" t="s">
        <v>48</v>
      </c>
      <c r="D242" s="8" t="s">
        <v>49</v>
      </c>
      <c r="E242" s="8" t="s">
        <v>39</v>
      </c>
      <c r="F242" s="8" t="s">
        <v>514</v>
      </c>
      <c r="G242" s="8" t="s">
        <v>27</v>
      </c>
      <c r="H242" s="8" t="s">
        <v>81</v>
      </c>
      <c r="I242" s="8" t="s">
        <v>61</v>
      </c>
      <c r="J242" s="8" t="s">
        <v>75</v>
      </c>
      <c r="K242" s="8" t="s">
        <v>154</v>
      </c>
      <c r="L242" s="8" t="s">
        <v>45</v>
      </c>
      <c r="M242" s="8">
        <v>4</v>
      </c>
      <c r="N242" s="10">
        <v>1982.02</v>
      </c>
      <c r="O242" s="11">
        <v>0.15</v>
      </c>
      <c r="P242" s="10">
        <v>6738.87</v>
      </c>
      <c r="Q242" s="10">
        <v>4426.58</v>
      </c>
      <c r="R242" s="10">
        <v>2312.29</v>
      </c>
      <c r="S242" s="8" t="s">
        <v>53</v>
      </c>
      <c r="T242" s="8" t="s">
        <v>71</v>
      </c>
      <c r="U242" s="8">
        <v>5</v>
      </c>
      <c r="V242" s="8" t="s">
        <v>105</v>
      </c>
    </row>
    <row r="243" spans="1:22" x14ac:dyDescent="0.3">
      <c r="A243" s="12" t="s">
        <v>565</v>
      </c>
      <c r="B243" s="13">
        <v>45984</v>
      </c>
      <c r="C243" s="12" t="s">
        <v>37</v>
      </c>
      <c r="D243" s="12" t="s">
        <v>38</v>
      </c>
      <c r="E243" s="12" t="s">
        <v>39</v>
      </c>
      <c r="F243" s="12" t="s">
        <v>354</v>
      </c>
      <c r="G243" s="12" t="s">
        <v>27</v>
      </c>
      <c r="H243" s="12" t="s">
        <v>94</v>
      </c>
      <c r="I243" s="12" t="s">
        <v>29</v>
      </c>
      <c r="J243" s="12" t="s">
        <v>101</v>
      </c>
      <c r="K243" s="12" t="s">
        <v>217</v>
      </c>
      <c r="L243" s="12" t="s">
        <v>77</v>
      </c>
      <c r="M243" s="12">
        <v>3</v>
      </c>
      <c r="N243" s="14">
        <v>3098.3</v>
      </c>
      <c r="O243" s="15">
        <v>0.2</v>
      </c>
      <c r="P243" s="14">
        <v>7435.92</v>
      </c>
      <c r="Q243" s="14">
        <v>4850.2</v>
      </c>
      <c r="R243" s="14">
        <v>2585.7199999999998</v>
      </c>
      <c r="S243" s="12" t="s">
        <v>46</v>
      </c>
      <c r="T243" s="12" t="s">
        <v>156</v>
      </c>
      <c r="U243" s="12">
        <v>4</v>
      </c>
      <c r="V243" s="12" t="s">
        <v>65</v>
      </c>
    </row>
    <row r="244" spans="1:22" x14ac:dyDescent="0.3">
      <c r="A244" s="8" t="s">
        <v>566</v>
      </c>
      <c r="B244" s="9">
        <v>45808</v>
      </c>
      <c r="C244" s="8" t="s">
        <v>48</v>
      </c>
      <c r="D244" s="8" t="s">
        <v>49</v>
      </c>
      <c r="E244" s="8" t="s">
        <v>39</v>
      </c>
      <c r="F244" s="8" t="s">
        <v>567</v>
      </c>
      <c r="G244" s="8" t="s">
        <v>27</v>
      </c>
      <c r="H244" s="8" t="s">
        <v>28</v>
      </c>
      <c r="I244" s="8" t="s">
        <v>29</v>
      </c>
      <c r="J244" s="8" t="s">
        <v>75</v>
      </c>
      <c r="K244" s="8" t="s">
        <v>95</v>
      </c>
      <c r="L244" s="8" t="s">
        <v>175</v>
      </c>
      <c r="M244" s="8">
        <v>1</v>
      </c>
      <c r="N244" s="10">
        <v>24937.95</v>
      </c>
      <c r="O244" s="11">
        <v>0.1</v>
      </c>
      <c r="P244" s="10">
        <v>22444.16</v>
      </c>
      <c r="Q244" s="10">
        <v>17735.98</v>
      </c>
      <c r="R244" s="10">
        <v>4708.18</v>
      </c>
      <c r="S244" s="8" t="s">
        <v>33</v>
      </c>
      <c r="T244" s="8" t="s">
        <v>119</v>
      </c>
      <c r="U244" s="8">
        <v>5</v>
      </c>
      <c r="V244" s="8" t="s">
        <v>134</v>
      </c>
    </row>
    <row r="245" spans="1:22" x14ac:dyDescent="0.3">
      <c r="A245" s="12" t="s">
        <v>568</v>
      </c>
      <c r="B245" s="13">
        <v>45726</v>
      </c>
      <c r="C245" s="12" t="s">
        <v>131</v>
      </c>
      <c r="D245" s="12" t="s">
        <v>132</v>
      </c>
      <c r="E245" s="12" t="s">
        <v>25</v>
      </c>
      <c r="F245" s="12" t="s">
        <v>569</v>
      </c>
      <c r="G245" s="12" t="s">
        <v>41</v>
      </c>
      <c r="H245" s="12" t="s">
        <v>81</v>
      </c>
      <c r="I245" s="12" t="s">
        <v>61</v>
      </c>
      <c r="J245" s="12" t="s">
        <v>69</v>
      </c>
      <c r="K245" s="12" t="s">
        <v>180</v>
      </c>
      <c r="L245" s="12" t="s">
        <v>82</v>
      </c>
      <c r="M245" s="12">
        <v>3</v>
      </c>
      <c r="N245" s="14">
        <v>1508.58</v>
      </c>
      <c r="O245" s="15">
        <v>0.2</v>
      </c>
      <c r="P245" s="14">
        <v>3620.59</v>
      </c>
      <c r="Q245" s="14">
        <v>2671.43</v>
      </c>
      <c r="R245" s="14">
        <v>949.16</v>
      </c>
      <c r="S245" s="12" t="s">
        <v>63</v>
      </c>
      <c r="T245" s="12" t="s">
        <v>111</v>
      </c>
      <c r="U245" s="12">
        <v>4</v>
      </c>
      <c r="V245" s="12" t="s">
        <v>55</v>
      </c>
    </row>
    <row r="246" spans="1:22" x14ac:dyDescent="0.3">
      <c r="A246" s="8" t="s">
        <v>570</v>
      </c>
      <c r="B246" s="9">
        <v>45994</v>
      </c>
      <c r="C246" s="8" t="s">
        <v>48</v>
      </c>
      <c r="D246" s="8" t="s">
        <v>49</v>
      </c>
      <c r="E246" s="8" t="s">
        <v>39</v>
      </c>
      <c r="F246" s="8" t="s">
        <v>571</v>
      </c>
      <c r="G246" s="8" t="s">
        <v>41</v>
      </c>
      <c r="H246" s="8" t="s">
        <v>42</v>
      </c>
      <c r="I246" s="8" t="s">
        <v>61</v>
      </c>
      <c r="J246" s="8" t="s">
        <v>69</v>
      </c>
      <c r="K246" s="8" t="s">
        <v>70</v>
      </c>
      <c r="L246" s="8" t="s">
        <v>52</v>
      </c>
      <c r="M246" s="8">
        <v>3</v>
      </c>
      <c r="N246" s="10">
        <v>889.15</v>
      </c>
      <c r="O246" s="11">
        <v>0.15</v>
      </c>
      <c r="P246" s="10">
        <v>2267.33</v>
      </c>
      <c r="Q246" s="10">
        <v>1373.16</v>
      </c>
      <c r="R246" s="10">
        <v>894.17</v>
      </c>
      <c r="S246" s="8" t="s">
        <v>53</v>
      </c>
      <c r="T246" s="8" t="s">
        <v>119</v>
      </c>
      <c r="U246" s="8">
        <v>3</v>
      </c>
      <c r="V246" s="8" t="s">
        <v>35</v>
      </c>
    </row>
    <row r="247" spans="1:22" x14ac:dyDescent="0.3">
      <c r="A247" s="12" t="s">
        <v>572</v>
      </c>
      <c r="B247" s="13">
        <v>45758</v>
      </c>
      <c r="C247" s="12" t="s">
        <v>57</v>
      </c>
      <c r="D247" s="12" t="s">
        <v>58</v>
      </c>
      <c r="E247" s="12" t="s">
        <v>59</v>
      </c>
      <c r="F247" s="12" t="s">
        <v>277</v>
      </c>
      <c r="G247" s="12" t="s">
        <v>41</v>
      </c>
      <c r="H247" s="12" t="s">
        <v>81</v>
      </c>
      <c r="I247" s="12" t="s">
        <v>29</v>
      </c>
      <c r="J247" s="12" t="s">
        <v>69</v>
      </c>
      <c r="K247" s="12" t="s">
        <v>137</v>
      </c>
      <c r="L247" s="12" t="s">
        <v>32</v>
      </c>
      <c r="M247" s="12">
        <v>4</v>
      </c>
      <c r="N247" s="14">
        <v>479.47</v>
      </c>
      <c r="O247" s="15">
        <v>0.3</v>
      </c>
      <c r="P247" s="14">
        <v>1342.52</v>
      </c>
      <c r="Q247" s="14">
        <v>850.41</v>
      </c>
      <c r="R247" s="14">
        <v>492.11</v>
      </c>
      <c r="S247" s="12" t="s">
        <v>83</v>
      </c>
      <c r="T247" s="12" t="s">
        <v>71</v>
      </c>
      <c r="U247" s="12">
        <v>3</v>
      </c>
      <c r="V247" s="12" t="s">
        <v>96</v>
      </c>
    </row>
    <row r="248" spans="1:22" x14ac:dyDescent="0.3">
      <c r="A248" s="8" t="s">
        <v>573</v>
      </c>
      <c r="B248" s="9">
        <v>45957</v>
      </c>
      <c r="C248" s="8" t="s">
        <v>23</v>
      </c>
      <c r="D248" s="8" t="s">
        <v>24</v>
      </c>
      <c r="E248" s="8" t="s">
        <v>25</v>
      </c>
      <c r="F248" s="8" t="s">
        <v>574</v>
      </c>
      <c r="G248" s="8" t="s">
        <v>27</v>
      </c>
      <c r="H248" s="8" t="s">
        <v>81</v>
      </c>
      <c r="I248" s="8" t="s">
        <v>29</v>
      </c>
      <c r="J248" s="8" t="s">
        <v>43</v>
      </c>
      <c r="K248" s="8" t="s">
        <v>51</v>
      </c>
      <c r="L248" s="8" t="s">
        <v>52</v>
      </c>
      <c r="M248" s="8">
        <v>4</v>
      </c>
      <c r="N248" s="10">
        <v>1567.77</v>
      </c>
      <c r="O248" s="11">
        <v>0.1</v>
      </c>
      <c r="P248" s="10">
        <v>5643.97</v>
      </c>
      <c r="Q248" s="10">
        <v>2867.07</v>
      </c>
      <c r="R248" s="10">
        <v>2776.9</v>
      </c>
      <c r="S248" s="8" t="s">
        <v>53</v>
      </c>
      <c r="T248" s="8" t="s">
        <v>104</v>
      </c>
      <c r="U248" s="8">
        <v>3</v>
      </c>
      <c r="V248" s="8" t="s">
        <v>123</v>
      </c>
    </row>
    <row r="249" spans="1:22" x14ac:dyDescent="0.3">
      <c r="A249" s="12" t="s">
        <v>575</v>
      </c>
      <c r="B249" s="13">
        <v>45732</v>
      </c>
      <c r="C249" s="12" t="s">
        <v>48</v>
      </c>
      <c r="D249" s="12" t="s">
        <v>49</v>
      </c>
      <c r="E249" s="12" t="s">
        <v>39</v>
      </c>
      <c r="F249" s="12" t="s">
        <v>439</v>
      </c>
      <c r="G249" s="12" t="s">
        <v>41</v>
      </c>
      <c r="H249" s="12" t="s">
        <v>94</v>
      </c>
      <c r="I249" s="12" t="s">
        <v>29</v>
      </c>
      <c r="J249" s="12" t="s">
        <v>43</v>
      </c>
      <c r="K249" s="12" t="s">
        <v>162</v>
      </c>
      <c r="L249" s="12" t="s">
        <v>32</v>
      </c>
      <c r="M249" s="12">
        <v>3</v>
      </c>
      <c r="N249" s="14">
        <v>927.01</v>
      </c>
      <c r="O249" s="15">
        <v>0.25</v>
      </c>
      <c r="P249" s="14">
        <v>2085.77</v>
      </c>
      <c r="Q249" s="14">
        <v>1140.3699999999999</v>
      </c>
      <c r="R249" s="14">
        <v>945.4</v>
      </c>
      <c r="S249" s="12" t="s">
        <v>33</v>
      </c>
      <c r="T249" s="12" t="s">
        <v>156</v>
      </c>
      <c r="U249" s="12">
        <v>5</v>
      </c>
      <c r="V249" s="12" t="s">
        <v>55</v>
      </c>
    </row>
    <row r="250" spans="1:22" x14ac:dyDescent="0.3">
      <c r="A250" s="8" t="s">
        <v>576</v>
      </c>
      <c r="B250" s="9">
        <v>45874</v>
      </c>
      <c r="C250" s="8" t="s">
        <v>125</v>
      </c>
      <c r="D250" s="8" t="s">
        <v>126</v>
      </c>
      <c r="E250" s="8" t="s">
        <v>25</v>
      </c>
      <c r="F250" s="8" t="s">
        <v>366</v>
      </c>
      <c r="G250" s="8" t="s">
        <v>27</v>
      </c>
      <c r="H250" s="8" t="s">
        <v>28</v>
      </c>
      <c r="I250" s="8" t="s">
        <v>29</v>
      </c>
      <c r="J250" s="8" t="s">
        <v>89</v>
      </c>
      <c r="K250" s="8" t="s">
        <v>89</v>
      </c>
      <c r="L250" s="8" t="s">
        <v>77</v>
      </c>
      <c r="M250" s="8">
        <v>5</v>
      </c>
      <c r="N250" s="10">
        <v>1282.25</v>
      </c>
      <c r="O250" s="11">
        <v>0</v>
      </c>
      <c r="P250" s="10">
        <v>6411.25</v>
      </c>
      <c r="Q250" s="10">
        <v>3653.28</v>
      </c>
      <c r="R250" s="10">
        <v>2757.97</v>
      </c>
      <c r="S250" s="8" t="s">
        <v>33</v>
      </c>
      <c r="T250" s="8" t="s">
        <v>71</v>
      </c>
      <c r="U250" s="8">
        <v>3</v>
      </c>
      <c r="V250" s="8" t="s">
        <v>72</v>
      </c>
    </row>
    <row r="251" spans="1:22" x14ac:dyDescent="0.3">
      <c r="A251" s="12" t="s">
        <v>577</v>
      </c>
      <c r="B251" s="13">
        <v>45704</v>
      </c>
      <c r="C251" s="12" t="s">
        <v>23</v>
      </c>
      <c r="D251" s="12" t="s">
        <v>24</v>
      </c>
      <c r="E251" s="12" t="s">
        <v>25</v>
      </c>
      <c r="F251" s="12" t="s">
        <v>578</v>
      </c>
      <c r="G251" s="12" t="s">
        <v>41</v>
      </c>
      <c r="H251" s="12" t="s">
        <v>42</v>
      </c>
      <c r="I251" s="12" t="s">
        <v>61</v>
      </c>
      <c r="J251" s="12" t="s">
        <v>43</v>
      </c>
      <c r="K251" s="12" t="s">
        <v>44</v>
      </c>
      <c r="L251" s="12" t="s">
        <v>45</v>
      </c>
      <c r="M251" s="12">
        <v>5</v>
      </c>
      <c r="N251" s="14">
        <v>614.25</v>
      </c>
      <c r="O251" s="15">
        <v>0.15</v>
      </c>
      <c r="P251" s="14">
        <v>2610.56</v>
      </c>
      <c r="Q251" s="14">
        <v>1286.3599999999999</v>
      </c>
      <c r="R251" s="14">
        <v>1324.2</v>
      </c>
      <c r="S251" s="12" t="s">
        <v>46</v>
      </c>
      <c r="T251" s="12" t="s">
        <v>54</v>
      </c>
      <c r="U251" s="12">
        <v>4</v>
      </c>
      <c r="V251" s="12" t="s">
        <v>105</v>
      </c>
    </row>
    <row r="252" spans="1:22" x14ac:dyDescent="0.3">
      <c r="A252" s="8" t="s">
        <v>579</v>
      </c>
      <c r="B252" s="9">
        <v>45963</v>
      </c>
      <c r="C252" s="8" t="s">
        <v>86</v>
      </c>
      <c r="D252" s="8" t="s">
        <v>87</v>
      </c>
      <c r="E252" s="8" t="s">
        <v>59</v>
      </c>
      <c r="F252" s="8" t="s">
        <v>580</v>
      </c>
      <c r="G252" s="8" t="s">
        <v>41</v>
      </c>
      <c r="H252" s="8" t="s">
        <v>28</v>
      </c>
      <c r="I252" s="8" t="s">
        <v>68</v>
      </c>
      <c r="J252" s="8" t="s">
        <v>75</v>
      </c>
      <c r="K252" s="8" t="s">
        <v>154</v>
      </c>
      <c r="L252" s="8" t="s">
        <v>52</v>
      </c>
      <c r="M252" s="8">
        <v>5</v>
      </c>
      <c r="N252" s="10">
        <v>2038.69</v>
      </c>
      <c r="O252" s="11">
        <v>0</v>
      </c>
      <c r="P252" s="10">
        <v>10193.450000000001</v>
      </c>
      <c r="Q252" s="10">
        <v>5767.34</v>
      </c>
      <c r="R252" s="10">
        <v>4426.1099999999997</v>
      </c>
      <c r="S252" s="8" t="s">
        <v>83</v>
      </c>
      <c r="T252" s="8" t="s">
        <v>104</v>
      </c>
      <c r="U252" s="8">
        <v>4</v>
      </c>
      <c r="V252" s="8" t="s">
        <v>65</v>
      </c>
    </row>
    <row r="253" spans="1:22" x14ac:dyDescent="0.3">
      <c r="A253" s="12" t="s">
        <v>581</v>
      </c>
      <c r="B253" s="13">
        <v>45732</v>
      </c>
      <c r="C253" s="12" t="s">
        <v>57</v>
      </c>
      <c r="D253" s="12" t="s">
        <v>58</v>
      </c>
      <c r="E253" s="12" t="s">
        <v>59</v>
      </c>
      <c r="F253" s="12" t="s">
        <v>582</v>
      </c>
      <c r="G253" s="12" t="s">
        <v>41</v>
      </c>
      <c r="H253" s="12" t="s">
        <v>28</v>
      </c>
      <c r="I253" s="12" t="s">
        <v>68</v>
      </c>
      <c r="J253" s="12" t="s">
        <v>30</v>
      </c>
      <c r="K253" s="12" t="s">
        <v>31</v>
      </c>
      <c r="L253" s="12" t="s">
        <v>45</v>
      </c>
      <c r="M253" s="12">
        <v>5</v>
      </c>
      <c r="N253" s="14">
        <v>4008.8</v>
      </c>
      <c r="O253" s="15">
        <v>0.25</v>
      </c>
      <c r="P253" s="14">
        <v>15033</v>
      </c>
      <c r="Q253" s="14">
        <v>11544.98</v>
      </c>
      <c r="R253" s="14">
        <v>3488.02</v>
      </c>
      <c r="S253" s="12" t="s">
        <v>46</v>
      </c>
      <c r="T253" s="12" t="s">
        <v>119</v>
      </c>
      <c r="U253" s="12">
        <v>3</v>
      </c>
      <c r="V253" s="12" t="s">
        <v>55</v>
      </c>
    </row>
    <row r="254" spans="1:22" x14ac:dyDescent="0.3">
      <c r="A254" s="8" t="s">
        <v>583</v>
      </c>
      <c r="B254" s="9">
        <v>45676</v>
      </c>
      <c r="C254" s="8" t="s">
        <v>131</v>
      </c>
      <c r="D254" s="8" t="s">
        <v>132</v>
      </c>
      <c r="E254" s="8" t="s">
        <v>25</v>
      </c>
      <c r="F254" s="8" t="s">
        <v>67</v>
      </c>
      <c r="G254" s="8" t="s">
        <v>41</v>
      </c>
      <c r="H254" s="8" t="s">
        <v>81</v>
      </c>
      <c r="I254" s="8" t="s">
        <v>61</v>
      </c>
      <c r="J254" s="8" t="s">
        <v>101</v>
      </c>
      <c r="K254" s="8" t="s">
        <v>110</v>
      </c>
      <c r="L254" s="8" t="s">
        <v>91</v>
      </c>
      <c r="M254" s="8">
        <v>2</v>
      </c>
      <c r="N254" s="10">
        <v>5168.12</v>
      </c>
      <c r="O254" s="11">
        <v>0.05</v>
      </c>
      <c r="P254" s="10">
        <v>9819.43</v>
      </c>
      <c r="Q254" s="10">
        <v>6553.28</v>
      </c>
      <c r="R254" s="10">
        <v>3266.15</v>
      </c>
      <c r="S254" s="8" t="s">
        <v>53</v>
      </c>
      <c r="T254" s="8" t="s">
        <v>119</v>
      </c>
      <c r="U254" s="8">
        <v>5</v>
      </c>
      <c r="V254" s="8" t="s">
        <v>84</v>
      </c>
    </row>
    <row r="255" spans="1:22" x14ac:dyDescent="0.3">
      <c r="A255" s="12" t="s">
        <v>584</v>
      </c>
      <c r="B255" s="13">
        <v>45726</v>
      </c>
      <c r="C255" s="12" t="s">
        <v>131</v>
      </c>
      <c r="D255" s="12" t="s">
        <v>132</v>
      </c>
      <c r="E255" s="12" t="s">
        <v>25</v>
      </c>
      <c r="F255" s="12" t="s">
        <v>350</v>
      </c>
      <c r="G255" s="12" t="s">
        <v>27</v>
      </c>
      <c r="H255" s="12" t="s">
        <v>42</v>
      </c>
      <c r="I255" s="12" t="s">
        <v>68</v>
      </c>
      <c r="J255" s="12" t="s">
        <v>30</v>
      </c>
      <c r="K255" s="12" t="s">
        <v>62</v>
      </c>
      <c r="L255" s="12" t="s">
        <v>32</v>
      </c>
      <c r="M255" s="12">
        <v>1</v>
      </c>
      <c r="N255" s="14">
        <v>970.15</v>
      </c>
      <c r="O255" s="15">
        <v>0.2</v>
      </c>
      <c r="P255" s="14">
        <v>776.12</v>
      </c>
      <c r="Q255" s="14">
        <v>455.46</v>
      </c>
      <c r="R255" s="14">
        <v>320.66000000000003</v>
      </c>
      <c r="S255" s="12" t="s">
        <v>63</v>
      </c>
      <c r="T255" s="12" t="s">
        <v>34</v>
      </c>
      <c r="U255" s="12">
        <v>4</v>
      </c>
      <c r="V255" s="12" t="s">
        <v>55</v>
      </c>
    </row>
    <row r="256" spans="1:22" x14ac:dyDescent="0.3">
      <c r="A256" s="8" t="s">
        <v>585</v>
      </c>
      <c r="B256" s="9">
        <v>45836</v>
      </c>
      <c r="C256" s="8" t="s">
        <v>37</v>
      </c>
      <c r="D256" s="8" t="s">
        <v>38</v>
      </c>
      <c r="E256" s="8" t="s">
        <v>39</v>
      </c>
      <c r="F256" s="8" t="s">
        <v>586</v>
      </c>
      <c r="G256" s="8" t="s">
        <v>41</v>
      </c>
      <c r="H256" s="8" t="s">
        <v>28</v>
      </c>
      <c r="I256" s="8" t="s">
        <v>68</v>
      </c>
      <c r="J256" s="8" t="s">
        <v>69</v>
      </c>
      <c r="K256" s="8" t="s">
        <v>180</v>
      </c>
      <c r="L256" s="8" t="s">
        <v>77</v>
      </c>
      <c r="M256" s="8">
        <v>5</v>
      </c>
      <c r="N256" s="10">
        <v>1483.9</v>
      </c>
      <c r="O256" s="11">
        <v>0.1</v>
      </c>
      <c r="P256" s="10">
        <v>6677.55</v>
      </c>
      <c r="Q256" s="10">
        <v>4283.92</v>
      </c>
      <c r="R256" s="10">
        <v>2393.63</v>
      </c>
      <c r="S256" s="8" t="s">
        <v>46</v>
      </c>
      <c r="T256" s="8" t="s">
        <v>54</v>
      </c>
      <c r="U256" s="8">
        <v>5</v>
      </c>
      <c r="V256" s="8" t="s">
        <v>157</v>
      </c>
    </row>
    <row r="257" spans="1:22" x14ac:dyDescent="0.3">
      <c r="A257" s="12" t="s">
        <v>587</v>
      </c>
      <c r="B257" s="13">
        <v>45968</v>
      </c>
      <c r="C257" s="12" t="s">
        <v>131</v>
      </c>
      <c r="D257" s="12" t="s">
        <v>132</v>
      </c>
      <c r="E257" s="12" t="s">
        <v>25</v>
      </c>
      <c r="F257" s="12" t="s">
        <v>159</v>
      </c>
      <c r="G257" s="12" t="s">
        <v>27</v>
      </c>
      <c r="H257" s="12" t="s">
        <v>94</v>
      </c>
      <c r="I257" s="12" t="s">
        <v>61</v>
      </c>
      <c r="J257" s="12" t="s">
        <v>101</v>
      </c>
      <c r="K257" s="12" t="s">
        <v>110</v>
      </c>
      <c r="L257" s="12" t="s">
        <v>32</v>
      </c>
      <c r="M257" s="12">
        <v>2</v>
      </c>
      <c r="N257" s="14">
        <v>4917.3599999999997</v>
      </c>
      <c r="O257" s="15">
        <v>0.05</v>
      </c>
      <c r="P257" s="14">
        <v>9342.98</v>
      </c>
      <c r="Q257" s="14">
        <v>6658.3</v>
      </c>
      <c r="R257" s="14">
        <v>2684.68</v>
      </c>
      <c r="S257" s="12" t="s">
        <v>33</v>
      </c>
      <c r="T257" s="12" t="s">
        <v>111</v>
      </c>
      <c r="U257" s="12">
        <v>3</v>
      </c>
      <c r="V257" s="12" t="s">
        <v>65</v>
      </c>
    </row>
    <row r="258" spans="1:22" x14ac:dyDescent="0.3">
      <c r="A258" s="8" t="s">
        <v>588</v>
      </c>
      <c r="B258" s="9">
        <v>45662</v>
      </c>
      <c r="C258" s="8" t="s">
        <v>48</v>
      </c>
      <c r="D258" s="8" t="s">
        <v>49</v>
      </c>
      <c r="E258" s="8" t="s">
        <v>39</v>
      </c>
      <c r="F258" s="8" t="s">
        <v>316</v>
      </c>
      <c r="G258" s="8" t="s">
        <v>27</v>
      </c>
      <c r="H258" s="8" t="s">
        <v>28</v>
      </c>
      <c r="I258" s="8" t="s">
        <v>61</v>
      </c>
      <c r="J258" s="8" t="s">
        <v>101</v>
      </c>
      <c r="K258" s="8" t="s">
        <v>217</v>
      </c>
      <c r="L258" s="8" t="s">
        <v>175</v>
      </c>
      <c r="M258" s="8">
        <v>2</v>
      </c>
      <c r="N258" s="10">
        <v>3125.89</v>
      </c>
      <c r="O258" s="11">
        <v>0</v>
      </c>
      <c r="P258" s="10">
        <v>6251.78</v>
      </c>
      <c r="Q258" s="10">
        <v>3355.99</v>
      </c>
      <c r="R258" s="10">
        <v>2895.79</v>
      </c>
      <c r="S258" s="8" t="s">
        <v>33</v>
      </c>
      <c r="T258" s="8" t="s">
        <v>119</v>
      </c>
      <c r="U258" s="8">
        <v>5</v>
      </c>
      <c r="V258" s="8" t="s">
        <v>84</v>
      </c>
    </row>
    <row r="259" spans="1:22" x14ac:dyDescent="0.3">
      <c r="A259" s="12" t="s">
        <v>589</v>
      </c>
      <c r="B259" s="13">
        <v>45767</v>
      </c>
      <c r="C259" s="12" t="s">
        <v>125</v>
      </c>
      <c r="D259" s="12" t="s">
        <v>126</v>
      </c>
      <c r="E259" s="12" t="s">
        <v>25</v>
      </c>
      <c r="F259" s="12" t="s">
        <v>590</v>
      </c>
      <c r="G259" s="12" t="s">
        <v>27</v>
      </c>
      <c r="H259" s="12" t="s">
        <v>81</v>
      </c>
      <c r="I259" s="12" t="s">
        <v>61</v>
      </c>
      <c r="J259" s="12" t="s">
        <v>69</v>
      </c>
      <c r="K259" s="12" t="s">
        <v>180</v>
      </c>
      <c r="L259" s="12" t="s">
        <v>103</v>
      </c>
      <c r="M259" s="12">
        <v>5</v>
      </c>
      <c r="N259" s="14">
        <v>1483.86</v>
      </c>
      <c r="O259" s="15">
        <v>0.15</v>
      </c>
      <c r="P259" s="14">
        <v>6306.4</v>
      </c>
      <c r="Q259" s="14">
        <v>4245.0600000000004</v>
      </c>
      <c r="R259" s="14">
        <v>2061.34</v>
      </c>
      <c r="S259" s="12" t="s">
        <v>63</v>
      </c>
      <c r="T259" s="12" t="s">
        <v>156</v>
      </c>
      <c r="U259" s="12">
        <v>5</v>
      </c>
      <c r="V259" s="12" t="s">
        <v>96</v>
      </c>
    </row>
    <row r="260" spans="1:22" x14ac:dyDescent="0.3">
      <c r="A260" s="8" t="s">
        <v>591</v>
      </c>
      <c r="B260" s="9">
        <v>45755</v>
      </c>
      <c r="C260" s="8" t="s">
        <v>48</v>
      </c>
      <c r="D260" s="8" t="s">
        <v>49</v>
      </c>
      <c r="E260" s="8" t="s">
        <v>39</v>
      </c>
      <c r="F260" s="8" t="s">
        <v>592</v>
      </c>
      <c r="G260" s="8" t="s">
        <v>27</v>
      </c>
      <c r="H260" s="8" t="s">
        <v>81</v>
      </c>
      <c r="I260" s="8" t="s">
        <v>68</v>
      </c>
      <c r="J260" s="8" t="s">
        <v>101</v>
      </c>
      <c r="K260" s="8" t="s">
        <v>217</v>
      </c>
      <c r="L260" s="8" t="s">
        <v>45</v>
      </c>
      <c r="M260" s="8">
        <v>3</v>
      </c>
      <c r="N260" s="10">
        <v>2980.54</v>
      </c>
      <c r="O260" s="11">
        <v>0</v>
      </c>
      <c r="P260" s="10">
        <v>8941.6200000000008</v>
      </c>
      <c r="Q260" s="10">
        <v>5231.93</v>
      </c>
      <c r="R260" s="10">
        <v>3709.69</v>
      </c>
      <c r="S260" s="8" t="s">
        <v>53</v>
      </c>
      <c r="T260" s="8" t="s">
        <v>147</v>
      </c>
      <c r="U260" s="8">
        <v>5</v>
      </c>
      <c r="V260" s="8" t="s">
        <v>96</v>
      </c>
    </row>
    <row r="261" spans="1:22" x14ac:dyDescent="0.3">
      <c r="A261" s="12" t="s">
        <v>593</v>
      </c>
      <c r="B261" s="13">
        <v>45785</v>
      </c>
      <c r="C261" s="12" t="s">
        <v>37</v>
      </c>
      <c r="D261" s="12" t="s">
        <v>38</v>
      </c>
      <c r="E261" s="12" t="s">
        <v>39</v>
      </c>
      <c r="F261" s="12" t="s">
        <v>67</v>
      </c>
      <c r="G261" s="12" t="s">
        <v>27</v>
      </c>
      <c r="H261" s="12" t="s">
        <v>94</v>
      </c>
      <c r="I261" s="12" t="s">
        <v>29</v>
      </c>
      <c r="J261" s="12" t="s">
        <v>69</v>
      </c>
      <c r="K261" s="12" t="s">
        <v>137</v>
      </c>
      <c r="L261" s="12" t="s">
        <v>32</v>
      </c>
      <c r="M261" s="12">
        <v>1</v>
      </c>
      <c r="N261" s="14">
        <v>507.48</v>
      </c>
      <c r="O261" s="15">
        <v>0.1</v>
      </c>
      <c r="P261" s="14">
        <v>456.73</v>
      </c>
      <c r="Q261" s="14">
        <v>223.69</v>
      </c>
      <c r="R261" s="14">
        <v>233.04</v>
      </c>
      <c r="S261" s="12" t="s">
        <v>83</v>
      </c>
      <c r="T261" s="12" t="s">
        <v>104</v>
      </c>
      <c r="U261" s="12">
        <v>4</v>
      </c>
      <c r="V261" s="12" t="s">
        <v>134</v>
      </c>
    </row>
    <row r="262" spans="1:22" x14ac:dyDescent="0.3">
      <c r="A262" s="8" t="s">
        <v>594</v>
      </c>
      <c r="B262" s="9">
        <v>45681</v>
      </c>
      <c r="C262" s="8" t="s">
        <v>131</v>
      </c>
      <c r="D262" s="8" t="s">
        <v>132</v>
      </c>
      <c r="E262" s="8" t="s">
        <v>25</v>
      </c>
      <c r="F262" s="8" t="s">
        <v>523</v>
      </c>
      <c r="G262" s="8" t="s">
        <v>41</v>
      </c>
      <c r="H262" s="8" t="s">
        <v>42</v>
      </c>
      <c r="I262" s="8" t="s">
        <v>29</v>
      </c>
      <c r="J262" s="8" t="s">
        <v>89</v>
      </c>
      <c r="K262" s="8" t="s">
        <v>90</v>
      </c>
      <c r="L262" s="8" t="s">
        <v>91</v>
      </c>
      <c r="M262" s="8">
        <v>3</v>
      </c>
      <c r="N262" s="10">
        <v>3614.02</v>
      </c>
      <c r="O262" s="11">
        <v>0.25</v>
      </c>
      <c r="P262" s="10">
        <v>8131.55</v>
      </c>
      <c r="Q262" s="10">
        <v>6341.54</v>
      </c>
      <c r="R262" s="10">
        <v>1790.01</v>
      </c>
      <c r="S262" s="8" t="s">
        <v>46</v>
      </c>
      <c r="T262" s="8" t="s">
        <v>64</v>
      </c>
      <c r="U262" s="8">
        <v>5</v>
      </c>
      <c r="V262" s="8" t="s">
        <v>84</v>
      </c>
    </row>
    <row r="263" spans="1:22" x14ac:dyDescent="0.3">
      <c r="A263" s="12" t="s">
        <v>595</v>
      </c>
      <c r="B263" s="13">
        <v>45995</v>
      </c>
      <c r="C263" s="12" t="s">
        <v>57</v>
      </c>
      <c r="D263" s="12" t="s">
        <v>58</v>
      </c>
      <c r="E263" s="12" t="s">
        <v>59</v>
      </c>
      <c r="F263" s="12" t="s">
        <v>596</v>
      </c>
      <c r="G263" s="12" t="s">
        <v>41</v>
      </c>
      <c r="H263" s="12" t="s">
        <v>94</v>
      </c>
      <c r="I263" s="12" t="s">
        <v>68</v>
      </c>
      <c r="J263" s="12" t="s">
        <v>89</v>
      </c>
      <c r="K263" s="12" t="s">
        <v>89</v>
      </c>
      <c r="L263" s="12" t="s">
        <v>77</v>
      </c>
      <c r="M263" s="12">
        <v>4</v>
      </c>
      <c r="N263" s="14">
        <v>1299.5</v>
      </c>
      <c r="O263" s="15">
        <v>0.3</v>
      </c>
      <c r="P263" s="14">
        <v>3638.6</v>
      </c>
      <c r="Q263" s="14">
        <v>2890.81</v>
      </c>
      <c r="R263" s="14">
        <v>747.79</v>
      </c>
      <c r="S263" s="12" t="s">
        <v>53</v>
      </c>
      <c r="T263" s="12" t="s">
        <v>119</v>
      </c>
      <c r="U263" s="12">
        <v>3</v>
      </c>
      <c r="V263" s="12" t="s">
        <v>35</v>
      </c>
    </row>
    <row r="264" spans="1:22" x14ac:dyDescent="0.3">
      <c r="A264" s="8" t="s">
        <v>597</v>
      </c>
      <c r="B264" s="9">
        <v>45797</v>
      </c>
      <c r="C264" s="8" t="s">
        <v>48</v>
      </c>
      <c r="D264" s="8" t="s">
        <v>49</v>
      </c>
      <c r="E264" s="8" t="s">
        <v>39</v>
      </c>
      <c r="F264" s="8" t="s">
        <v>598</v>
      </c>
      <c r="G264" s="8" t="s">
        <v>27</v>
      </c>
      <c r="H264" s="8" t="s">
        <v>94</v>
      </c>
      <c r="I264" s="8" t="s">
        <v>61</v>
      </c>
      <c r="J264" s="8" t="s">
        <v>69</v>
      </c>
      <c r="K264" s="8" t="s">
        <v>180</v>
      </c>
      <c r="L264" s="8" t="s">
        <v>32</v>
      </c>
      <c r="M264" s="8">
        <v>4</v>
      </c>
      <c r="N264" s="10">
        <v>1470.69</v>
      </c>
      <c r="O264" s="11">
        <v>0</v>
      </c>
      <c r="P264" s="10">
        <v>5882.76</v>
      </c>
      <c r="Q264" s="10">
        <v>3541.29</v>
      </c>
      <c r="R264" s="10">
        <v>2341.4699999999998</v>
      </c>
      <c r="S264" s="8" t="s">
        <v>53</v>
      </c>
      <c r="T264" s="8" t="s">
        <v>147</v>
      </c>
      <c r="U264" s="8">
        <v>5</v>
      </c>
      <c r="V264" s="8" t="s">
        <v>134</v>
      </c>
    </row>
    <row r="265" spans="1:22" x14ac:dyDescent="0.3">
      <c r="A265" s="12" t="s">
        <v>599</v>
      </c>
      <c r="B265" s="13">
        <v>45674</v>
      </c>
      <c r="C265" s="12" t="s">
        <v>23</v>
      </c>
      <c r="D265" s="12" t="s">
        <v>24</v>
      </c>
      <c r="E265" s="12" t="s">
        <v>25</v>
      </c>
      <c r="F265" s="12" t="s">
        <v>600</v>
      </c>
      <c r="G265" s="12" t="s">
        <v>27</v>
      </c>
      <c r="H265" s="12" t="s">
        <v>94</v>
      </c>
      <c r="I265" s="12" t="s">
        <v>29</v>
      </c>
      <c r="J265" s="12" t="s">
        <v>69</v>
      </c>
      <c r="K265" s="12" t="s">
        <v>70</v>
      </c>
      <c r="L265" s="12" t="s">
        <v>175</v>
      </c>
      <c r="M265" s="12">
        <v>5</v>
      </c>
      <c r="N265" s="14">
        <v>858.63</v>
      </c>
      <c r="O265" s="15">
        <v>0.3</v>
      </c>
      <c r="P265" s="14">
        <v>3005.2</v>
      </c>
      <c r="Q265" s="14">
        <v>2223.3200000000002</v>
      </c>
      <c r="R265" s="14">
        <v>781.88</v>
      </c>
      <c r="S265" s="12" t="s">
        <v>63</v>
      </c>
      <c r="T265" s="12" t="s">
        <v>104</v>
      </c>
      <c r="U265" s="12">
        <v>5</v>
      </c>
      <c r="V265" s="12" t="s">
        <v>84</v>
      </c>
    </row>
    <row r="266" spans="1:22" x14ac:dyDescent="0.3">
      <c r="A266" s="8" t="s">
        <v>601</v>
      </c>
      <c r="B266" s="9">
        <v>45692</v>
      </c>
      <c r="C266" s="8" t="s">
        <v>107</v>
      </c>
      <c r="D266" s="8" t="s">
        <v>108</v>
      </c>
      <c r="E266" s="8" t="s">
        <v>39</v>
      </c>
      <c r="F266" s="8" t="s">
        <v>602</v>
      </c>
      <c r="G266" s="8" t="s">
        <v>41</v>
      </c>
      <c r="H266" s="8" t="s">
        <v>81</v>
      </c>
      <c r="I266" s="8" t="s">
        <v>68</v>
      </c>
      <c r="J266" s="8" t="s">
        <v>75</v>
      </c>
      <c r="K266" s="8" t="s">
        <v>95</v>
      </c>
      <c r="L266" s="8" t="s">
        <v>52</v>
      </c>
      <c r="M266" s="8">
        <v>5</v>
      </c>
      <c r="N266" s="10">
        <v>25726.57</v>
      </c>
      <c r="O266" s="11">
        <v>0.15</v>
      </c>
      <c r="P266" s="10">
        <v>109337.92</v>
      </c>
      <c r="Q266" s="10">
        <v>87264.89</v>
      </c>
      <c r="R266" s="10">
        <v>22073.03</v>
      </c>
      <c r="S266" s="8" t="s">
        <v>53</v>
      </c>
      <c r="T266" s="8" t="s">
        <v>111</v>
      </c>
      <c r="U266" s="8">
        <v>5</v>
      </c>
      <c r="V266" s="8" t="s">
        <v>105</v>
      </c>
    </row>
    <row r="267" spans="1:22" x14ac:dyDescent="0.3">
      <c r="A267" s="12" t="s">
        <v>603</v>
      </c>
      <c r="B267" s="13">
        <v>45908</v>
      </c>
      <c r="C267" s="12" t="s">
        <v>125</v>
      </c>
      <c r="D267" s="12" t="s">
        <v>126</v>
      </c>
      <c r="E267" s="12" t="s">
        <v>25</v>
      </c>
      <c r="F267" s="12" t="s">
        <v>348</v>
      </c>
      <c r="G267" s="12" t="s">
        <v>27</v>
      </c>
      <c r="H267" s="12" t="s">
        <v>94</v>
      </c>
      <c r="I267" s="12" t="s">
        <v>61</v>
      </c>
      <c r="J267" s="12" t="s">
        <v>30</v>
      </c>
      <c r="K267" s="12" t="s">
        <v>31</v>
      </c>
      <c r="L267" s="12" t="s">
        <v>45</v>
      </c>
      <c r="M267" s="12">
        <v>2</v>
      </c>
      <c r="N267" s="14">
        <v>3924.88</v>
      </c>
      <c r="O267" s="15">
        <v>0.2</v>
      </c>
      <c r="P267" s="14">
        <v>6279.81</v>
      </c>
      <c r="Q267" s="14">
        <v>4424.76</v>
      </c>
      <c r="R267" s="14">
        <v>1855.05</v>
      </c>
      <c r="S267" s="12" t="s">
        <v>83</v>
      </c>
      <c r="T267" s="12" t="s">
        <v>54</v>
      </c>
      <c r="U267" s="12">
        <v>3</v>
      </c>
      <c r="V267" s="12" t="s">
        <v>116</v>
      </c>
    </row>
    <row r="268" spans="1:22" x14ac:dyDescent="0.3">
      <c r="A268" s="8" t="s">
        <v>604</v>
      </c>
      <c r="B268" s="9">
        <v>45892</v>
      </c>
      <c r="C268" s="8" t="s">
        <v>113</v>
      </c>
      <c r="D268" s="8" t="s">
        <v>114</v>
      </c>
      <c r="E268" s="8" t="s">
        <v>59</v>
      </c>
      <c r="F268" s="8" t="s">
        <v>605</v>
      </c>
      <c r="G268" s="8" t="s">
        <v>27</v>
      </c>
      <c r="H268" s="8" t="s">
        <v>42</v>
      </c>
      <c r="I268" s="8" t="s">
        <v>61</v>
      </c>
      <c r="J268" s="8" t="s">
        <v>43</v>
      </c>
      <c r="K268" s="8" t="s">
        <v>44</v>
      </c>
      <c r="L268" s="8" t="s">
        <v>52</v>
      </c>
      <c r="M268" s="8">
        <v>1</v>
      </c>
      <c r="N268" s="10">
        <v>615.51</v>
      </c>
      <c r="O268" s="11">
        <v>0</v>
      </c>
      <c r="P268" s="10">
        <v>615.51</v>
      </c>
      <c r="Q268" s="10">
        <v>260.74</v>
      </c>
      <c r="R268" s="10">
        <v>354.77</v>
      </c>
      <c r="S268" s="8" t="s">
        <v>83</v>
      </c>
      <c r="T268" s="8" t="s">
        <v>34</v>
      </c>
      <c r="U268" s="8">
        <v>5</v>
      </c>
      <c r="V268" s="8" t="s">
        <v>72</v>
      </c>
    </row>
    <row r="269" spans="1:22" x14ac:dyDescent="0.3">
      <c r="A269" s="12" t="s">
        <v>606</v>
      </c>
      <c r="B269" s="13">
        <v>45966</v>
      </c>
      <c r="C269" s="12" t="s">
        <v>37</v>
      </c>
      <c r="D269" s="12" t="s">
        <v>38</v>
      </c>
      <c r="E269" s="12" t="s">
        <v>39</v>
      </c>
      <c r="F269" s="12" t="s">
        <v>379</v>
      </c>
      <c r="G269" s="12" t="s">
        <v>41</v>
      </c>
      <c r="H269" s="12" t="s">
        <v>94</v>
      </c>
      <c r="I269" s="12" t="s">
        <v>61</v>
      </c>
      <c r="J269" s="12" t="s">
        <v>89</v>
      </c>
      <c r="K269" s="12" t="s">
        <v>90</v>
      </c>
      <c r="L269" s="12" t="s">
        <v>175</v>
      </c>
      <c r="M269" s="12">
        <v>2</v>
      </c>
      <c r="N269" s="14">
        <v>3398.51</v>
      </c>
      <c r="O269" s="15">
        <v>0.05</v>
      </c>
      <c r="P269" s="14">
        <v>6457.17</v>
      </c>
      <c r="Q269" s="14">
        <v>4339.1000000000004</v>
      </c>
      <c r="R269" s="14">
        <v>2118.0700000000002</v>
      </c>
      <c r="S269" s="12" t="s">
        <v>63</v>
      </c>
      <c r="T269" s="12" t="s">
        <v>54</v>
      </c>
      <c r="U269" s="12">
        <v>3</v>
      </c>
      <c r="V269" s="12" t="s">
        <v>65</v>
      </c>
    </row>
    <row r="270" spans="1:22" x14ac:dyDescent="0.3">
      <c r="A270" s="8" t="s">
        <v>607</v>
      </c>
      <c r="B270" s="9">
        <v>45947</v>
      </c>
      <c r="C270" s="8" t="s">
        <v>98</v>
      </c>
      <c r="D270" s="8" t="s">
        <v>99</v>
      </c>
      <c r="E270" s="8" t="s">
        <v>25</v>
      </c>
      <c r="F270" s="8" t="s">
        <v>608</v>
      </c>
      <c r="G270" s="8" t="s">
        <v>41</v>
      </c>
      <c r="H270" s="8" t="s">
        <v>94</v>
      </c>
      <c r="I270" s="8" t="s">
        <v>68</v>
      </c>
      <c r="J270" s="8" t="s">
        <v>101</v>
      </c>
      <c r="K270" s="8" t="s">
        <v>102</v>
      </c>
      <c r="L270" s="8" t="s">
        <v>91</v>
      </c>
      <c r="M270" s="8">
        <v>2</v>
      </c>
      <c r="N270" s="10">
        <v>679.78</v>
      </c>
      <c r="O270" s="11">
        <v>0.2</v>
      </c>
      <c r="P270" s="10">
        <v>1087.6500000000001</v>
      </c>
      <c r="Q270" s="10">
        <v>489.94</v>
      </c>
      <c r="R270" s="10">
        <v>597.71</v>
      </c>
      <c r="S270" s="8" t="s">
        <v>63</v>
      </c>
      <c r="T270" s="8" t="s">
        <v>119</v>
      </c>
      <c r="U270" s="8">
        <v>5</v>
      </c>
      <c r="V270" s="8" t="s">
        <v>123</v>
      </c>
    </row>
    <row r="271" spans="1:22" x14ac:dyDescent="0.3">
      <c r="A271" s="12" t="s">
        <v>609</v>
      </c>
      <c r="B271" s="13">
        <v>45992</v>
      </c>
      <c r="C271" s="12" t="s">
        <v>98</v>
      </c>
      <c r="D271" s="12" t="s">
        <v>99</v>
      </c>
      <c r="E271" s="12" t="s">
        <v>25</v>
      </c>
      <c r="F271" s="12" t="s">
        <v>610</v>
      </c>
      <c r="G271" s="12" t="s">
        <v>41</v>
      </c>
      <c r="H271" s="12" t="s">
        <v>42</v>
      </c>
      <c r="I271" s="12" t="s">
        <v>61</v>
      </c>
      <c r="J271" s="12" t="s">
        <v>69</v>
      </c>
      <c r="K271" s="12" t="s">
        <v>70</v>
      </c>
      <c r="L271" s="12" t="s">
        <v>175</v>
      </c>
      <c r="M271" s="12">
        <v>4</v>
      </c>
      <c r="N271" s="14">
        <v>936.44</v>
      </c>
      <c r="O271" s="15">
        <v>0.3</v>
      </c>
      <c r="P271" s="14">
        <v>2622.03</v>
      </c>
      <c r="Q271" s="14">
        <v>1755.9</v>
      </c>
      <c r="R271" s="14">
        <v>866.13</v>
      </c>
      <c r="S271" s="12" t="s">
        <v>53</v>
      </c>
      <c r="T271" s="12" t="s">
        <v>104</v>
      </c>
      <c r="U271" s="12">
        <v>3</v>
      </c>
      <c r="V271" s="12" t="s">
        <v>35</v>
      </c>
    </row>
    <row r="272" spans="1:22" x14ac:dyDescent="0.3">
      <c r="A272" s="8" t="s">
        <v>611</v>
      </c>
      <c r="B272" s="9">
        <v>45930</v>
      </c>
      <c r="C272" s="8" t="s">
        <v>86</v>
      </c>
      <c r="D272" s="8" t="s">
        <v>87</v>
      </c>
      <c r="E272" s="8" t="s">
        <v>59</v>
      </c>
      <c r="F272" s="8" t="s">
        <v>133</v>
      </c>
      <c r="G272" s="8" t="s">
        <v>41</v>
      </c>
      <c r="H272" s="8" t="s">
        <v>94</v>
      </c>
      <c r="I272" s="8" t="s">
        <v>68</v>
      </c>
      <c r="J272" s="8" t="s">
        <v>75</v>
      </c>
      <c r="K272" s="8" t="s">
        <v>154</v>
      </c>
      <c r="L272" s="8" t="s">
        <v>175</v>
      </c>
      <c r="M272" s="8">
        <v>1</v>
      </c>
      <c r="N272" s="10">
        <v>2061.9899999999998</v>
      </c>
      <c r="O272" s="11">
        <v>0.1</v>
      </c>
      <c r="P272" s="10">
        <v>1855.79</v>
      </c>
      <c r="Q272" s="10">
        <v>1070.3900000000001</v>
      </c>
      <c r="R272" s="10">
        <v>785.4</v>
      </c>
      <c r="S272" s="8" t="s">
        <v>46</v>
      </c>
      <c r="T272" s="8" t="s">
        <v>104</v>
      </c>
      <c r="U272" s="8">
        <v>5</v>
      </c>
      <c r="V272" s="8" t="s">
        <v>116</v>
      </c>
    </row>
    <row r="273" spans="1:22" x14ac:dyDescent="0.3">
      <c r="A273" s="12" t="s">
        <v>612</v>
      </c>
      <c r="B273" s="13">
        <v>45959</v>
      </c>
      <c r="C273" s="12" t="s">
        <v>131</v>
      </c>
      <c r="D273" s="12" t="s">
        <v>132</v>
      </c>
      <c r="E273" s="12" t="s">
        <v>25</v>
      </c>
      <c r="F273" s="12" t="s">
        <v>613</v>
      </c>
      <c r="G273" s="12" t="s">
        <v>41</v>
      </c>
      <c r="H273" s="12" t="s">
        <v>42</v>
      </c>
      <c r="I273" s="12" t="s">
        <v>68</v>
      </c>
      <c r="J273" s="12" t="s">
        <v>101</v>
      </c>
      <c r="K273" s="12" t="s">
        <v>110</v>
      </c>
      <c r="L273" s="12" t="s">
        <v>45</v>
      </c>
      <c r="M273" s="12">
        <v>5</v>
      </c>
      <c r="N273" s="14">
        <v>5201.7700000000004</v>
      </c>
      <c r="O273" s="15">
        <v>0</v>
      </c>
      <c r="P273" s="14">
        <v>26008.85</v>
      </c>
      <c r="Q273" s="14">
        <v>16233.54</v>
      </c>
      <c r="R273" s="14">
        <v>9775.31</v>
      </c>
      <c r="S273" s="12" t="s">
        <v>63</v>
      </c>
      <c r="T273" s="12" t="s">
        <v>78</v>
      </c>
      <c r="U273" s="12">
        <v>5</v>
      </c>
      <c r="V273" s="12" t="s">
        <v>123</v>
      </c>
    </row>
    <row r="274" spans="1:22" x14ac:dyDescent="0.3">
      <c r="A274" s="8" t="s">
        <v>614</v>
      </c>
      <c r="B274" s="9">
        <v>46017</v>
      </c>
      <c r="C274" s="8" t="s">
        <v>23</v>
      </c>
      <c r="D274" s="8" t="s">
        <v>24</v>
      </c>
      <c r="E274" s="8" t="s">
        <v>25</v>
      </c>
      <c r="F274" s="8" t="s">
        <v>615</v>
      </c>
      <c r="G274" s="8" t="s">
        <v>27</v>
      </c>
      <c r="H274" s="8" t="s">
        <v>94</v>
      </c>
      <c r="I274" s="8" t="s">
        <v>61</v>
      </c>
      <c r="J274" s="8" t="s">
        <v>89</v>
      </c>
      <c r="K274" s="8" t="s">
        <v>89</v>
      </c>
      <c r="L274" s="8" t="s">
        <v>175</v>
      </c>
      <c r="M274" s="8">
        <v>4</v>
      </c>
      <c r="N274" s="10">
        <v>1346.97</v>
      </c>
      <c r="O274" s="11">
        <v>0.25</v>
      </c>
      <c r="P274" s="10">
        <v>4040.91</v>
      </c>
      <c r="Q274" s="10">
        <v>2728.49</v>
      </c>
      <c r="R274" s="10">
        <v>1312.42</v>
      </c>
      <c r="S274" s="8" t="s">
        <v>63</v>
      </c>
      <c r="T274" s="8" t="s">
        <v>54</v>
      </c>
      <c r="U274" s="8">
        <v>5</v>
      </c>
      <c r="V274" s="8" t="s">
        <v>35</v>
      </c>
    </row>
    <row r="275" spans="1:22" x14ac:dyDescent="0.3">
      <c r="A275" s="12" t="s">
        <v>616</v>
      </c>
      <c r="B275" s="13">
        <v>45866</v>
      </c>
      <c r="C275" s="12" t="s">
        <v>37</v>
      </c>
      <c r="D275" s="12" t="s">
        <v>38</v>
      </c>
      <c r="E275" s="12" t="s">
        <v>39</v>
      </c>
      <c r="F275" s="12" t="s">
        <v>501</v>
      </c>
      <c r="G275" s="12" t="s">
        <v>41</v>
      </c>
      <c r="H275" s="12" t="s">
        <v>81</v>
      </c>
      <c r="I275" s="12" t="s">
        <v>29</v>
      </c>
      <c r="J275" s="12" t="s">
        <v>75</v>
      </c>
      <c r="K275" s="12" t="s">
        <v>76</v>
      </c>
      <c r="L275" s="12" t="s">
        <v>77</v>
      </c>
      <c r="M275" s="12">
        <v>5</v>
      </c>
      <c r="N275" s="14">
        <v>828.41</v>
      </c>
      <c r="O275" s="15">
        <v>0.05</v>
      </c>
      <c r="P275" s="14">
        <v>3934.95</v>
      </c>
      <c r="Q275" s="14">
        <v>1664.23</v>
      </c>
      <c r="R275" s="14">
        <v>2270.7199999999998</v>
      </c>
      <c r="S275" s="12" t="s">
        <v>63</v>
      </c>
      <c r="T275" s="12" t="s">
        <v>104</v>
      </c>
      <c r="U275" s="12">
        <v>3</v>
      </c>
      <c r="V275" s="12" t="s">
        <v>120</v>
      </c>
    </row>
    <row r="276" spans="1:22" x14ac:dyDescent="0.3">
      <c r="A276" s="8" t="s">
        <v>617</v>
      </c>
      <c r="B276" s="9">
        <v>45968</v>
      </c>
      <c r="C276" s="8" t="s">
        <v>113</v>
      </c>
      <c r="D276" s="8" t="s">
        <v>114</v>
      </c>
      <c r="E276" s="8" t="s">
        <v>59</v>
      </c>
      <c r="F276" s="8" t="s">
        <v>618</v>
      </c>
      <c r="G276" s="8" t="s">
        <v>27</v>
      </c>
      <c r="H276" s="8" t="s">
        <v>94</v>
      </c>
      <c r="I276" s="8" t="s">
        <v>29</v>
      </c>
      <c r="J276" s="8" t="s">
        <v>75</v>
      </c>
      <c r="K276" s="8" t="s">
        <v>76</v>
      </c>
      <c r="L276" s="8" t="s">
        <v>45</v>
      </c>
      <c r="M276" s="8">
        <v>5</v>
      </c>
      <c r="N276" s="10">
        <v>831.38</v>
      </c>
      <c r="O276" s="11">
        <v>0.2</v>
      </c>
      <c r="P276" s="10">
        <v>3325.52</v>
      </c>
      <c r="Q276" s="10">
        <v>1737.89</v>
      </c>
      <c r="R276" s="10">
        <v>1587.63</v>
      </c>
      <c r="S276" s="8" t="s">
        <v>46</v>
      </c>
      <c r="T276" s="8" t="s">
        <v>64</v>
      </c>
      <c r="U276" s="8">
        <v>3</v>
      </c>
      <c r="V276" s="8" t="s">
        <v>65</v>
      </c>
    </row>
    <row r="277" spans="1:22" x14ac:dyDescent="0.3">
      <c r="A277" s="12" t="s">
        <v>619</v>
      </c>
      <c r="B277" s="13">
        <v>45946</v>
      </c>
      <c r="C277" s="12" t="s">
        <v>125</v>
      </c>
      <c r="D277" s="12" t="s">
        <v>126</v>
      </c>
      <c r="E277" s="12" t="s">
        <v>25</v>
      </c>
      <c r="F277" s="12" t="s">
        <v>620</v>
      </c>
      <c r="G277" s="12" t="s">
        <v>27</v>
      </c>
      <c r="H277" s="12" t="s">
        <v>42</v>
      </c>
      <c r="I277" s="12" t="s">
        <v>29</v>
      </c>
      <c r="J277" s="12" t="s">
        <v>30</v>
      </c>
      <c r="K277" s="12" t="s">
        <v>144</v>
      </c>
      <c r="L277" s="12" t="s">
        <v>82</v>
      </c>
      <c r="M277" s="12">
        <v>3</v>
      </c>
      <c r="N277" s="14">
        <v>2561.8000000000002</v>
      </c>
      <c r="O277" s="15">
        <v>0.15</v>
      </c>
      <c r="P277" s="14">
        <v>6532.59</v>
      </c>
      <c r="Q277" s="14">
        <v>4594.76</v>
      </c>
      <c r="R277" s="14">
        <v>1937.83</v>
      </c>
      <c r="S277" s="12" t="s">
        <v>46</v>
      </c>
      <c r="T277" s="12" t="s">
        <v>119</v>
      </c>
      <c r="U277" s="12">
        <v>3</v>
      </c>
      <c r="V277" s="12" t="s">
        <v>123</v>
      </c>
    </row>
    <row r="278" spans="1:22" x14ac:dyDescent="0.3">
      <c r="A278" s="8" t="s">
        <v>621</v>
      </c>
      <c r="B278" s="9">
        <v>45861</v>
      </c>
      <c r="C278" s="8" t="s">
        <v>107</v>
      </c>
      <c r="D278" s="8" t="s">
        <v>108</v>
      </c>
      <c r="E278" s="8" t="s">
        <v>39</v>
      </c>
      <c r="F278" s="8" t="s">
        <v>622</v>
      </c>
      <c r="G278" s="8" t="s">
        <v>41</v>
      </c>
      <c r="H278" s="8" t="s">
        <v>28</v>
      </c>
      <c r="I278" s="8" t="s">
        <v>68</v>
      </c>
      <c r="J278" s="8" t="s">
        <v>43</v>
      </c>
      <c r="K278" s="8" t="s">
        <v>51</v>
      </c>
      <c r="L278" s="8" t="s">
        <v>77</v>
      </c>
      <c r="M278" s="8">
        <v>4</v>
      </c>
      <c r="N278" s="10">
        <v>1551.44</v>
      </c>
      <c r="O278" s="11">
        <v>0.3</v>
      </c>
      <c r="P278" s="10">
        <v>4344.03</v>
      </c>
      <c r="Q278" s="10">
        <v>2915.37</v>
      </c>
      <c r="R278" s="10">
        <v>1428.66</v>
      </c>
      <c r="S278" s="8" t="s">
        <v>33</v>
      </c>
      <c r="T278" s="8" t="s">
        <v>111</v>
      </c>
      <c r="U278" s="8">
        <v>4</v>
      </c>
      <c r="V278" s="8" t="s">
        <v>120</v>
      </c>
    </row>
    <row r="279" spans="1:22" x14ac:dyDescent="0.3">
      <c r="A279" s="12" t="s">
        <v>623</v>
      </c>
      <c r="B279" s="13">
        <v>45687</v>
      </c>
      <c r="C279" s="12" t="s">
        <v>37</v>
      </c>
      <c r="D279" s="12" t="s">
        <v>38</v>
      </c>
      <c r="E279" s="12" t="s">
        <v>39</v>
      </c>
      <c r="F279" s="12" t="s">
        <v>374</v>
      </c>
      <c r="G279" s="12" t="s">
        <v>27</v>
      </c>
      <c r="H279" s="12" t="s">
        <v>81</v>
      </c>
      <c r="I279" s="12" t="s">
        <v>68</v>
      </c>
      <c r="J279" s="12" t="s">
        <v>30</v>
      </c>
      <c r="K279" s="12" t="s">
        <v>144</v>
      </c>
      <c r="L279" s="12" t="s">
        <v>91</v>
      </c>
      <c r="M279" s="12">
        <v>1</v>
      </c>
      <c r="N279" s="14">
        <v>2456.31</v>
      </c>
      <c r="O279" s="15">
        <v>0.05</v>
      </c>
      <c r="P279" s="14">
        <v>2333.4899999999998</v>
      </c>
      <c r="Q279" s="14">
        <v>1487.11</v>
      </c>
      <c r="R279" s="14">
        <v>846.38</v>
      </c>
      <c r="S279" s="12" t="s">
        <v>46</v>
      </c>
      <c r="T279" s="12" t="s">
        <v>111</v>
      </c>
      <c r="U279" s="12">
        <v>5</v>
      </c>
      <c r="V279" s="12" t="s">
        <v>84</v>
      </c>
    </row>
    <row r="280" spans="1:22" x14ac:dyDescent="0.3">
      <c r="A280" s="8" t="s">
        <v>624</v>
      </c>
      <c r="B280" s="9">
        <v>45894</v>
      </c>
      <c r="C280" s="8" t="s">
        <v>23</v>
      </c>
      <c r="D280" s="8" t="s">
        <v>24</v>
      </c>
      <c r="E280" s="8" t="s">
        <v>25</v>
      </c>
      <c r="F280" s="8" t="s">
        <v>398</v>
      </c>
      <c r="G280" s="8" t="s">
        <v>41</v>
      </c>
      <c r="H280" s="8" t="s">
        <v>94</v>
      </c>
      <c r="I280" s="8" t="s">
        <v>61</v>
      </c>
      <c r="J280" s="8" t="s">
        <v>69</v>
      </c>
      <c r="K280" s="8" t="s">
        <v>180</v>
      </c>
      <c r="L280" s="8" t="s">
        <v>45</v>
      </c>
      <c r="M280" s="8">
        <v>2</v>
      </c>
      <c r="N280" s="10">
        <v>1430.97</v>
      </c>
      <c r="O280" s="11">
        <v>0.15</v>
      </c>
      <c r="P280" s="10">
        <v>2432.65</v>
      </c>
      <c r="Q280" s="10">
        <v>1736.22</v>
      </c>
      <c r="R280" s="10">
        <v>696.43</v>
      </c>
      <c r="S280" s="8" t="s">
        <v>83</v>
      </c>
      <c r="T280" s="8" t="s">
        <v>156</v>
      </c>
      <c r="U280" s="8">
        <v>3</v>
      </c>
      <c r="V280" s="8" t="s">
        <v>72</v>
      </c>
    </row>
    <row r="281" spans="1:22" x14ac:dyDescent="0.3">
      <c r="A281" s="12" t="s">
        <v>625</v>
      </c>
      <c r="B281" s="13">
        <v>45725</v>
      </c>
      <c r="C281" s="12" t="s">
        <v>125</v>
      </c>
      <c r="D281" s="12" t="s">
        <v>126</v>
      </c>
      <c r="E281" s="12" t="s">
        <v>25</v>
      </c>
      <c r="F281" s="12" t="s">
        <v>626</v>
      </c>
      <c r="G281" s="12" t="s">
        <v>27</v>
      </c>
      <c r="H281" s="12" t="s">
        <v>28</v>
      </c>
      <c r="I281" s="12" t="s">
        <v>29</v>
      </c>
      <c r="J281" s="12" t="s">
        <v>30</v>
      </c>
      <c r="K281" s="12" t="s">
        <v>31</v>
      </c>
      <c r="L281" s="12" t="s">
        <v>91</v>
      </c>
      <c r="M281" s="12">
        <v>2</v>
      </c>
      <c r="N281" s="14">
        <v>3849.44</v>
      </c>
      <c r="O281" s="15">
        <v>0</v>
      </c>
      <c r="P281" s="14">
        <v>7698.88</v>
      </c>
      <c r="Q281" s="14">
        <v>4591.8500000000004</v>
      </c>
      <c r="R281" s="14">
        <v>3107.03</v>
      </c>
      <c r="S281" s="12" t="s">
        <v>46</v>
      </c>
      <c r="T281" s="12" t="s">
        <v>54</v>
      </c>
      <c r="U281" s="12">
        <v>4</v>
      </c>
      <c r="V281" s="12" t="s">
        <v>55</v>
      </c>
    </row>
    <row r="282" spans="1:22" x14ac:dyDescent="0.3">
      <c r="A282" s="8" t="s">
        <v>627</v>
      </c>
      <c r="B282" s="9">
        <v>45827</v>
      </c>
      <c r="C282" s="8" t="s">
        <v>48</v>
      </c>
      <c r="D282" s="8" t="s">
        <v>49</v>
      </c>
      <c r="E282" s="8" t="s">
        <v>39</v>
      </c>
      <c r="F282" s="8" t="s">
        <v>439</v>
      </c>
      <c r="G282" s="8" t="s">
        <v>41</v>
      </c>
      <c r="H282" s="8" t="s">
        <v>42</v>
      </c>
      <c r="I282" s="8" t="s">
        <v>61</v>
      </c>
      <c r="J282" s="8" t="s">
        <v>69</v>
      </c>
      <c r="K282" s="8" t="s">
        <v>70</v>
      </c>
      <c r="L282" s="8" t="s">
        <v>175</v>
      </c>
      <c r="M282" s="8">
        <v>2</v>
      </c>
      <c r="N282" s="10">
        <v>925.73</v>
      </c>
      <c r="O282" s="11">
        <v>0.05</v>
      </c>
      <c r="P282" s="10">
        <v>1758.89</v>
      </c>
      <c r="Q282" s="10">
        <v>889.2</v>
      </c>
      <c r="R282" s="10">
        <v>869.69</v>
      </c>
      <c r="S282" s="8" t="s">
        <v>46</v>
      </c>
      <c r="T282" s="8" t="s">
        <v>54</v>
      </c>
      <c r="U282" s="8">
        <v>3</v>
      </c>
      <c r="V282" s="8" t="s">
        <v>157</v>
      </c>
    </row>
    <row r="283" spans="1:22" x14ac:dyDescent="0.3">
      <c r="A283" s="12" t="s">
        <v>628</v>
      </c>
      <c r="B283" s="13">
        <v>45975</v>
      </c>
      <c r="C283" s="12" t="s">
        <v>125</v>
      </c>
      <c r="D283" s="12" t="s">
        <v>126</v>
      </c>
      <c r="E283" s="12" t="s">
        <v>25</v>
      </c>
      <c r="F283" s="12" t="s">
        <v>629</v>
      </c>
      <c r="G283" s="12" t="s">
        <v>41</v>
      </c>
      <c r="H283" s="12" t="s">
        <v>28</v>
      </c>
      <c r="I283" s="12" t="s">
        <v>68</v>
      </c>
      <c r="J283" s="12" t="s">
        <v>30</v>
      </c>
      <c r="K283" s="12" t="s">
        <v>31</v>
      </c>
      <c r="L283" s="12" t="s">
        <v>91</v>
      </c>
      <c r="M283" s="12">
        <v>2</v>
      </c>
      <c r="N283" s="14">
        <v>4135.46</v>
      </c>
      <c r="O283" s="15">
        <v>0.25</v>
      </c>
      <c r="P283" s="14">
        <v>6203.19</v>
      </c>
      <c r="Q283" s="14">
        <v>4381.8599999999997</v>
      </c>
      <c r="R283" s="14">
        <v>1821.33</v>
      </c>
      <c r="S283" s="12" t="s">
        <v>63</v>
      </c>
      <c r="T283" s="12" t="s">
        <v>71</v>
      </c>
      <c r="U283" s="12">
        <v>4</v>
      </c>
      <c r="V283" s="12" t="s">
        <v>65</v>
      </c>
    </row>
    <row r="284" spans="1:22" x14ac:dyDescent="0.3">
      <c r="A284" s="8" t="s">
        <v>630</v>
      </c>
      <c r="B284" s="9">
        <v>45805</v>
      </c>
      <c r="C284" s="8" t="s">
        <v>37</v>
      </c>
      <c r="D284" s="8" t="s">
        <v>38</v>
      </c>
      <c r="E284" s="8" t="s">
        <v>39</v>
      </c>
      <c r="F284" s="8" t="s">
        <v>631</v>
      </c>
      <c r="G284" s="8" t="s">
        <v>41</v>
      </c>
      <c r="H284" s="8" t="s">
        <v>94</v>
      </c>
      <c r="I284" s="8" t="s">
        <v>68</v>
      </c>
      <c r="J284" s="8" t="s">
        <v>69</v>
      </c>
      <c r="K284" s="8" t="s">
        <v>70</v>
      </c>
      <c r="L284" s="8" t="s">
        <v>77</v>
      </c>
      <c r="M284" s="8">
        <v>4</v>
      </c>
      <c r="N284" s="10">
        <v>930.36</v>
      </c>
      <c r="O284" s="11">
        <v>0</v>
      </c>
      <c r="P284" s="10">
        <v>3721.44</v>
      </c>
      <c r="Q284" s="10">
        <v>1788.03</v>
      </c>
      <c r="R284" s="10">
        <v>1933.41</v>
      </c>
      <c r="S284" s="8" t="s">
        <v>83</v>
      </c>
      <c r="T284" s="8" t="s">
        <v>119</v>
      </c>
      <c r="U284" s="8">
        <v>5</v>
      </c>
      <c r="V284" s="8" t="s">
        <v>134</v>
      </c>
    </row>
    <row r="285" spans="1:22" x14ac:dyDescent="0.3">
      <c r="A285" s="12" t="s">
        <v>632</v>
      </c>
      <c r="B285" s="13">
        <v>45842</v>
      </c>
      <c r="C285" s="12" t="s">
        <v>23</v>
      </c>
      <c r="D285" s="12" t="s">
        <v>24</v>
      </c>
      <c r="E285" s="12" t="s">
        <v>25</v>
      </c>
      <c r="F285" s="12" t="s">
        <v>153</v>
      </c>
      <c r="G285" s="12" t="s">
        <v>41</v>
      </c>
      <c r="H285" s="12" t="s">
        <v>28</v>
      </c>
      <c r="I285" s="12" t="s">
        <v>61</v>
      </c>
      <c r="J285" s="12" t="s">
        <v>89</v>
      </c>
      <c r="K285" s="12" t="s">
        <v>90</v>
      </c>
      <c r="L285" s="12" t="s">
        <v>91</v>
      </c>
      <c r="M285" s="12">
        <v>4</v>
      </c>
      <c r="N285" s="14">
        <v>3665.65</v>
      </c>
      <c r="O285" s="15">
        <v>0.25</v>
      </c>
      <c r="P285" s="14">
        <v>10996.95</v>
      </c>
      <c r="Q285" s="14">
        <v>8606.09</v>
      </c>
      <c r="R285" s="14">
        <v>2390.86</v>
      </c>
      <c r="S285" s="12" t="s">
        <v>53</v>
      </c>
      <c r="T285" s="12" t="s">
        <v>54</v>
      </c>
      <c r="U285" s="12">
        <v>5</v>
      </c>
      <c r="V285" s="12" t="s">
        <v>120</v>
      </c>
    </row>
    <row r="286" spans="1:22" x14ac:dyDescent="0.3">
      <c r="A286" s="8" t="s">
        <v>633</v>
      </c>
      <c r="B286" s="9">
        <v>46009</v>
      </c>
      <c r="C286" s="8" t="s">
        <v>98</v>
      </c>
      <c r="D286" s="8" t="s">
        <v>99</v>
      </c>
      <c r="E286" s="8" t="s">
        <v>25</v>
      </c>
      <c r="F286" s="8" t="s">
        <v>634</v>
      </c>
      <c r="G286" s="8" t="s">
        <v>27</v>
      </c>
      <c r="H286" s="8" t="s">
        <v>28</v>
      </c>
      <c r="I286" s="8" t="s">
        <v>61</v>
      </c>
      <c r="J286" s="8" t="s">
        <v>30</v>
      </c>
      <c r="K286" s="8" t="s">
        <v>62</v>
      </c>
      <c r="L286" s="8" t="s">
        <v>45</v>
      </c>
      <c r="M286" s="8">
        <v>2</v>
      </c>
      <c r="N286" s="10">
        <v>990.55</v>
      </c>
      <c r="O286" s="11">
        <v>0.25</v>
      </c>
      <c r="P286" s="10">
        <v>1485.82</v>
      </c>
      <c r="Q286" s="10">
        <v>863.95</v>
      </c>
      <c r="R286" s="10">
        <v>621.87</v>
      </c>
      <c r="S286" s="8" t="s">
        <v>33</v>
      </c>
      <c r="T286" s="8" t="s">
        <v>111</v>
      </c>
      <c r="U286" s="8">
        <v>4</v>
      </c>
      <c r="V286" s="8" t="s">
        <v>35</v>
      </c>
    </row>
    <row r="287" spans="1:22" x14ac:dyDescent="0.3">
      <c r="A287" s="12" t="s">
        <v>635</v>
      </c>
      <c r="B287" s="13">
        <v>45845</v>
      </c>
      <c r="C287" s="12" t="s">
        <v>23</v>
      </c>
      <c r="D287" s="12" t="s">
        <v>24</v>
      </c>
      <c r="E287" s="12" t="s">
        <v>25</v>
      </c>
      <c r="F287" s="12" t="s">
        <v>636</v>
      </c>
      <c r="G287" s="12" t="s">
        <v>27</v>
      </c>
      <c r="H287" s="12" t="s">
        <v>28</v>
      </c>
      <c r="I287" s="12" t="s">
        <v>68</v>
      </c>
      <c r="J287" s="12" t="s">
        <v>101</v>
      </c>
      <c r="K287" s="12" t="s">
        <v>102</v>
      </c>
      <c r="L287" s="12" t="s">
        <v>32</v>
      </c>
      <c r="M287" s="12">
        <v>3</v>
      </c>
      <c r="N287" s="14">
        <v>687.3</v>
      </c>
      <c r="O287" s="15">
        <v>0.2</v>
      </c>
      <c r="P287" s="14">
        <v>1649.52</v>
      </c>
      <c r="Q287" s="14">
        <v>729.05</v>
      </c>
      <c r="R287" s="14">
        <v>920.47</v>
      </c>
      <c r="S287" s="12" t="s">
        <v>46</v>
      </c>
      <c r="T287" s="12" t="s">
        <v>119</v>
      </c>
      <c r="U287" s="12">
        <v>3</v>
      </c>
      <c r="V287" s="12" t="s">
        <v>120</v>
      </c>
    </row>
    <row r="288" spans="1:22" x14ac:dyDescent="0.3">
      <c r="A288" s="8" t="s">
        <v>637</v>
      </c>
      <c r="B288" s="9">
        <v>45915</v>
      </c>
      <c r="C288" s="8" t="s">
        <v>98</v>
      </c>
      <c r="D288" s="8" t="s">
        <v>99</v>
      </c>
      <c r="E288" s="8" t="s">
        <v>25</v>
      </c>
      <c r="F288" s="8" t="s">
        <v>638</v>
      </c>
      <c r="G288" s="8" t="s">
        <v>41</v>
      </c>
      <c r="H288" s="8" t="s">
        <v>81</v>
      </c>
      <c r="I288" s="8" t="s">
        <v>61</v>
      </c>
      <c r="J288" s="8" t="s">
        <v>89</v>
      </c>
      <c r="K288" s="8" t="s">
        <v>90</v>
      </c>
      <c r="L288" s="8" t="s">
        <v>52</v>
      </c>
      <c r="M288" s="8">
        <v>3</v>
      </c>
      <c r="N288" s="10">
        <v>3383.78</v>
      </c>
      <c r="O288" s="11">
        <v>0.1</v>
      </c>
      <c r="P288" s="10">
        <v>9136.2099999999991</v>
      </c>
      <c r="Q288" s="10">
        <v>6052.56</v>
      </c>
      <c r="R288" s="10">
        <v>3083.65</v>
      </c>
      <c r="S288" s="8" t="s">
        <v>83</v>
      </c>
      <c r="T288" s="8" t="s">
        <v>147</v>
      </c>
      <c r="U288" s="8">
        <v>4</v>
      </c>
      <c r="V288" s="8" t="s">
        <v>116</v>
      </c>
    </row>
    <row r="289" spans="1:22" x14ac:dyDescent="0.3">
      <c r="A289" s="12" t="s">
        <v>639</v>
      </c>
      <c r="B289" s="13">
        <v>45828</v>
      </c>
      <c r="C289" s="12" t="s">
        <v>98</v>
      </c>
      <c r="D289" s="12" t="s">
        <v>99</v>
      </c>
      <c r="E289" s="12" t="s">
        <v>25</v>
      </c>
      <c r="F289" s="12" t="s">
        <v>640</v>
      </c>
      <c r="G289" s="12" t="s">
        <v>41</v>
      </c>
      <c r="H289" s="12" t="s">
        <v>42</v>
      </c>
      <c r="I289" s="12" t="s">
        <v>29</v>
      </c>
      <c r="J289" s="12" t="s">
        <v>75</v>
      </c>
      <c r="K289" s="12" t="s">
        <v>95</v>
      </c>
      <c r="L289" s="12" t="s">
        <v>103</v>
      </c>
      <c r="M289" s="12">
        <v>4</v>
      </c>
      <c r="N289" s="14">
        <v>24859.13</v>
      </c>
      <c r="O289" s="15">
        <v>0.1</v>
      </c>
      <c r="P289" s="14">
        <v>89492.87</v>
      </c>
      <c r="Q289" s="14">
        <v>68521.789999999994</v>
      </c>
      <c r="R289" s="14">
        <v>20971.080000000002</v>
      </c>
      <c r="S289" s="12" t="s">
        <v>46</v>
      </c>
      <c r="T289" s="12" t="s">
        <v>111</v>
      </c>
      <c r="U289" s="12">
        <v>5</v>
      </c>
      <c r="V289" s="12" t="s">
        <v>157</v>
      </c>
    </row>
    <row r="290" spans="1:22" x14ac:dyDescent="0.3">
      <c r="A290" s="8" t="s">
        <v>641</v>
      </c>
      <c r="B290" s="9">
        <v>45989</v>
      </c>
      <c r="C290" s="8" t="s">
        <v>37</v>
      </c>
      <c r="D290" s="8" t="s">
        <v>38</v>
      </c>
      <c r="E290" s="8" t="s">
        <v>39</v>
      </c>
      <c r="F290" s="8" t="s">
        <v>267</v>
      </c>
      <c r="G290" s="8" t="s">
        <v>41</v>
      </c>
      <c r="H290" s="8" t="s">
        <v>94</v>
      </c>
      <c r="I290" s="8" t="s">
        <v>68</v>
      </c>
      <c r="J290" s="8" t="s">
        <v>69</v>
      </c>
      <c r="K290" s="8" t="s">
        <v>137</v>
      </c>
      <c r="L290" s="8" t="s">
        <v>52</v>
      </c>
      <c r="M290" s="8">
        <v>2</v>
      </c>
      <c r="N290" s="10">
        <v>511.78</v>
      </c>
      <c r="O290" s="11">
        <v>0.05</v>
      </c>
      <c r="P290" s="10">
        <v>972.38</v>
      </c>
      <c r="Q290" s="10">
        <v>425.94</v>
      </c>
      <c r="R290" s="10">
        <v>546.44000000000005</v>
      </c>
      <c r="S290" s="8" t="s">
        <v>63</v>
      </c>
      <c r="T290" s="8" t="s">
        <v>119</v>
      </c>
      <c r="U290" s="8">
        <v>3</v>
      </c>
      <c r="V290" s="8" t="s">
        <v>65</v>
      </c>
    </row>
    <row r="291" spans="1:22" x14ac:dyDescent="0.3">
      <c r="A291" s="12" t="s">
        <v>642</v>
      </c>
      <c r="B291" s="13">
        <v>45763</v>
      </c>
      <c r="C291" s="12" t="s">
        <v>113</v>
      </c>
      <c r="D291" s="12" t="s">
        <v>114</v>
      </c>
      <c r="E291" s="12" t="s">
        <v>59</v>
      </c>
      <c r="F291" s="12" t="s">
        <v>643</v>
      </c>
      <c r="G291" s="12" t="s">
        <v>27</v>
      </c>
      <c r="H291" s="12" t="s">
        <v>42</v>
      </c>
      <c r="I291" s="12" t="s">
        <v>68</v>
      </c>
      <c r="J291" s="12" t="s">
        <v>30</v>
      </c>
      <c r="K291" s="12" t="s">
        <v>144</v>
      </c>
      <c r="L291" s="12" t="s">
        <v>175</v>
      </c>
      <c r="M291" s="12">
        <v>2</v>
      </c>
      <c r="N291" s="14">
        <v>2425.38</v>
      </c>
      <c r="O291" s="15">
        <v>0.2</v>
      </c>
      <c r="P291" s="14">
        <v>3880.61</v>
      </c>
      <c r="Q291" s="14">
        <v>3042.35</v>
      </c>
      <c r="R291" s="14">
        <v>838.26</v>
      </c>
      <c r="S291" s="12" t="s">
        <v>33</v>
      </c>
      <c r="T291" s="12" t="s">
        <v>64</v>
      </c>
      <c r="U291" s="12">
        <v>3</v>
      </c>
      <c r="V291" s="12" t="s">
        <v>96</v>
      </c>
    </row>
    <row r="292" spans="1:22" x14ac:dyDescent="0.3">
      <c r="A292" s="8" t="s">
        <v>644</v>
      </c>
      <c r="B292" s="9">
        <v>45983</v>
      </c>
      <c r="C292" s="8" t="s">
        <v>86</v>
      </c>
      <c r="D292" s="8" t="s">
        <v>87</v>
      </c>
      <c r="E292" s="8" t="s">
        <v>59</v>
      </c>
      <c r="F292" s="8" t="s">
        <v>645</v>
      </c>
      <c r="G292" s="8" t="s">
        <v>41</v>
      </c>
      <c r="H292" s="8" t="s">
        <v>94</v>
      </c>
      <c r="I292" s="8" t="s">
        <v>29</v>
      </c>
      <c r="J292" s="8" t="s">
        <v>75</v>
      </c>
      <c r="K292" s="8" t="s">
        <v>95</v>
      </c>
      <c r="L292" s="8" t="s">
        <v>175</v>
      </c>
      <c r="M292" s="8">
        <v>3</v>
      </c>
      <c r="N292" s="10">
        <v>25164.52</v>
      </c>
      <c r="O292" s="11">
        <v>0.1</v>
      </c>
      <c r="P292" s="10">
        <v>67944.2</v>
      </c>
      <c r="Q292" s="10">
        <v>55480.41</v>
      </c>
      <c r="R292" s="10">
        <v>12463.79</v>
      </c>
      <c r="S292" s="8" t="s">
        <v>83</v>
      </c>
      <c r="T292" s="8" t="s">
        <v>64</v>
      </c>
      <c r="U292" s="8">
        <v>5</v>
      </c>
      <c r="V292" s="8" t="s">
        <v>65</v>
      </c>
    </row>
    <row r="293" spans="1:22" x14ac:dyDescent="0.3">
      <c r="A293" s="12" t="s">
        <v>646</v>
      </c>
      <c r="B293" s="13">
        <v>45660</v>
      </c>
      <c r="C293" s="12" t="s">
        <v>98</v>
      </c>
      <c r="D293" s="12" t="s">
        <v>99</v>
      </c>
      <c r="E293" s="12" t="s">
        <v>25</v>
      </c>
      <c r="F293" s="12" t="s">
        <v>647</v>
      </c>
      <c r="G293" s="12" t="s">
        <v>41</v>
      </c>
      <c r="H293" s="12" t="s">
        <v>81</v>
      </c>
      <c r="I293" s="12" t="s">
        <v>61</v>
      </c>
      <c r="J293" s="12" t="s">
        <v>101</v>
      </c>
      <c r="K293" s="12" t="s">
        <v>110</v>
      </c>
      <c r="L293" s="12" t="s">
        <v>91</v>
      </c>
      <c r="M293" s="12">
        <v>1</v>
      </c>
      <c r="N293" s="14">
        <v>5225.4799999999996</v>
      </c>
      <c r="O293" s="15">
        <v>0.15</v>
      </c>
      <c r="P293" s="14">
        <v>4441.66</v>
      </c>
      <c r="Q293" s="14">
        <v>3281.12</v>
      </c>
      <c r="R293" s="14">
        <v>1160.54</v>
      </c>
      <c r="S293" s="12" t="s">
        <v>33</v>
      </c>
      <c r="T293" s="12" t="s">
        <v>34</v>
      </c>
      <c r="U293" s="12">
        <v>4</v>
      </c>
      <c r="V293" s="12" t="s">
        <v>84</v>
      </c>
    </row>
    <row r="294" spans="1:22" x14ac:dyDescent="0.3">
      <c r="A294" s="8" t="s">
        <v>648</v>
      </c>
      <c r="B294" s="9">
        <v>45787</v>
      </c>
      <c r="C294" s="8" t="s">
        <v>57</v>
      </c>
      <c r="D294" s="8" t="s">
        <v>58</v>
      </c>
      <c r="E294" s="8" t="s">
        <v>59</v>
      </c>
      <c r="F294" s="8" t="s">
        <v>344</v>
      </c>
      <c r="G294" s="8" t="s">
        <v>27</v>
      </c>
      <c r="H294" s="8" t="s">
        <v>28</v>
      </c>
      <c r="I294" s="8" t="s">
        <v>29</v>
      </c>
      <c r="J294" s="8" t="s">
        <v>30</v>
      </c>
      <c r="K294" s="8" t="s">
        <v>144</v>
      </c>
      <c r="L294" s="8" t="s">
        <v>52</v>
      </c>
      <c r="M294" s="8">
        <v>5</v>
      </c>
      <c r="N294" s="10">
        <v>2405.1799999999998</v>
      </c>
      <c r="O294" s="11">
        <v>0.05</v>
      </c>
      <c r="P294" s="10">
        <v>11424.6</v>
      </c>
      <c r="Q294" s="10">
        <v>7249.16</v>
      </c>
      <c r="R294" s="10">
        <v>4175.4399999999996</v>
      </c>
      <c r="S294" s="8" t="s">
        <v>33</v>
      </c>
      <c r="T294" s="8" t="s">
        <v>156</v>
      </c>
      <c r="U294" s="8">
        <v>5</v>
      </c>
      <c r="V294" s="8" t="s">
        <v>134</v>
      </c>
    </row>
    <row r="295" spans="1:22" x14ac:dyDescent="0.3">
      <c r="A295" s="12" t="s">
        <v>649</v>
      </c>
      <c r="B295" s="13">
        <v>45824</v>
      </c>
      <c r="C295" s="12" t="s">
        <v>98</v>
      </c>
      <c r="D295" s="12" t="s">
        <v>99</v>
      </c>
      <c r="E295" s="12" t="s">
        <v>25</v>
      </c>
      <c r="F295" s="12" t="s">
        <v>202</v>
      </c>
      <c r="G295" s="12" t="s">
        <v>41</v>
      </c>
      <c r="H295" s="12" t="s">
        <v>81</v>
      </c>
      <c r="I295" s="12" t="s">
        <v>68</v>
      </c>
      <c r="J295" s="12" t="s">
        <v>43</v>
      </c>
      <c r="K295" s="12" t="s">
        <v>51</v>
      </c>
      <c r="L295" s="12" t="s">
        <v>45</v>
      </c>
      <c r="M295" s="12">
        <v>5</v>
      </c>
      <c r="N295" s="14">
        <v>1491.29</v>
      </c>
      <c r="O295" s="15">
        <v>0.1</v>
      </c>
      <c r="P295" s="14">
        <v>6710.81</v>
      </c>
      <c r="Q295" s="14">
        <v>3449.32</v>
      </c>
      <c r="R295" s="14">
        <v>3261.49</v>
      </c>
      <c r="S295" s="12" t="s">
        <v>33</v>
      </c>
      <c r="T295" s="12" t="s">
        <v>111</v>
      </c>
      <c r="U295" s="12">
        <v>3</v>
      </c>
      <c r="V295" s="12" t="s">
        <v>157</v>
      </c>
    </row>
    <row r="296" spans="1:22" x14ac:dyDescent="0.3">
      <c r="A296" s="8" t="s">
        <v>650</v>
      </c>
      <c r="B296" s="9">
        <v>45806</v>
      </c>
      <c r="C296" s="8" t="s">
        <v>48</v>
      </c>
      <c r="D296" s="8" t="s">
        <v>49</v>
      </c>
      <c r="E296" s="8" t="s">
        <v>39</v>
      </c>
      <c r="F296" s="8" t="s">
        <v>651</v>
      </c>
      <c r="G296" s="8" t="s">
        <v>41</v>
      </c>
      <c r="H296" s="8" t="s">
        <v>28</v>
      </c>
      <c r="I296" s="8" t="s">
        <v>61</v>
      </c>
      <c r="J296" s="8" t="s">
        <v>101</v>
      </c>
      <c r="K296" s="8" t="s">
        <v>110</v>
      </c>
      <c r="L296" s="8" t="s">
        <v>77</v>
      </c>
      <c r="M296" s="8">
        <v>1</v>
      </c>
      <c r="N296" s="10">
        <v>5131.58</v>
      </c>
      <c r="O296" s="11">
        <v>0.05</v>
      </c>
      <c r="P296" s="10">
        <v>4875</v>
      </c>
      <c r="Q296" s="10">
        <v>3229.78</v>
      </c>
      <c r="R296" s="10">
        <v>1645.22</v>
      </c>
      <c r="S296" s="8" t="s">
        <v>33</v>
      </c>
      <c r="T296" s="8" t="s">
        <v>104</v>
      </c>
      <c r="U296" s="8">
        <v>5</v>
      </c>
      <c r="V296" s="8" t="s">
        <v>134</v>
      </c>
    </row>
    <row r="297" spans="1:22" x14ac:dyDescent="0.3">
      <c r="A297" s="12" t="s">
        <v>652</v>
      </c>
      <c r="B297" s="13">
        <v>45877</v>
      </c>
      <c r="C297" s="12" t="s">
        <v>107</v>
      </c>
      <c r="D297" s="12" t="s">
        <v>108</v>
      </c>
      <c r="E297" s="12" t="s">
        <v>39</v>
      </c>
      <c r="F297" s="12" t="s">
        <v>653</v>
      </c>
      <c r="G297" s="12" t="s">
        <v>27</v>
      </c>
      <c r="H297" s="12" t="s">
        <v>81</v>
      </c>
      <c r="I297" s="12" t="s">
        <v>29</v>
      </c>
      <c r="J297" s="12" t="s">
        <v>43</v>
      </c>
      <c r="K297" s="12" t="s">
        <v>51</v>
      </c>
      <c r="L297" s="12" t="s">
        <v>45</v>
      </c>
      <c r="M297" s="12">
        <v>3</v>
      </c>
      <c r="N297" s="14">
        <v>1519.34</v>
      </c>
      <c r="O297" s="15">
        <v>0.3</v>
      </c>
      <c r="P297" s="14">
        <v>3190.61</v>
      </c>
      <c r="Q297" s="14">
        <v>2075.7399999999998</v>
      </c>
      <c r="R297" s="14">
        <v>1114.8699999999999</v>
      </c>
      <c r="S297" s="12" t="s">
        <v>33</v>
      </c>
      <c r="T297" s="12" t="s">
        <v>64</v>
      </c>
      <c r="U297" s="12">
        <v>5</v>
      </c>
      <c r="V297" s="12" t="s">
        <v>72</v>
      </c>
    </row>
    <row r="298" spans="1:22" x14ac:dyDescent="0.3">
      <c r="A298" s="8" t="s">
        <v>654</v>
      </c>
      <c r="B298" s="9">
        <v>45798</v>
      </c>
      <c r="C298" s="8" t="s">
        <v>48</v>
      </c>
      <c r="D298" s="8" t="s">
        <v>49</v>
      </c>
      <c r="E298" s="8" t="s">
        <v>39</v>
      </c>
      <c r="F298" s="8" t="s">
        <v>470</v>
      </c>
      <c r="G298" s="8" t="s">
        <v>41</v>
      </c>
      <c r="H298" s="8" t="s">
        <v>28</v>
      </c>
      <c r="I298" s="8" t="s">
        <v>68</v>
      </c>
      <c r="J298" s="8" t="s">
        <v>89</v>
      </c>
      <c r="K298" s="8" t="s">
        <v>151</v>
      </c>
      <c r="L298" s="8" t="s">
        <v>32</v>
      </c>
      <c r="M298" s="8">
        <v>2</v>
      </c>
      <c r="N298" s="10">
        <v>996.78</v>
      </c>
      <c r="O298" s="11">
        <v>0</v>
      </c>
      <c r="P298" s="10">
        <v>1993.56</v>
      </c>
      <c r="Q298" s="10">
        <v>1026.74</v>
      </c>
      <c r="R298" s="10">
        <v>966.82</v>
      </c>
      <c r="S298" s="8" t="s">
        <v>83</v>
      </c>
      <c r="T298" s="8" t="s">
        <v>147</v>
      </c>
      <c r="U298" s="8">
        <v>5</v>
      </c>
      <c r="V298" s="8" t="s">
        <v>134</v>
      </c>
    </row>
    <row r="299" spans="1:22" x14ac:dyDescent="0.3">
      <c r="A299" s="12" t="s">
        <v>655</v>
      </c>
      <c r="B299" s="13">
        <v>46009</v>
      </c>
      <c r="C299" s="12" t="s">
        <v>23</v>
      </c>
      <c r="D299" s="12" t="s">
        <v>24</v>
      </c>
      <c r="E299" s="12" t="s">
        <v>25</v>
      </c>
      <c r="F299" s="12" t="s">
        <v>656</v>
      </c>
      <c r="G299" s="12" t="s">
        <v>27</v>
      </c>
      <c r="H299" s="12" t="s">
        <v>94</v>
      </c>
      <c r="I299" s="12" t="s">
        <v>29</v>
      </c>
      <c r="J299" s="12" t="s">
        <v>69</v>
      </c>
      <c r="K299" s="12" t="s">
        <v>70</v>
      </c>
      <c r="L299" s="12" t="s">
        <v>45</v>
      </c>
      <c r="M299" s="12">
        <v>2</v>
      </c>
      <c r="N299" s="14">
        <v>893.11</v>
      </c>
      <c r="O299" s="15">
        <v>0.1</v>
      </c>
      <c r="P299" s="14">
        <v>1607.6</v>
      </c>
      <c r="Q299" s="14">
        <v>865.09</v>
      </c>
      <c r="R299" s="14">
        <v>742.51</v>
      </c>
      <c r="S299" s="12" t="s">
        <v>63</v>
      </c>
      <c r="T299" s="12" t="s">
        <v>111</v>
      </c>
      <c r="U299" s="12">
        <v>5</v>
      </c>
      <c r="V299" s="12" t="s">
        <v>35</v>
      </c>
    </row>
    <row r="300" spans="1:22" x14ac:dyDescent="0.3">
      <c r="A300" s="8" t="s">
        <v>657</v>
      </c>
      <c r="B300" s="9">
        <v>45744</v>
      </c>
      <c r="C300" s="8" t="s">
        <v>48</v>
      </c>
      <c r="D300" s="8" t="s">
        <v>49</v>
      </c>
      <c r="E300" s="8" t="s">
        <v>39</v>
      </c>
      <c r="F300" s="8" t="s">
        <v>658</v>
      </c>
      <c r="G300" s="8" t="s">
        <v>27</v>
      </c>
      <c r="H300" s="8" t="s">
        <v>81</v>
      </c>
      <c r="I300" s="8" t="s">
        <v>68</v>
      </c>
      <c r="J300" s="8" t="s">
        <v>89</v>
      </c>
      <c r="K300" s="8" t="s">
        <v>89</v>
      </c>
      <c r="L300" s="8" t="s">
        <v>82</v>
      </c>
      <c r="M300" s="8">
        <v>2</v>
      </c>
      <c r="N300" s="10">
        <v>1291.92</v>
      </c>
      <c r="O300" s="11">
        <v>0.1</v>
      </c>
      <c r="P300" s="10">
        <v>2325.46</v>
      </c>
      <c r="Q300" s="10">
        <v>1435.73</v>
      </c>
      <c r="R300" s="10">
        <v>889.73</v>
      </c>
      <c r="S300" s="8" t="s">
        <v>53</v>
      </c>
      <c r="T300" s="8" t="s">
        <v>64</v>
      </c>
      <c r="U300" s="8">
        <v>5</v>
      </c>
      <c r="V300" s="8" t="s">
        <v>55</v>
      </c>
    </row>
    <row r="301" spans="1:22" x14ac:dyDescent="0.3">
      <c r="A301" s="12" t="s">
        <v>659</v>
      </c>
      <c r="B301" s="13">
        <v>46005</v>
      </c>
      <c r="C301" s="12" t="s">
        <v>57</v>
      </c>
      <c r="D301" s="12" t="s">
        <v>58</v>
      </c>
      <c r="E301" s="12" t="s">
        <v>59</v>
      </c>
      <c r="F301" s="12" t="s">
        <v>660</v>
      </c>
      <c r="G301" s="12" t="s">
        <v>41</v>
      </c>
      <c r="H301" s="12" t="s">
        <v>94</v>
      </c>
      <c r="I301" s="12" t="s">
        <v>29</v>
      </c>
      <c r="J301" s="12" t="s">
        <v>69</v>
      </c>
      <c r="K301" s="12" t="s">
        <v>70</v>
      </c>
      <c r="L301" s="12" t="s">
        <v>103</v>
      </c>
      <c r="M301" s="12">
        <v>2</v>
      </c>
      <c r="N301" s="14">
        <v>920.72</v>
      </c>
      <c r="O301" s="15">
        <v>0</v>
      </c>
      <c r="P301" s="14">
        <v>1841.44</v>
      </c>
      <c r="Q301" s="14">
        <v>938.23</v>
      </c>
      <c r="R301" s="14">
        <v>903.21</v>
      </c>
      <c r="S301" s="12" t="s">
        <v>46</v>
      </c>
      <c r="T301" s="12" t="s">
        <v>71</v>
      </c>
      <c r="U301" s="12">
        <v>4</v>
      </c>
      <c r="V301" s="12" t="s">
        <v>35</v>
      </c>
    </row>
    <row r="302" spans="1:22" x14ac:dyDescent="0.3">
      <c r="A302" s="8" t="s">
        <v>661</v>
      </c>
      <c r="B302" s="9">
        <v>45808</v>
      </c>
      <c r="C302" s="8" t="s">
        <v>125</v>
      </c>
      <c r="D302" s="8" t="s">
        <v>126</v>
      </c>
      <c r="E302" s="8" t="s">
        <v>25</v>
      </c>
      <c r="F302" s="8" t="s">
        <v>662</v>
      </c>
      <c r="G302" s="8" t="s">
        <v>27</v>
      </c>
      <c r="H302" s="8" t="s">
        <v>94</v>
      </c>
      <c r="I302" s="8" t="s">
        <v>61</v>
      </c>
      <c r="J302" s="8" t="s">
        <v>30</v>
      </c>
      <c r="K302" s="8" t="s">
        <v>144</v>
      </c>
      <c r="L302" s="8" t="s">
        <v>32</v>
      </c>
      <c r="M302" s="8">
        <v>2</v>
      </c>
      <c r="N302" s="10">
        <v>2610.5</v>
      </c>
      <c r="O302" s="11">
        <v>0.05</v>
      </c>
      <c r="P302" s="10">
        <v>4959.95</v>
      </c>
      <c r="Q302" s="10">
        <v>3078.02</v>
      </c>
      <c r="R302" s="10">
        <v>1881.93</v>
      </c>
      <c r="S302" s="8" t="s">
        <v>83</v>
      </c>
      <c r="T302" s="8" t="s">
        <v>119</v>
      </c>
      <c r="U302" s="8">
        <v>4</v>
      </c>
      <c r="V302" s="8" t="s">
        <v>134</v>
      </c>
    </row>
    <row r="303" spans="1:22" x14ac:dyDescent="0.3">
      <c r="A303" s="12" t="s">
        <v>663</v>
      </c>
      <c r="B303" s="13">
        <v>45919</v>
      </c>
      <c r="C303" s="12" t="s">
        <v>131</v>
      </c>
      <c r="D303" s="12" t="s">
        <v>132</v>
      </c>
      <c r="E303" s="12" t="s">
        <v>25</v>
      </c>
      <c r="F303" s="12" t="s">
        <v>664</v>
      </c>
      <c r="G303" s="12" t="s">
        <v>41</v>
      </c>
      <c r="H303" s="12" t="s">
        <v>81</v>
      </c>
      <c r="I303" s="12" t="s">
        <v>29</v>
      </c>
      <c r="J303" s="12" t="s">
        <v>75</v>
      </c>
      <c r="K303" s="12" t="s">
        <v>76</v>
      </c>
      <c r="L303" s="12" t="s">
        <v>91</v>
      </c>
      <c r="M303" s="12">
        <v>4</v>
      </c>
      <c r="N303" s="14">
        <v>803.53</v>
      </c>
      <c r="O303" s="15">
        <v>0.3</v>
      </c>
      <c r="P303" s="14">
        <v>2249.88</v>
      </c>
      <c r="Q303" s="14">
        <v>1330.05</v>
      </c>
      <c r="R303" s="14">
        <v>919.83</v>
      </c>
      <c r="S303" s="12" t="s">
        <v>46</v>
      </c>
      <c r="T303" s="12" t="s">
        <v>54</v>
      </c>
      <c r="U303" s="12">
        <v>5</v>
      </c>
      <c r="V303" s="12" t="s">
        <v>116</v>
      </c>
    </row>
    <row r="304" spans="1:22" x14ac:dyDescent="0.3">
      <c r="A304" s="8" t="s">
        <v>665</v>
      </c>
      <c r="B304" s="9">
        <v>45817</v>
      </c>
      <c r="C304" s="8" t="s">
        <v>37</v>
      </c>
      <c r="D304" s="8" t="s">
        <v>38</v>
      </c>
      <c r="E304" s="8" t="s">
        <v>39</v>
      </c>
      <c r="F304" s="8" t="s">
        <v>666</v>
      </c>
      <c r="G304" s="8" t="s">
        <v>41</v>
      </c>
      <c r="H304" s="8" t="s">
        <v>42</v>
      </c>
      <c r="I304" s="8" t="s">
        <v>61</v>
      </c>
      <c r="J304" s="8" t="s">
        <v>75</v>
      </c>
      <c r="K304" s="8" t="s">
        <v>95</v>
      </c>
      <c r="L304" s="8" t="s">
        <v>103</v>
      </c>
      <c r="M304" s="8">
        <v>4</v>
      </c>
      <c r="N304" s="10">
        <v>26045.88</v>
      </c>
      <c r="O304" s="11">
        <v>0.2</v>
      </c>
      <c r="P304" s="10">
        <v>83346.820000000007</v>
      </c>
      <c r="Q304" s="10">
        <v>74694.149999999994</v>
      </c>
      <c r="R304" s="10">
        <v>8652.67</v>
      </c>
      <c r="S304" s="8" t="s">
        <v>63</v>
      </c>
      <c r="T304" s="8" t="s">
        <v>119</v>
      </c>
      <c r="U304" s="8">
        <v>3</v>
      </c>
      <c r="V304" s="8" t="s">
        <v>157</v>
      </c>
    </row>
    <row r="305" spans="1:22" x14ac:dyDescent="0.3">
      <c r="A305" s="12" t="s">
        <v>667</v>
      </c>
      <c r="B305" s="13">
        <v>45927</v>
      </c>
      <c r="C305" s="12" t="s">
        <v>98</v>
      </c>
      <c r="D305" s="12" t="s">
        <v>99</v>
      </c>
      <c r="E305" s="12" t="s">
        <v>25</v>
      </c>
      <c r="F305" s="12" t="s">
        <v>668</v>
      </c>
      <c r="G305" s="12" t="s">
        <v>41</v>
      </c>
      <c r="H305" s="12" t="s">
        <v>42</v>
      </c>
      <c r="I305" s="12" t="s">
        <v>29</v>
      </c>
      <c r="J305" s="12" t="s">
        <v>43</v>
      </c>
      <c r="K305" s="12" t="s">
        <v>44</v>
      </c>
      <c r="L305" s="12" t="s">
        <v>91</v>
      </c>
      <c r="M305" s="12">
        <v>4</v>
      </c>
      <c r="N305" s="14">
        <v>572.71</v>
      </c>
      <c r="O305" s="15">
        <v>0.2</v>
      </c>
      <c r="P305" s="14">
        <v>1832.67</v>
      </c>
      <c r="Q305" s="14">
        <v>1042.8499999999999</v>
      </c>
      <c r="R305" s="14">
        <v>789.82</v>
      </c>
      <c r="S305" s="12" t="s">
        <v>46</v>
      </c>
      <c r="T305" s="12" t="s">
        <v>54</v>
      </c>
      <c r="U305" s="12">
        <v>5</v>
      </c>
      <c r="V305" s="12" t="s">
        <v>116</v>
      </c>
    </row>
    <row r="306" spans="1:22" x14ac:dyDescent="0.3">
      <c r="A306" s="8" t="s">
        <v>669</v>
      </c>
      <c r="B306" s="9">
        <v>45868</v>
      </c>
      <c r="C306" s="8" t="s">
        <v>57</v>
      </c>
      <c r="D306" s="8" t="s">
        <v>58</v>
      </c>
      <c r="E306" s="8" t="s">
        <v>59</v>
      </c>
      <c r="F306" s="8" t="s">
        <v>670</v>
      </c>
      <c r="G306" s="8" t="s">
        <v>41</v>
      </c>
      <c r="H306" s="8" t="s">
        <v>81</v>
      </c>
      <c r="I306" s="8" t="s">
        <v>68</v>
      </c>
      <c r="J306" s="8" t="s">
        <v>43</v>
      </c>
      <c r="K306" s="8" t="s">
        <v>44</v>
      </c>
      <c r="L306" s="8" t="s">
        <v>45</v>
      </c>
      <c r="M306" s="8">
        <v>1</v>
      </c>
      <c r="N306" s="10">
        <v>625.32000000000005</v>
      </c>
      <c r="O306" s="11">
        <v>0.3</v>
      </c>
      <c r="P306" s="10">
        <v>437.72</v>
      </c>
      <c r="Q306" s="10">
        <v>257.83</v>
      </c>
      <c r="R306" s="10">
        <v>179.89</v>
      </c>
      <c r="S306" s="8" t="s">
        <v>46</v>
      </c>
      <c r="T306" s="8" t="s">
        <v>111</v>
      </c>
      <c r="U306" s="8">
        <v>3</v>
      </c>
      <c r="V306" s="8" t="s">
        <v>120</v>
      </c>
    </row>
    <row r="307" spans="1:22" x14ac:dyDescent="0.3">
      <c r="A307" s="12" t="s">
        <v>671</v>
      </c>
      <c r="B307" s="13">
        <v>45995</v>
      </c>
      <c r="C307" s="12" t="s">
        <v>131</v>
      </c>
      <c r="D307" s="12" t="s">
        <v>132</v>
      </c>
      <c r="E307" s="12" t="s">
        <v>25</v>
      </c>
      <c r="F307" s="12" t="s">
        <v>139</v>
      </c>
      <c r="G307" s="12" t="s">
        <v>27</v>
      </c>
      <c r="H307" s="12" t="s">
        <v>42</v>
      </c>
      <c r="I307" s="12" t="s">
        <v>68</v>
      </c>
      <c r="J307" s="12" t="s">
        <v>101</v>
      </c>
      <c r="K307" s="12" t="s">
        <v>102</v>
      </c>
      <c r="L307" s="12" t="s">
        <v>45</v>
      </c>
      <c r="M307" s="12">
        <v>5</v>
      </c>
      <c r="N307" s="14">
        <v>693.92</v>
      </c>
      <c r="O307" s="15">
        <v>0.2</v>
      </c>
      <c r="P307" s="14">
        <v>2775.68</v>
      </c>
      <c r="Q307" s="14">
        <v>1246.56</v>
      </c>
      <c r="R307" s="14">
        <v>1529.12</v>
      </c>
      <c r="S307" s="12" t="s">
        <v>46</v>
      </c>
      <c r="T307" s="12" t="s">
        <v>78</v>
      </c>
      <c r="U307" s="12">
        <v>4</v>
      </c>
      <c r="V307" s="12" t="s">
        <v>35</v>
      </c>
    </row>
    <row r="308" spans="1:22" x14ac:dyDescent="0.3">
      <c r="A308" s="8" t="s">
        <v>672</v>
      </c>
      <c r="B308" s="9">
        <v>45809</v>
      </c>
      <c r="C308" s="8" t="s">
        <v>86</v>
      </c>
      <c r="D308" s="8" t="s">
        <v>87</v>
      </c>
      <c r="E308" s="8" t="s">
        <v>59</v>
      </c>
      <c r="F308" s="8" t="s">
        <v>673</v>
      </c>
      <c r="G308" s="8" t="s">
        <v>27</v>
      </c>
      <c r="H308" s="8" t="s">
        <v>28</v>
      </c>
      <c r="I308" s="8" t="s">
        <v>29</v>
      </c>
      <c r="J308" s="8" t="s">
        <v>43</v>
      </c>
      <c r="K308" s="8" t="s">
        <v>44</v>
      </c>
      <c r="L308" s="8" t="s">
        <v>82</v>
      </c>
      <c r="M308" s="8">
        <v>4</v>
      </c>
      <c r="N308" s="10">
        <v>570</v>
      </c>
      <c r="O308" s="11">
        <v>0</v>
      </c>
      <c r="P308" s="10">
        <v>2280</v>
      </c>
      <c r="Q308" s="10">
        <v>1076.6099999999999</v>
      </c>
      <c r="R308" s="10">
        <v>1203.3900000000001</v>
      </c>
      <c r="S308" s="8" t="s">
        <v>33</v>
      </c>
      <c r="T308" s="8" t="s">
        <v>147</v>
      </c>
      <c r="U308" s="8">
        <v>5</v>
      </c>
      <c r="V308" s="8" t="s">
        <v>157</v>
      </c>
    </row>
    <row r="309" spans="1:22" x14ac:dyDescent="0.3">
      <c r="A309" s="12" t="s">
        <v>674</v>
      </c>
      <c r="B309" s="13">
        <v>45931</v>
      </c>
      <c r="C309" s="12" t="s">
        <v>48</v>
      </c>
      <c r="D309" s="12" t="s">
        <v>49</v>
      </c>
      <c r="E309" s="12" t="s">
        <v>39</v>
      </c>
      <c r="F309" s="12" t="s">
        <v>675</v>
      </c>
      <c r="G309" s="12" t="s">
        <v>41</v>
      </c>
      <c r="H309" s="12" t="s">
        <v>42</v>
      </c>
      <c r="I309" s="12" t="s">
        <v>61</v>
      </c>
      <c r="J309" s="12" t="s">
        <v>75</v>
      </c>
      <c r="K309" s="12" t="s">
        <v>154</v>
      </c>
      <c r="L309" s="12" t="s">
        <v>77</v>
      </c>
      <c r="M309" s="12">
        <v>1</v>
      </c>
      <c r="N309" s="14">
        <v>1930.99</v>
      </c>
      <c r="O309" s="15">
        <v>0</v>
      </c>
      <c r="P309" s="14">
        <v>1930.99</v>
      </c>
      <c r="Q309" s="14">
        <v>1135.05</v>
      </c>
      <c r="R309" s="14">
        <v>795.94</v>
      </c>
      <c r="S309" s="12" t="s">
        <v>33</v>
      </c>
      <c r="T309" s="12" t="s">
        <v>54</v>
      </c>
      <c r="U309" s="12">
        <v>3</v>
      </c>
      <c r="V309" s="12" t="s">
        <v>123</v>
      </c>
    </row>
    <row r="310" spans="1:22" x14ac:dyDescent="0.3">
      <c r="A310" s="8" t="s">
        <v>676</v>
      </c>
      <c r="B310" s="9">
        <v>46015</v>
      </c>
      <c r="C310" s="8" t="s">
        <v>48</v>
      </c>
      <c r="D310" s="8" t="s">
        <v>49</v>
      </c>
      <c r="E310" s="8" t="s">
        <v>39</v>
      </c>
      <c r="F310" s="8" t="s">
        <v>618</v>
      </c>
      <c r="G310" s="8" t="s">
        <v>41</v>
      </c>
      <c r="H310" s="8" t="s">
        <v>81</v>
      </c>
      <c r="I310" s="8" t="s">
        <v>29</v>
      </c>
      <c r="J310" s="8" t="s">
        <v>30</v>
      </c>
      <c r="K310" s="8" t="s">
        <v>31</v>
      </c>
      <c r="L310" s="8" t="s">
        <v>77</v>
      </c>
      <c r="M310" s="8">
        <v>1</v>
      </c>
      <c r="N310" s="10">
        <v>3907.4</v>
      </c>
      <c r="O310" s="11">
        <v>0.1</v>
      </c>
      <c r="P310" s="10">
        <v>3516.66</v>
      </c>
      <c r="Q310" s="10">
        <v>2122.33</v>
      </c>
      <c r="R310" s="10">
        <v>1394.33</v>
      </c>
      <c r="S310" s="8" t="s">
        <v>63</v>
      </c>
      <c r="T310" s="8" t="s">
        <v>104</v>
      </c>
      <c r="U310" s="8">
        <v>3</v>
      </c>
      <c r="V310" s="8" t="s">
        <v>35</v>
      </c>
    </row>
    <row r="311" spans="1:22" x14ac:dyDescent="0.3">
      <c r="A311" s="12" t="s">
        <v>677</v>
      </c>
      <c r="B311" s="13">
        <v>45782</v>
      </c>
      <c r="C311" s="12" t="s">
        <v>86</v>
      </c>
      <c r="D311" s="12" t="s">
        <v>87</v>
      </c>
      <c r="E311" s="12" t="s">
        <v>59</v>
      </c>
      <c r="F311" s="12" t="s">
        <v>678</v>
      </c>
      <c r="G311" s="12" t="s">
        <v>27</v>
      </c>
      <c r="H311" s="12" t="s">
        <v>28</v>
      </c>
      <c r="I311" s="12" t="s">
        <v>29</v>
      </c>
      <c r="J311" s="12" t="s">
        <v>75</v>
      </c>
      <c r="K311" s="12" t="s">
        <v>95</v>
      </c>
      <c r="L311" s="12" t="s">
        <v>52</v>
      </c>
      <c r="M311" s="12">
        <v>1</v>
      </c>
      <c r="N311" s="14">
        <v>25513.97</v>
      </c>
      <c r="O311" s="15">
        <v>0.05</v>
      </c>
      <c r="P311" s="14">
        <v>24238.27</v>
      </c>
      <c r="Q311" s="14">
        <v>18260.46</v>
      </c>
      <c r="R311" s="14">
        <v>5977.81</v>
      </c>
      <c r="S311" s="12" t="s">
        <v>33</v>
      </c>
      <c r="T311" s="12" t="s">
        <v>119</v>
      </c>
      <c r="U311" s="12">
        <v>3</v>
      </c>
      <c r="V311" s="12" t="s">
        <v>134</v>
      </c>
    </row>
    <row r="312" spans="1:22" x14ac:dyDescent="0.3">
      <c r="A312" s="8" t="s">
        <v>679</v>
      </c>
      <c r="B312" s="9">
        <v>45828</v>
      </c>
      <c r="C312" s="8" t="s">
        <v>57</v>
      </c>
      <c r="D312" s="8" t="s">
        <v>58</v>
      </c>
      <c r="E312" s="8" t="s">
        <v>59</v>
      </c>
      <c r="F312" s="8" t="s">
        <v>680</v>
      </c>
      <c r="G312" s="8" t="s">
        <v>41</v>
      </c>
      <c r="H312" s="8" t="s">
        <v>81</v>
      </c>
      <c r="I312" s="8" t="s">
        <v>29</v>
      </c>
      <c r="J312" s="8" t="s">
        <v>43</v>
      </c>
      <c r="K312" s="8" t="s">
        <v>44</v>
      </c>
      <c r="L312" s="8" t="s">
        <v>77</v>
      </c>
      <c r="M312" s="8">
        <v>3</v>
      </c>
      <c r="N312" s="10">
        <v>592.44000000000005</v>
      </c>
      <c r="O312" s="11">
        <v>0.2</v>
      </c>
      <c r="P312" s="10">
        <v>1421.86</v>
      </c>
      <c r="Q312" s="10">
        <v>764.97</v>
      </c>
      <c r="R312" s="10">
        <v>656.89</v>
      </c>
      <c r="S312" s="8" t="s">
        <v>46</v>
      </c>
      <c r="T312" s="8" t="s">
        <v>34</v>
      </c>
      <c r="U312" s="8">
        <v>4</v>
      </c>
      <c r="V312" s="8" t="s">
        <v>157</v>
      </c>
    </row>
    <row r="313" spans="1:22" x14ac:dyDescent="0.3">
      <c r="A313" s="12" t="s">
        <v>681</v>
      </c>
      <c r="B313" s="13">
        <v>45766</v>
      </c>
      <c r="C313" s="12" t="s">
        <v>125</v>
      </c>
      <c r="D313" s="12" t="s">
        <v>126</v>
      </c>
      <c r="E313" s="12" t="s">
        <v>25</v>
      </c>
      <c r="F313" s="12" t="s">
        <v>682</v>
      </c>
      <c r="G313" s="12" t="s">
        <v>27</v>
      </c>
      <c r="H313" s="12" t="s">
        <v>28</v>
      </c>
      <c r="I313" s="12" t="s">
        <v>68</v>
      </c>
      <c r="J313" s="12" t="s">
        <v>69</v>
      </c>
      <c r="K313" s="12" t="s">
        <v>137</v>
      </c>
      <c r="L313" s="12" t="s">
        <v>91</v>
      </c>
      <c r="M313" s="12">
        <v>5</v>
      </c>
      <c r="N313" s="14">
        <v>487.88</v>
      </c>
      <c r="O313" s="15">
        <v>0.1</v>
      </c>
      <c r="P313" s="14">
        <v>2195.46</v>
      </c>
      <c r="Q313" s="14">
        <v>1077.6099999999999</v>
      </c>
      <c r="R313" s="14">
        <v>1117.8499999999999</v>
      </c>
      <c r="S313" s="12" t="s">
        <v>46</v>
      </c>
      <c r="T313" s="12" t="s">
        <v>54</v>
      </c>
      <c r="U313" s="12">
        <v>5</v>
      </c>
      <c r="V313" s="12" t="s">
        <v>96</v>
      </c>
    </row>
    <row r="314" spans="1:22" x14ac:dyDescent="0.3">
      <c r="A314" s="8" t="s">
        <v>683</v>
      </c>
      <c r="B314" s="9">
        <v>45698</v>
      </c>
      <c r="C314" s="8" t="s">
        <v>37</v>
      </c>
      <c r="D314" s="8" t="s">
        <v>38</v>
      </c>
      <c r="E314" s="8" t="s">
        <v>39</v>
      </c>
      <c r="F314" s="8" t="s">
        <v>684</v>
      </c>
      <c r="G314" s="8" t="s">
        <v>41</v>
      </c>
      <c r="H314" s="8" t="s">
        <v>94</v>
      </c>
      <c r="I314" s="8" t="s">
        <v>29</v>
      </c>
      <c r="J314" s="8" t="s">
        <v>75</v>
      </c>
      <c r="K314" s="8" t="s">
        <v>95</v>
      </c>
      <c r="L314" s="8" t="s">
        <v>45</v>
      </c>
      <c r="M314" s="8">
        <v>5</v>
      </c>
      <c r="N314" s="10">
        <v>26100.04</v>
      </c>
      <c r="O314" s="11">
        <v>0</v>
      </c>
      <c r="P314" s="10">
        <v>130500.2</v>
      </c>
      <c r="Q314" s="10">
        <v>92519.72</v>
      </c>
      <c r="R314" s="10">
        <v>37980.480000000003</v>
      </c>
      <c r="S314" s="8" t="s">
        <v>63</v>
      </c>
      <c r="T314" s="8" t="s">
        <v>156</v>
      </c>
      <c r="U314" s="8">
        <v>5</v>
      </c>
      <c r="V314" s="8" t="s">
        <v>105</v>
      </c>
    </row>
    <row r="315" spans="1:22" x14ac:dyDescent="0.3">
      <c r="A315" s="12" t="s">
        <v>685</v>
      </c>
      <c r="B315" s="13">
        <v>45997</v>
      </c>
      <c r="C315" s="12" t="s">
        <v>107</v>
      </c>
      <c r="D315" s="12" t="s">
        <v>108</v>
      </c>
      <c r="E315" s="12" t="s">
        <v>39</v>
      </c>
      <c r="F315" s="12" t="s">
        <v>686</v>
      </c>
      <c r="G315" s="12" t="s">
        <v>27</v>
      </c>
      <c r="H315" s="12" t="s">
        <v>42</v>
      </c>
      <c r="I315" s="12" t="s">
        <v>68</v>
      </c>
      <c r="J315" s="12" t="s">
        <v>101</v>
      </c>
      <c r="K315" s="12" t="s">
        <v>217</v>
      </c>
      <c r="L315" s="12" t="s">
        <v>91</v>
      </c>
      <c r="M315" s="12">
        <v>5</v>
      </c>
      <c r="N315" s="14">
        <v>3056.65</v>
      </c>
      <c r="O315" s="15">
        <v>0.3</v>
      </c>
      <c r="P315" s="14">
        <v>10698.27</v>
      </c>
      <c r="Q315" s="14">
        <v>8189.36</v>
      </c>
      <c r="R315" s="14">
        <v>2508.91</v>
      </c>
      <c r="S315" s="12" t="s">
        <v>63</v>
      </c>
      <c r="T315" s="12" t="s">
        <v>119</v>
      </c>
      <c r="U315" s="12">
        <v>5</v>
      </c>
      <c r="V315" s="12" t="s">
        <v>35</v>
      </c>
    </row>
    <row r="316" spans="1:22" x14ac:dyDescent="0.3">
      <c r="A316" s="8" t="s">
        <v>687</v>
      </c>
      <c r="B316" s="9">
        <v>45924</v>
      </c>
      <c r="C316" s="8" t="s">
        <v>48</v>
      </c>
      <c r="D316" s="8" t="s">
        <v>49</v>
      </c>
      <c r="E316" s="8" t="s">
        <v>39</v>
      </c>
      <c r="F316" s="8" t="s">
        <v>688</v>
      </c>
      <c r="G316" s="8" t="s">
        <v>27</v>
      </c>
      <c r="H316" s="8" t="s">
        <v>42</v>
      </c>
      <c r="I316" s="8" t="s">
        <v>61</v>
      </c>
      <c r="J316" s="8" t="s">
        <v>75</v>
      </c>
      <c r="K316" s="8" t="s">
        <v>76</v>
      </c>
      <c r="L316" s="8" t="s">
        <v>82</v>
      </c>
      <c r="M316" s="8">
        <v>4</v>
      </c>
      <c r="N316" s="10">
        <v>824.06</v>
      </c>
      <c r="O316" s="11">
        <v>0.2</v>
      </c>
      <c r="P316" s="10">
        <v>2636.99</v>
      </c>
      <c r="Q316" s="10">
        <v>1335.2</v>
      </c>
      <c r="R316" s="10">
        <v>1301.79</v>
      </c>
      <c r="S316" s="8" t="s">
        <v>33</v>
      </c>
      <c r="T316" s="8" t="s">
        <v>111</v>
      </c>
      <c r="U316" s="8">
        <v>4</v>
      </c>
      <c r="V316" s="8" t="s">
        <v>116</v>
      </c>
    </row>
    <row r="317" spans="1:22" x14ac:dyDescent="0.3">
      <c r="A317" s="12" t="s">
        <v>689</v>
      </c>
      <c r="B317" s="13">
        <v>45795</v>
      </c>
      <c r="C317" s="12" t="s">
        <v>98</v>
      </c>
      <c r="D317" s="12" t="s">
        <v>99</v>
      </c>
      <c r="E317" s="12" t="s">
        <v>25</v>
      </c>
      <c r="F317" s="12" t="s">
        <v>690</v>
      </c>
      <c r="G317" s="12" t="s">
        <v>41</v>
      </c>
      <c r="H317" s="12" t="s">
        <v>28</v>
      </c>
      <c r="I317" s="12" t="s">
        <v>61</v>
      </c>
      <c r="J317" s="12" t="s">
        <v>30</v>
      </c>
      <c r="K317" s="12" t="s">
        <v>62</v>
      </c>
      <c r="L317" s="12" t="s">
        <v>175</v>
      </c>
      <c r="M317" s="12">
        <v>2</v>
      </c>
      <c r="N317" s="14">
        <v>1032.3599999999999</v>
      </c>
      <c r="O317" s="15">
        <v>0.3</v>
      </c>
      <c r="P317" s="14">
        <v>1445.3</v>
      </c>
      <c r="Q317" s="14">
        <v>899.79</v>
      </c>
      <c r="R317" s="14">
        <v>545.51</v>
      </c>
      <c r="S317" s="12" t="s">
        <v>46</v>
      </c>
      <c r="T317" s="12" t="s">
        <v>147</v>
      </c>
      <c r="U317" s="12">
        <v>4</v>
      </c>
      <c r="V317" s="12" t="s">
        <v>134</v>
      </c>
    </row>
    <row r="318" spans="1:22" x14ac:dyDescent="0.3">
      <c r="A318" s="8" t="s">
        <v>691</v>
      </c>
      <c r="B318" s="9">
        <v>45747</v>
      </c>
      <c r="C318" s="8" t="s">
        <v>23</v>
      </c>
      <c r="D318" s="8" t="s">
        <v>24</v>
      </c>
      <c r="E318" s="8" t="s">
        <v>25</v>
      </c>
      <c r="F318" s="8" t="s">
        <v>638</v>
      </c>
      <c r="G318" s="8" t="s">
        <v>27</v>
      </c>
      <c r="H318" s="8" t="s">
        <v>94</v>
      </c>
      <c r="I318" s="8" t="s">
        <v>29</v>
      </c>
      <c r="J318" s="8" t="s">
        <v>75</v>
      </c>
      <c r="K318" s="8" t="s">
        <v>76</v>
      </c>
      <c r="L318" s="8" t="s">
        <v>175</v>
      </c>
      <c r="M318" s="8">
        <v>4</v>
      </c>
      <c r="N318" s="10">
        <v>832.49</v>
      </c>
      <c r="O318" s="11">
        <v>0.05</v>
      </c>
      <c r="P318" s="10">
        <v>3163.46</v>
      </c>
      <c r="Q318" s="10">
        <v>1374.22</v>
      </c>
      <c r="R318" s="10">
        <v>1789.24</v>
      </c>
      <c r="S318" s="8" t="s">
        <v>46</v>
      </c>
      <c r="T318" s="8" t="s">
        <v>156</v>
      </c>
      <c r="U318" s="8">
        <v>4</v>
      </c>
      <c r="V318" s="8" t="s">
        <v>55</v>
      </c>
    </row>
    <row r="319" spans="1:22" x14ac:dyDescent="0.3">
      <c r="A319" s="12" t="s">
        <v>692</v>
      </c>
      <c r="B319" s="13">
        <v>45925</v>
      </c>
      <c r="C319" s="12" t="s">
        <v>86</v>
      </c>
      <c r="D319" s="12" t="s">
        <v>87</v>
      </c>
      <c r="E319" s="12" t="s">
        <v>59</v>
      </c>
      <c r="F319" s="12" t="s">
        <v>693</v>
      </c>
      <c r="G319" s="12" t="s">
        <v>27</v>
      </c>
      <c r="H319" s="12" t="s">
        <v>28</v>
      </c>
      <c r="I319" s="12" t="s">
        <v>68</v>
      </c>
      <c r="J319" s="12" t="s">
        <v>75</v>
      </c>
      <c r="K319" s="12" t="s">
        <v>154</v>
      </c>
      <c r="L319" s="12" t="s">
        <v>45</v>
      </c>
      <c r="M319" s="12">
        <v>4</v>
      </c>
      <c r="N319" s="14">
        <v>1959.04</v>
      </c>
      <c r="O319" s="15">
        <v>0.2</v>
      </c>
      <c r="P319" s="14">
        <v>6268.93</v>
      </c>
      <c r="Q319" s="14">
        <v>4280.3100000000004</v>
      </c>
      <c r="R319" s="14">
        <v>1988.62</v>
      </c>
      <c r="S319" s="12" t="s">
        <v>83</v>
      </c>
      <c r="T319" s="12" t="s">
        <v>71</v>
      </c>
      <c r="U319" s="12">
        <v>5</v>
      </c>
      <c r="V319" s="12" t="s">
        <v>116</v>
      </c>
    </row>
    <row r="320" spans="1:22" x14ac:dyDescent="0.3">
      <c r="A320" s="8" t="s">
        <v>694</v>
      </c>
      <c r="B320" s="9">
        <v>45924</v>
      </c>
      <c r="C320" s="8" t="s">
        <v>131</v>
      </c>
      <c r="D320" s="8" t="s">
        <v>132</v>
      </c>
      <c r="E320" s="8" t="s">
        <v>25</v>
      </c>
      <c r="F320" s="8" t="s">
        <v>695</v>
      </c>
      <c r="G320" s="8" t="s">
        <v>41</v>
      </c>
      <c r="H320" s="8" t="s">
        <v>94</v>
      </c>
      <c r="I320" s="8" t="s">
        <v>29</v>
      </c>
      <c r="J320" s="8" t="s">
        <v>43</v>
      </c>
      <c r="K320" s="8" t="s">
        <v>51</v>
      </c>
      <c r="L320" s="8" t="s">
        <v>77</v>
      </c>
      <c r="M320" s="8">
        <v>2</v>
      </c>
      <c r="N320" s="10">
        <v>1544.21</v>
      </c>
      <c r="O320" s="11">
        <v>0.2</v>
      </c>
      <c r="P320" s="10">
        <v>2470.7399999999998</v>
      </c>
      <c r="Q320" s="10">
        <v>1437.65</v>
      </c>
      <c r="R320" s="10">
        <v>1033.0899999999999</v>
      </c>
      <c r="S320" s="8" t="s">
        <v>53</v>
      </c>
      <c r="T320" s="8" t="s">
        <v>147</v>
      </c>
      <c r="U320" s="8">
        <v>4</v>
      </c>
      <c r="V320" s="8" t="s">
        <v>116</v>
      </c>
    </row>
    <row r="321" spans="1:22" x14ac:dyDescent="0.3">
      <c r="A321" s="12" t="s">
        <v>696</v>
      </c>
      <c r="B321" s="13">
        <v>45836</v>
      </c>
      <c r="C321" s="12" t="s">
        <v>131</v>
      </c>
      <c r="D321" s="12" t="s">
        <v>132</v>
      </c>
      <c r="E321" s="12" t="s">
        <v>25</v>
      </c>
      <c r="F321" s="12" t="s">
        <v>697</v>
      </c>
      <c r="G321" s="12" t="s">
        <v>27</v>
      </c>
      <c r="H321" s="12" t="s">
        <v>94</v>
      </c>
      <c r="I321" s="12" t="s">
        <v>68</v>
      </c>
      <c r="J321" s="12" t="s">
        <v>89</v>
      </c>
      <c r="K321" s="12" t="s">
        <v>151</v>
      </c>
      <c r="L321" s="12" t="s">
        <v>45</v>
      </c>
      <c r="M321" s="12">
        <v>1</v>
      </c>
      <c r="N321" s="14">
        <v>998.35</v>
      </c>
      <c r="O321" s="15">
        <v>0</v>
      </c>
      <c r="P321" s="14">
        <v>998.35</v>
      </c>
      <c r="Q321" s="14">
        <v>497.47</v>
      </c>
      <c r="R321" s="14">
        <v>500.88</v>
      </c>
      <c r="S321" s="12" t="s">
        <v>46</v>
      </c>
      <c r="T321" s="12" t="s">
        <v>71</v>
      </c>
      <c r="U321" s="12">
        <v>3</v>
      </c>
      <c r="V321" s="12" t="s">
        <v>157</v>
      </c>
    </row>
    <row r="322" spans="1:22" x14ac:dyDescent="0.3">
      <c r="A322" s="8" t="s">
        <v>698</v>
      </c>
      <c r="B322" s="9">
        <v>45713</v>
      </c>
      <c r="C322" s="8" t="s">
        <v>48</v>
      </c>
      <c r="D322" s="8" t="s">
        <v>49</v>
      </c>
      <c r="E322" s="8" t="s">
        <v>39</v>
      </c>
      <c r="F322" s="8" t="s">
        <v>699</v>
      </c>
      <c r="G322" s="8" t="s">
        <v>27</v>
      </c>
      <c r="H322" s="8" t="s">
        <v>94</v>
      </c>
      <c r="I322" s="8" t="s">
        <v>29</v>
      </c>
      <c r="J322" s="8" t="s">
        <v>69</v>
      </c>
      <c r="K322" s="8" t="s">
        <v>180</v>
      </c>
      <c r="L322" s="8" t="s">
        <v>175</v>
      </c>
      <c r="M322" s="8">
        <v>4</v>
      </c>
      <c r="N322" s="10">
        <v>1525.16</v>
      </c>
      <c r="O322" s="11">
        <v>0.1</v>
      </c>
      <c r="P322" s="10">
        <v>5490.58</v>
      </c>
      <c r="Q322" s="10">
        <v>3379.03</v>
      </c>
      <c r="R322" s="10">
        <v>2111.5500000000002</v>
      </c>
      <c r="S322" s="8" t="s">
        <v>63</v>
      </c>
      <c r="T322" s="8" t="s">
        <v>119</v>
      </c>
      <c r="U322" s="8">
        <v>5</v>
      </c>
      <c r="V322" s="8" t="s">
        <v>105</v>
      </c>
    </row>
    <row r="323" spans="1:22" x14ac:dyDescent="0.3">
      <c r="A323" s="12" t="s">
        <v>700</v>
      </c>
      <c r="B323" s="13">
        <v>45842</v>
      </c>
      <c r="C323" s="12" t="s">
        <v>37</v>
      </c>
      <c r="D323" s="12" t="s">
        <v>38</v>
      </c>
      <c r="E323" s="12" t="s">
        <v>39</v>
      </c>
      <c r="F323" s="12" t="s">
        <v>701</v>
      </c>
      <c r="G323" s="12" t="s">
        <v>41</v>
      </c>
      <c r="H323" s="12" t="s">
        <v>94</v>
      </c>
      <c r="I323" s="12" t="s">
        <v>61</v>
      </c>
      <c r="J323" s="12" t="s">
        <v>89</v>
      </c>
      <c r="K323" s="12" t="s">
        <v>89</v>
      </c>
      <c r="L323" s="12" t="s">
        <v>82</v>
      </c>
      <c r="M323" s="12">
        <v>4</v>
      </c>
      <c r="N323" s="14">
        <v>1315.18</v>
      </c>
      <c r="O323" s="15">
        <v>0.3</v>
      </c>
      <c r="P323" s="14">
        <v>3682.5</v>
      </c>
      <c r="Q323" s="14">
        <v>2663.58</v>
      </c>
      <c r="R323" s="14">
        <v>1018.92</v>
      </c>
      <c r="S323" s="12" t="s">
        <v>46</v>
      </c>
      <c r="T323" s="12" t="s">
        <v>64</v>
      </c>
      <c r="U323" s="12">
        <v>4</v>
      </c>
      <c r="V323" s="12" t="s">
        <v>120</v>
      </c>
    </row>
    <row r="324" spans="1:22" x14ac:dyDescent="0.3">
      <c r="A324" s="8" t="s">
        <v>702</v>
      </c>
      <c r="B324" s="9">
        <v>45788</v>
      </c>
      <c r="C324" s="8" t="s">
        <v>131</v>
      </c>
      <c r="D324" s="8" t="s">
        <v>132</v>
      </c>
      <c r="E324" s="8" t="s">
        <v>25</v>
      </c>
      <c r="F324" s="8" t="s">
        <v>703</v>
      </c>
      <c r="G324" s="8" t="s">
        <v>27</v>
      </c>
      <c r="H324" s="8" t="s">
        <v>42</v>
      </c>
      <c r="I324" s="8" t="s">
        <v>61</v>
      </c>
      <c r="J324" s="8" t="s">
        <v>69</v>
      </c>
      <c r="K324" s="8" t="s">
        <v>137</v>
      </c>
      <c r="L324" s="8" t="s">
        <v>82</v>
      </c>
      <c r="M324" s="8">
        <v>3</v>
      </c>
      <c r="N324" s="10">
        <v>501.66</v>
      </c>
      <c r="O324" s="11">
        <v>0.05</v>
      </c>
      <c r="P324" s="10">
        <v>1429.73</v>
      </c>
      <c r="Q324" s="10">
        <v>671.61</v>
      </c>
      <c r="R324" s="10">
        <v>758.12</v>
      </c>
      <c r="S324" s="8" t="s">
        <v>83</v>
      </c>
      <c r="T324" s="8" t="s">
        <v>71</v>
      </c>
      <c r="U324" s="8">
        <v>3</v>
      </c>
      <c r="V324" s="8" t="s">
        <v>134</v>
      </c>
    </row>
    <row r="325" spans="1:22" x14ac:dyDescent="0.3">
      <c r="A325" s="12" t="s">
        <v>704</v>
      </c>
      <c r="B325" s="13">
        <v>45711</v>
      </c>
      <c r="C325" s="12" t="s">
        <v>125</v>
      </c>
      <c r="D325" s="12" t="s">
        <v>126</v>
      </c>
      <c r="E325" s="12" t="s">
        <v>25</v>
      </c>
      <c r="F325" s="12" t="s">
        <v>206</v>
      </c>
      <c r="G325" s="12" t="s">
        <v>27</v>
      </c>
      <c r="H325" s="12" t="s">
        <v>94</v>
      </c>
      <c r="I325" s="12" t="s">
        <v>68</v>
      </c>
      <c r="J325" s="12" t="s">
        <v>30</v>
      </c>
      <c r="K325" s="12" t="s">
        <v>31</v>
      </c>
      <c r="L325" s="12" t="s">
        <v>32</v>
      </c>
      <c r="M325" s="12">
        <v>2</v>
      </c>
      <c r="N325" s="14">
        <v>4107.95</v>
      </c>
      <c r="O325" s="15">
        <v>0.05</v>
      </c>
      <c r="P325" s="14">
        <v>7805.1</v>
      </c>
      <c r="Q325" s="14">
        <v>4506.7</v>
      </c>
      <c r="R325" s="14">
        <v>3298.4</v>
      </c>
      <c r="S325" s="12" t="s">
        <v>83</v>
      </c>
      <c r="T325" s="12" t="s">
        <v>156</v>
      </c>
      <c r="U325" s="12">
        <v>4</v>
      </c>
      <c r="V325" s="12" t="s">
        <v>105</v>
      </c>
    </row>
    <row r="326" spans="1:22" x14ac:dyDescent="0.3">
      <c r="A326" s="8" t="s">
        <v>705</v>
      </c>
      <c r="B326" s="9">
        <v>45923</v>
      </c>
      <c r="C326" s="8" t="s">
        <v>86</v>
      </c>
      <c r="D326" s="8" t="s">
        <v>87</v>
      </c>
      <c r="E326" s="8" t="s">
        <v>59</v>
      </c>
      <c r="F326" s="8" t="s">
        <v>706</v>
      </c>
      <c r="G326" s="8" t="s">
        <v>41</v>
      </c>
      <c r="H326" s="8" t="s">
        <v>28</v>
      </c>
      <c r="I326" s="8" t="s">
        <v>61</v>
      </c>
      <c r="J326" s="8" t="s">
        <v>30</v>
      </c>
      <c r="K326" s="8" t="s">
        <v>144</v>
      </c>
      <c r="L326" s="8" t="s">
        <v>45</v>
      </c>
      <c r="M326" s="8">
        <v>5</v>
      </c>
      <c r="N326" s="10">
        <v>2382.6</v>
      </c>
      <c r="O326" s="11">
        <v>0.05</v>
      </c>
      <c r="P326" s="10">
        <v>11317.35</v>
      </c>
      <c r="Q326" s="10">
        <v>7514.17</v>
      </c>
      <c r="R326" s="10">
        <v>3803.18</v>
      </c>
      <c r="S326" s="8" t="s">
        <v>63</v>
      </c>
      <c r="T326" s="8" t="s">
        <v>54</v>
      </c>
      <c r="U326" s="8">
        <v>3</v>
      </c>
      <c r="V326" s="8" t="s">
        <v>116</v>
      </c>
    </row>
    <row r="327" spans="1:22" x14ac:dyDescent="0.3">
      <c r="A327" s="12" t="s">
        <v>707</v>
      </c>
      <c r="B327" s="13">
        <v>45955</v>
      </c>
      <c r="C327" s="12" t="s">
        <v>131</v>
      </c>
      <c r="D327" s="12" t="s">
        <v>132</v>
      </c>
      <c r="E327" s="12" t="s">
        <v>25</v>
      </c>
      <c r="F327" s="12" t="s">
        <v>708</v>
      </c>
      <c r="G327" s="12" t="s">
        <v>41</v>
      </c>
      <c r="H327" s="12" t="s">
        <v>28</v>
      </c>
      <c r="I327" s="12" t="s">
        <v>68</v>
      </c>
      <c r="J327" s="12" t="s">
        <v>75</v>
      </c>
      <c r="K327" s="12" t="s">
        <v>154</v>
      </c>
      <c r="L327" s="12" t="s">
        <v>91</v>
      </c>
      <c r="M327" s="12">
        <v>5</v>
      </c>
      <c r="N327" s="14">
        <v>2019.91</v>
      </c>
      <c r="O327" s="15">
        <v>0</v>
      </c>
      <c r="P327" s="14">
        <v>10099.549999999999</v>
      </c>
      <c r="Q327" s="14">
        <v>5367.98</v>
      </c>
      <c r="R327" s="14">
        <v>4731.57</v>
      </c>
      <c r="S327" s="12" t="s">
        <v>46</v>
      </c>
      <c r="T327" s="12" t="s">
        <v>71</v>
      </c>
      <c r="U327" s="12">
        <v>4</v>
      </c>
      <c r="V327" s="12" t="s">
        <v>123</v>
      </c>
    </row>
    <row r="328" spans="1:22" x14ac:dyDescent="0.3">
      <c r="A328" s="8" t="s">
        <v>709</v>
      </c>
      <c r="B328" s="9">
        <v>45758</v>
      </c>
      <c r="C328" s="8" t="s">
        <v>113</v>
      </c>
      <c r="D328" s="8" t="s">
        <v>114</v>
      </c>
      <c r="E328" s="8" t="s">
        <v>59</v>
      </c>
      <c r="F328" s="8" t="s">
        <v>710</v>
      </c>
      <c r="G328" s="8" t="s">
        <v>27</v>
      </c>
      <c r="H328" s="8" t="s">
        <v>81</v>
      </c>
      <c r="I328" s="8" t="s">
        <v>29</v>
      </c>
      <c r="J328" s="8" t="s">
        <v>43</v>
      </c>
      <c r="K328" s="8" t="s">
        <v>162</v>
      </c>
      <c r="L328" s="8" t="s">
        <v>82</v>
      </c>
      <c r="M328" s="8">
        <v>4</v>
      </c>
      <c r="N328" s="10">
        <v>934.07</v>
      </c>
      <c r="O328" s="11">
        <v>0.05</v>
      </c>
      <c r="P328" s="10">
        <v>3549.47</v>
      </c>
      <c r="Q328" s="10">
        <v>1608.93</v>
      </c>
      <c r="R328" s="10">
        <v>1940.54</v>
      </c>
      <c r="S328" s="8" t="s">
        <v>46</v>
      </c>
      <c r="T328" s="8" t="s">
        <v>119</v>
      </c>
      <c r="U328" s="8">
        <v>3</v>
      </c>
      <c r="V328" s="8" t="s">
        <v>96</v>
      </c>
    </row>
    <row r="329" spans="1:22" x14ac:dyDescent="0.3">
      <c r="A329" s="12" t="s">
        <v>711</v>
      </c>
      <c r="B329" s="13">
        <v>46000</v>
      </c>
      <c r="C329" s="12" t="s">
        <v>98</v>
      </c>
      <c r="D329" s="12" t="s">
        <v>99</v>
      </c>
      <c r="E329" s="12" t="s">
        <v>25</v>
      </c>
      <c r="F329" s="12" t="s">
        <v>712</v>
      </c>
      <c r="G329" s="12" t="s">
        <v>41</v>
      </c>
      <c r="H329" s="12" t="s">
        <v>28</v>
      </c>
      <c r="I329" s="12" t="s">
        <v>29</v>
      </c>
      <c r="J329" s="12" t="s">
        <v>30</v>
      </c>
      <c r="K329" s="12" t="s">
        <v>31</v>
      </c>
      <c r="L329" s="12" t="s">
        <v>82</v>
      </c>
      <c r="M329" s="12">
        <v>5</v>
      </c>
      <c r="N329" s="14">
        <v>3956.4</v>
      </c>
      <c r="O329" s="15">
        <v>0.2</v>
      </c>
      <c r="P329" s="14">
        <v>15825.6</v>
      </c>
      <c r="Q329" s="14">
        <v>11316.56</v>
      </c>
      <c r="R329" s="14">
        <v>4509.04</v>
      </c>
      <c r="S329" s="12" t="s">
        <v>63</v>
      </c>
      <c r="T329" s="12" t="s">
        <v>104</v>
      </c>
      <c r="U329" s="12">
        <v>4</v>
      </c>
      <c r="V329" s="12" t="s">
        <v>35</v>
      </c>
    </row>
    <row r="330" spans="1:22" x14ac:dyDescent="0.3">
      <c r="A330" s="8" t="s">
        <v>713</v>
      </c>
      <c r="B330" s="9">
        <v>45841</v>
      </c>
      <c r="C330" s="8" t="s">
        <v>98</v>
      </c>
      <c r="D330" s="8" t="s">
        <v>99</v>
      </c>
      <c r="E330" s="8" t="s">
        <v>25</v>
      </c>
      <c r="F330" s="8" t="s">
        <v>214</v>
      </c>
      <c r="G330" s="8" t="s">
        <v>41</v>
      </c>
      <c r="H330" s="8" t="s">
        <v>42</v>
      </c>
      <c r="I330" s="8" t="s">
        <v>68</v>
      </c>
      <c r="J330" s="8" t="s">
        <v>101</v>
      </c>
      <c r="K330" s="8" t="s">
        <v>217</v>
      </c>
      <c r="L330" s="8" t="s">
        <v>45</v>
      </c>
      <c r="M330" s="8">
        <v>4</v>
      </c>
      <c r="N330" s="10">
        <v>2852.52</v>
      </c>
      <c r="O330" s="11">
        <v>0.2</v>
      </c>
      <c r="P330" s="10">
        <v>9128.06</v>
      </c>
      <c r="Q330" s="10">
        <v>6615.52</v>
      </c>
      <c r="R330" s="10">
        <v>2512.54</v>
      </c>
      <c r="S330" s="8" t="s">
        <v>53</v>
      </c>
      <c r="T330" s="8" t="s">
        <v>156</v>
      </c>
      <c r="U330" s="8">
        <v>5</v>
      </c>
      <c r="V330" s="8" t="s">
        <v>120</v>
      </c>
    </row>
    <row r="331" spans="1:22" x14ac:dyDescent="0.3">
      <c r="A331" s="12" t="s">
        <v>714</v>
      </c>
      <c r="B331" s="13">
        <v>45804</v>
      </c>
      <c r="C331" s="12" t="s">
        <v>125</v>
      </c>
      <c r="D331" s="12" t="s">
        <v>126</v>
      </c>
      <c r="E331" s="12" t="s">
        <v>25</v>
      </c>
      <c r="F331" s="12" t="s">
        <v>715</v>
      </c>
      <c r="G331" s="12" t="s">
        <v>27</v>
      </c>
      <c r="H331" s="12" t="s">
        <v>81</v>
      </c>
      <c r="I331" s="12" t="s">
        <v>29</v>
      </c>
      <c r="J331" s="12" t="s">
        <v>101</v>
      </c>
      <c r="K331" s="12" t="s">
        <v>217</v>
      </c>
      <c r="L331" s="12" t="s">
        <v>77</v>
      </c>
      <c r="M331" s="12">
        <v>5</v>
      </c>
      <c r="N331" s="14">
        <v>3038.54</v>
      </c>
      <c r="O331" s="15">
        <v>0</v>
      </c>
      <c r="P331" s="14">
        <v>15192.7</v>
      </c>
      <c r="Q331" s="14">
        <v>8149.57</v>
      </c>
      <c r="R331" s="14">
        <v>7043.13</v>
      </c>
      <c r="S331" s="12" t="s">
        <v>53</v>
      </c>
      <c r="T331" s="12" t="s">
        <v>54</v>
      </c>
      <c r="U331" s="12">
        <v>4</v>
      </c>
      <c r="V331" s="12" t="s">
        <v>134</v>
      </c>
    </row>
    <row r="332" spans="1:22" x14ac:dyDescent="0.3">
      <c r="A332" s="8" t="s">
        <v>716</v>
      </c>
      <c r="B332" s="9">
        <v>46013</v>
      </c>
      <c r="C332" s="8" t="s">
        <v>107</v>
      </c>
      <c r="D332" s="8" t="s">
        <v>108</v>
      </c>
      <c r="E332" s="8" t="s">
        <v>39</v>
      </c>
      <c r="F332" s="8" t="s">
        <v>717</v>
      </c>
      <c r="G332" s="8" t="s">
        <v>27</v>
      </c>
      <c r="H332" s="8" t="s">
        <v>81</v>
      </c>
      <c r="I332" s="8" t="s">
        <v>68</v>
      </c>
      <c r="J332" s="8" t="s">
        <v>30</v>
      </c>
      <c r="K332" s="8" t="s">
        <v>144</v>
      </c>
      <c r="L332" s="8" t="s">
        <v>82</v>
      </c>
      <c r="M332" s="8">
        <v>1</v>
      </c>
      <c r="N332" s="10">
        <v>2435.13</v>
      </c>
      <c r="O332" s="11">
        <v>0.25</v>
      </c>
      <c r="P332" s="10">
        <v>1826.35</v>
      </c>
      <c r="Q332" s="10">
        <v>1503.12</v>
      </c>
      <c r="R332" s="10">
        <v>323.23</v>
      </c>
      <c r="S332" s="8" t="s">
        <v>53</v>
      </c>
      <c r="T332" s="8" t="s">
        <v>147</v>
      </c>
      <c r="U332" s="8">
        <v>4</v>
      </c>
      <c r="V332" s="8" t="s">
        <v>35</v>
      </c>
    </row>
    <row r="333" spans="1:22" x14ac:dyDescent="0.3">
      <c r="A333" s="12" t="s">
        <v>718</v>
      </c>
      <c r="B333" s="13">
        <v>45827</v>
      </c>
      <c r="C333" s="12" t="s">
        <v>57</v>
      </c>
      <c r="D333" s="12" t="s">
        <v>58</v>
      </c>
      <c r="E333" s="12" t="s">
        <v>59</v>
      </c>
      <c r="F333" s="12" t="s">
        <v>719</v>
      </c>
      <c r="G333" s="12" t="s">
        <v>41</v>
      </c>
      <c r="H333" s="12" t="s">
        <v>94</v>
      </c>
      <c r="I333" s="12" t="s">
        <v>29</v>
      </c>
      <c r="J333" s="12" t="s">
        <v>89</v>
      </c>
      <c r="K333" s="12" t="s">
        <v>89</v>
      </c>
      <c r="L333" s="12" t="s">
        <v>52</v>
      </c>
      <c r="M333" s="12">
        <v>2</v>
      </c>
      <c r="N333" s="14">
        <v>1358.09</v>
      </c>
      <c r="O333" s="15">
        <v>0.05</v>
      </c>
      <c r="P333" s="14">
        <v>2580.37</v>
      </c>
      <c r="Q333" s="14">
        <v>1373.17</v>
      </c>
      <c r="R333" s="14">
        <v>1207.2</v>
      </c>
      <c r="S333" s="12" t="s">
        <v>83</v>
      </c>
      <c r="T333" s="12" t="s">
        <v>64</v>
      </c>
      <c r="U333" s="12">
        <v>4</v>
      </c>
      <c r="V333" s="12" t="s">
        <v>157</v>
      </c>
    </row>
    <row r="334" spans="1:22" x14ac:dyDescent="0.3">
      <c r="A334" s="8" t="s">
        <v>720</v>
      </c>
      <c r="B334" s="9">
        <v>45817</v>
      </c>
      <c r="C334" s="8" t="s">
        <v>98</v>
      </c>
      <c r="D334" s="8" t="s">
        <v>99</v>
      </c>
      <c r="E334" s="8" t="s">
        <v>25</v>
      </c>
      <c r="F334" s="8" t="s">
        <v>721</v>
      </c>
      <c r="G334" s="8" t="s">
        <v>41</v>
      </c>
      <c r="H334" s="8" t="s">
        <v>81</v>
      </c>
      <c r="I334" s="8" t="s">
        <v>29</v>
      </c>
      <c r="J334" s="8" t="s">
        <v>101</v>
      </c>
      <c r="K334" s="8" t="s">
        <v>217</v>
      </c>
      <c r="L334" s="8" t="s">
        <v>82</v>
      </c>
      <c r="M334" s="8">
        <v>2</v>
      </c>
      <c r="N334" s="10">
        <v>2927.59</v>
      </c>
      <c r="O334" s="11">
        <v>0</v>
      </c>
      <c r="P334" s="10">
        <v>5855.18</v>
      </c>
      <c r="Q334" s="10">
        <v>3549.04</v>
      </c>
      <c r="R334" s="10">
        <v>2306.14</v>
      </c>
      <c r="S334" s="8" t="s">
        <v>63</v>
      </c>
      <c r="T334" s="8" t="s">
        <v>111</v>
      </c>
      <c r="U334" s="8">
        <v>5</v>
      </c>
      <c r="V334" s="8" t="s">
        <v>157</v>
      </c>
    </row>
    <row r="335" spans="1:22" x14ac:dyDescent="0.3">
      <c r="A335" s="12" t="s">
        <v>722</v>
      </c>
      <c r="B335" s="13">
        <v>45927</v>
      </c>
      <c r="C335" s="12" t="s">
        <v>131</v>
      </c>
      <c r="D335" s="12" t="s">
        <v>132</v>
      </c>
      <c r="E335" s="12" t="s">
        <v>25</v>
      </c>
      <c r="F335" s="12" t="s">
        <v>723</v>
      </c>
      <c r="G335" s="12" t="s">
        <v>27</v>
      </c>
      <c r="H335" s="12" t="s">
        <v>28</v>
      </c>
      <c r="I335" s="12" t="s">
        <v>68</v>
      </c>
      <c r="J335" s="12" t="s">
        <v>43</v>
      </c>
      <c r="K335" s="12" t="s">
        <v>162</v>
      </c>
      <c r="L335" s="12" t="s">
        <v>175</v>
      </c>
      <c r="M335" s="12">
        <v>4</v>
      </c>
      <c r="N335" s="14">
        <v>922.49</v>
      </c>
      <c r="O335" s="15">
        <v>0</v>
      </c>
      <c r="P335" s="14">
        <v>3689.96</v>
      </c>
      <c r="Q335" s="14">
        <v>1663.3</v>
      </c>
      <c r="R335" s="14">
        <v>2026.66</v>
      </c>
      <c r="S335" s="12" t="s">
        <v>83</v>
      </c>
      <c r="T335" s="12" t="s">
        <v>119</v>
      </c>
      <c r="U335" s="12">
        <v>5</v>
      </c>
      <c r="V335" s="12" t="s">
        <v>116</v>
      </c>
    </row>
    <row r="336" spans="1:22" x14ac:dyDescent="0.3">
      <c r="A336" s="8" t="s">
        <v>724</v>
      </c>
      <c r="B336" s="9">
        <v>45909</v>
      </c>
      <c r="C336" s="8" t="s">
        <v>98</v>
      </c>
      <c r="D336" s="8" t="s">
        <v>99</v>
      </c>
      <c r="E336" s="8" t="s">
        <v>25</v>
      </c>
      <c r="F336" s="8" t="s">
        <v>697</v>
      </c>
      <c r="G336" s="8" t="s">
        <v>41</v>
      </c>
      <c r="H336" s="8" t="s">
        <v>94</v>
      </c>
      <c r="I336" s="8" t="s">
        <v>29</v>
      </c>
      <c r="J336" s="8" t="s">
        <v>101</v>
      </c>
      <c r="K336" s="8" t="s">
        <v>217</v>
      </c>
      <c r="L336" s="8" t="s">
        <v>82</v>
      </c>
      <c r="M336" s="8">
        <v>3</v>
      </c>
      <c r="N336" s="10">
        <v>2918.1</v>
      </c>
      <c r="O336" s="11">
        <v>0.3</v>
      </c>
      <c r="P336" s="10">
        <v>6128.01</v>
      </c>
      <c r="Q336" s="10">
        <v>5086.59</v>
      </c>
      <c r="R336" s="10">
        <v>1041.42</v>
      </c>
      <c r="S336" s="8" t="s">
        <v>46</v>
      </c>
      <c r="T336" s="8" t="s">
        <v>34</v>
      </c>
      <c r="U336" s="8">
        <v>3</v>
      </c>
      <c r="V336" s="8" t="s">
        <v>116</v>
      </c>
    </row>
    <row r="337" spans="1:22" x14ac:dyDescent="0.3">
      <c r="A337" s="12" t="s">
        <v>725</v>
      </c>
      <c r="B337" s="13">
        <v>46010</v>
      </c>
      <c r="C337" s="12" t="s">
        <v>57</v>
      </c>
      <c r="D337" s="12" t="s">
        <v>58</v>
      </c>
      <c r="E337" s="12" t="s">
        <v>59</v>
      </c>
      <c r="F337" s="12" t="s">
        <v>726</v>
      </c>
      <c r="G337" s="12" t="s">
        <v>41</v>
      </c>
      <c r="H337" s="12" t="s">
        <v>42</v>
      </c>
      <c r="I337" s="12" t="s">
        <v>68</v>
      </c>
      <c r="J337" s="12" t="s">
        <v>89</v>
      </c>
      <c r="K337" s="12" t="s">
        <v>89</v>
      </c>
      <c r="L337" s="12" t="s">
        <v>103</v>
      </c>
      <c r="M337" s="12">
        <v>4</v>
      </c>
      <c r="N337" s="14">
        <v>1323.17</v>
      </c>
      <c r="O337" s="15">
        <v>0.1</v>
      </c>
      <c r="P337" s="14">
        <v>4763.41</v>
      </c>
      <c r="Q337" s="14">
        <v>2741.6</v>
      </c>
      <c r="R337" s="14">
        <v>2021.81</v>
      </c>
      <c r="S337" s="12" t="s">
        <v>63</v>
      </c>
      <c r="T337" s="12" t="s">
        <v>156</v>
      </c>
      <c r="U337" s="12">
        <v>4</v>
      </c>
      <c r="V337" s="12" t="s">
        <v>35</v>
      </c>
    </row>
    <row r="338" spans="1:22" x14ac:dyDescent="0.3">
      <c r="A338" s="8" t="s">
        <v>727</v>
      </c>
      <c r="B338" s="9">
        <v>45919</v>
      </c>
      <c r="C338" s="8" t="s">
        <v>131</v>
      </c>
      <c r="D338" s="8" t="s">
        <v>132</v>
      </c>
      <c r="E338" s="8" t="s">
        <v>25</v>
      </c>
      <c r="F338" s="8" t="s">
        <v>728</v>
      </c>
      <c r="G338" s="8" t="s">
        <v>41</v>
      </c>
      <c r="H338" s="8" t="s">
        <v>42</v>
      </c>
      <c r="I338" s="8" t="s">
        <v>61</v>
      </c>
      <c r="J338" s="8" t="s">
        <v>30</v>
      </c>
      <c r="K338" s="8" t="s">
        <v>31</v>
      </c>
      <c r="L338" s="8" t="s">
        <v>91</v>
      </c>
      <c r="M338" s="8">
        <v>4</v>
      </c>
      <c r="N338" s="10">
        <v>3852.01</v>
      </c>
      <c r="O338" s="11">
        <v>0.25</v>
      </c>
      <c r="P338" s="10">
        <v>11556.03</v>
      </c>
      <c r="Q338" s="10">
        <v>8747.43</v>
      </c>
      <c r="R338" s="10">
        <v>2808.6</v>
      </c>
      <c r="S338" s="8" t="s">
        <v>33</v>
      </c>
      <c r="T338" s="8" t="s">
        <v>111</v>
      </c>
      <c r="U338" s="8">
        <v>4</v>
      </c>
      <c r="V338" s="8" t="s">
        <v>116</v>
      </c>
    </row>
    <row r="339" spans="1:22" x14ac:dyDescent="0.3">
      <c r="A339" s="12" t="s">
        <v>729</v>
      </c>
      <c r="B339" s="13">
        <v>45720</v>
      </c>
      <c r="C339" s="12" t="s">
        <v>98</v>
      </c>
      <c r="D339" s="12" t="s">
        <v>99</v>
      </c>
      <c r="E339" s="12" t="s">
        <v>25</v>
      </c>
      <c r="F339" s="12" t="s">
        <v>80</v>
      </c>
      <c r="G339" s="12" t="s">
        <v>27</v>
      </c>
      <c r="H339" s="12" t="s">
        <v>94</v>
      </c>
      <c r="I339" s="12" t="s">
        <v>68</v>
      </c>
      <c r="J339" s="12" t="s">
        <v>30</v>
      </c>
      <c r="K339" s="12" t="s">
        <v>62</v>
      </c>
      <c r="L339" s="12" t="s">
        <v>52</v>
      </c>
      <c r="M339" s="12">
        <v>3</v>
      </c>
      <c r="N339" s="14">
        <v>971.65</v>
      </c>
      <c r="O339" s="15">
        <v>0.2</v>
      </c>
      <c r="P339" s="14">
        <v>2331.96</v>
      </c>
      <c r="Q339" s="14">
        <v>1303.8599999999999</v>
      </c>
      <c r="R339" s="14">
        <v>1028.0999999999999</v>
      </c>
      <c r="S339" s="12" t="s">
        <v>53</v>
      </c>
      <c r="T339" s="12" t="s">
        <v>156</v>
      </c>
      <c r="U339" s="12">
        <v>4</v>
      </c>
      <c r="V339" s="12" t="s">
        <v>55</v>
      </c>
    </row>
    <row r="340" spans="1:22" x14ac:dyDescent="0.3">
      <c r="A340" s="8" t="s">
        <v>730</v>
      </c>
      <c r="B340" s="9">
        <v>45848</v>
      </c>
      <c r="C340" s="8" t="s">
        <v>48</v>
      </c>
      <c r="D340" s="8" t="s">
        <v>49</v>
      </c>
      <c r="E340" s="8" t="s">
        <v>39</v>
      </c>
      <c r="F340" s="8" t="s">
        <v>731</v>
      </c>
      <c r="G340" s="8" t="s">
        <v>41</v>
      </c>
      <c r="H340" s="8" t="s">
        <v>28</v>
      </c>
      <c r="I340" s="8" t="s">
        <v>29</v>
      </c>
      <c r="J340" s="8" t="s">
        <v>30</v>
      </c>
      <c r="K340" s="8" t="s">
        <v>62</v>
      </c>
      <c r="L340" s="8" t="s">
        <v>91</v>
      </c>
      <c r="M340" s="8">
        <v>5</v>
      </c>
      <c r="N340" s="10">
        <v>1011.1</v>
      </c>
      <c r="O340" s="11">
        <v>0</v>
      </c>
      <c r="P340" s="10">
        <v>5055.5</v>
      </c>
      <c r="Q340" s="10">
        <v>2190.36</v>
      </c>
      <c r="R340" s="10">
        <v>2865.14</v>
      </c>
      <c r="S340" s="8" t="s">
        <v>53</v>
      </c>
      <c r="T340" s="8" t="s">
        <v>104</v>
      </c>
      <c r="U340" s="8">
        <v>3</v>
      </c>
      <c r="V340" s="8" t="s">
        <v>120</v>
      </c>
    </row>
    <row r="341" spans="1:22" x14ac:dyDescent="0.3">
      <c r="A341" s="12" t="s">
        <v>732</v>
      </c>
      <c r="B341" s="13">
        <v>45847</v>
      </c>
      <c r="C341" s="12" t="s">
        <v>48</v>
      </c>
      <c r="D341" s="12" t="s">
        <v>49</v>
      </c>
      <c r="E341" s="12" t="s">
        <v>39</v>
      </c>
      <c r="F341" s="12" t="s">
        <v>418</v>
      </c>
      <c r="G341" s="12" t="s">
        <v>41</v>
      </c>
      <c r="H341" s="12" t="s">
        <v>81</v>
      </c>
      <c r="I341" s="12" t="s">
        <v>29</v>
      </c>
      <c r="J341" s="12" t="s">
        <v>30</v>
      </c>
      <c r="K341" s="12" t="s">
        <v>31</v>
      </c>
      <c r="L341" s="12" t="s">
        <v>91</v>
      </c>
      <c r="M341" s="12">
        <v>1</v>
      </c>
      <c r="N341" s="14">
        <v>3998.42</v>
      </c>
      <c r="O341" s="15">
        <v>0.3</v>
      </c>
      <c r="P341" s="14">
        <v>2798.89</v>
      </c>
      <c r="Q341" s="14">
        <v>2112.71</v>
      </c>
      <c r="R341" s="14">
        <v>686.18</v>
      </c>
      <c r="S341" s="12" t="s">
        <v>46</v>
      </c>
      <c r="T341" s="12" t="s">
        <v>78</v>
      </c>
      <c r="U341" s="12">
        <v>3</v>
      </c>
      <c r="V341" s="12" t="s">
        <v>120</v>
      </c>
    </row>
    <row r="342" spans="1:22" x14ac:dyDescent="0.3">
      <c r="A342" s="8" t="s">
        <v>733</v>
      </c>
      <c r="B342" s="9">
        <v>45670</v>
      </c>
      <c r="C342" s="8" t="s">
        <v>48</v>
      </c>
      <c r="D342" s="8" t="s">
        <v>49</v>
      </c>
      <c r="E342" s="8" t="s">
        <v>39</v>
      </c>
      <c r="F342" s="8" t="s">
        <v>734</v>
      </c>
      <c r="G342" s="8" t="s">
        <v>27</v>
      </c>
      <c r="H342" s="8" t="s">
        <v>94</v>
      </c>
      <c r="I342" s="8" t="s">
        <v>61</v>
      </c>
      <c r="J342" s="8" t="s">
        <v>89</v>
      </c>
      <c r="K342" s="8" t="s">
        <v>89</v>
      </c>
      <c r="L342" s="8" t="s">
        <v>103</v>
      </c>
      <c r="M342" s="8">
        <v>5</v>
      </c>
      <c r="N342" s="10">
        <v>1265.05</v>
      </c>
      <c r="O342" s="11">
        <v>0.3</v>
      </c>
      <c r="P342" s="10">
        <v>4427.67</v>
      </c>
      <c r="Q342" s="10">
        <v>3626.47</v>
      </c>
      <c r="R342" s="10">
        <v>801.2</v>
      </c>
      <c r="S342" s="8" t="s">
        <v>63</v>
      </c>
      <c r="T342" s="8" t="s">
        <v>54</v>
      </c>
      <c r="U342" s="8">
        <v>5</v>
      </c>
      <c r="V342" s="8" t="s">
        <v>84</v>
      </c>
    </row>
    <row r="343" spans="1:22" x14ac:dyDescent="0.3">
      <c r="A343" s="12" t="s">
        <v>735</v>
      </c>
      <c r="B343" s="13">
        <v>45659</v>
      </c>
      <c r="C343" s="12" t="s">
        <v>113</v>
      </c>
      <c r="D343" s="12" t="s">
        <v>114</v>
      </c>
      <c r="E343" s="12" t="s">
        <v>59</v>
      </c>
      <c r="F343" s="12" t="s">
        <v>636</v>
      </c>
      <c r="G343" s="12" t="s">
        <v>41</v>
      </c>
      <c r="H343" s="12" t="s">
        <v>81</v>
      </c>
      <c r="I343" s="12" t="s">
        <v>68</v>
      </c>
      <c r="J343" s="12" t="s">
        <v>69</v>
      </c>
      <c r="K343" s="12" t="s">
        <v>180</v>
      </c>
      <c r="L343" s="12" t="s">
        <v>91</v>
      </c>
      <c r="M343" s="12">
        <v>4</v>
      </c>
      <c r="N343" s="14">
        <v>1503.32</v>
      </c>
      <c r="O343" s="15">
        <v>0</v>
      </c>
      <c r="P343" s="14">
        <v>6013.28</v>
      </c>
      <c r="Q343" s="14">
        <v>3340.56</v>
      </c>
      <c r="R343" s="14">
        <v>2672.72</v>
      </c>
      <c r="S343" s="12" t="s">
        <v>53</v>
      </c>
      <c r="T343" s="12" t="s">
        <v>34</v>
      </c>
      <c r="U343" s="12">
        <v>5</v>
      </c>
      <c r="V343" s="12" t="s">
        <v>84</v>
      </c>
    </row>
    <row r="344" spans="1:22" x14ac:dyDescent="0.3">
      <c r="A344" s="8" t="s">
        <v>736</v>
      </c>
      <c r="B344" s="9">
        <v>45755</v>
      </c>
      <c r="C344" s="8" t="s">
        <v>48</v>
      </c>
      <c r="D344" s="8" t="s">
        <v>49</v>
      </c>
      <c r="E344" s="8" t="s">
        <v>39</v>
      </c>
      <c r="F344" s="8" t="s">
        <v>571</v>
      </c>
      <c r="G344" s="8" t="s">
        <v>41</v>
      </c>
      <c r="H344" s="8" t="s">
        <v>94</v>
      </c>
      <c r="I344" s="8" t="s">
        <v>61</v>
      </c>
      <c r="J344" s="8" t="s">
        <v>89</v>
      </c>
      <c r="K344" s="8" t="s">
        <v>151</v>
      </c>
      <c r="L344" s="8" t="s">
        <v>32</v>
      </c>
      <c r="M344" s="8">
        <v>5</v>
      </c>
      <c r="N344" s="10">
        <v>956.5</v>
      </c>
      <c r="O344" s="11">
        <v>0.1</v>
      </c>
      <c r="P344" s="10">
        <v>4304.25</v>
      </c>
      <c r="Q344" s="10">
        <v>2602.16</v>
      </c>
      <c r="R344" s="10">
        <v>1702.09</v>
      </c>
      <c r="S344" s="8" t="s">
        <v>83</v>
      </c>
      <c r="T344" s="8" t="s">
        <v>147</v>
      </c>
      <c r="U344" s="8">
        <v>3</v>
      </c>
      <c r="V344" s="8" t="s">
        <v>96</v>
      </c>
    </row>
    <row r="345" spans="1:22" x14ac:dyDescent="0.3">
      <c r="A345" s="12" t="s">
        <v>737</v>
      </c>
      <c r="B345" s="13">
        <v>45754</v>
      </c>
      <c r="C345" s="12" t="s">
        <v>57</v>
      </c>
      <c r="D345" s="12" t="s">
        <v>58</v>
      </c>
      <c r="E345" s="12" t="s">
        <v>59</v>
      </c>
      <c r="F345" s="12" t="s">
        <v>738</v>
      </c>
      <c r="G345" s="12" t="s">
        <v>41</v>
      </c>
      <c r="H345" s="12" t="s">
        <v>42</v>
      </c>
      <c r="I345" s="12" t="s">
        <v>29</v>
      </c>
      <c r="J345" s="12" t="s">
        <v>89</v>
      </c>
      <c r="K345" s="12" t="s">
        <v>151</v>
      </c>
      <c r="L345" s="12" t="s">
        <v>91</v>
      </c>
      <c r="M345" s="12">
        <v>3</v>
      </c>
      <c r="N345" s="14">
        <v>965.83</v>
      </c>
      <c r="O345" s="15">
        <v>0.15</v>
      </c>
      <c r="P345" s="14">
        <v>2462.87</v>
      </c>
      <c r="Q345" s="14">
        <v>1464.18</v>
      </c>
      <c r="R345" s="14">
        <v>998.69</v>
      </c>
      <c r="S345" s="12" t="s">
        <v>46</v>
      </c>
      <c r="T345" s="12" t="s">
        <v>71</v>
      </c>
      <c r="U345" s="12">
        <v>4</v>
      </c>
      <c r="V345" s="12" t="s">
        <v>96</v>
      </c>
    </row>
    <row r="346" spans="1:22" x14ac:dyDescent="0.3">
      <c r="A346" s="8" t="s">
        <v>739</v>
      </c>
      <c r="B346" s="9">
        <v>45738</v>
      </c>
      <c r="C346" s="8" t="s">
        <v>23</v>
      </c>
      <c r="D346" s="8" t="s">
        <v>24</v>
      </c>
      <c r="E346" s="8" t="s">
        <v>25</v>
      </c>
      <c r="F346" s="8" t="s">
        <v>740</v>
      </c>
      <c r="G346" s="8" t="s">
        <v>41</v>
      </c>
      <c r="H346" s="8" t="s">
        <v>94</v>
      </c>
      <c r="I346" s="8" t="s">
        <v>68</v>
      </c>
      <c r="J346" s="8" t="s">
        <v>75</v>
      </c>
      <c r="K346" s="8" t="s">
        <v>95</v>
      </c>
      <c r="L346" s="8" t="s">
        <v>45</v>
      </c>
      <c r="M346" s="8">
        <v>4</v>
      </c>
      <c r="N346" s="10">
        <v>25460.25</v>
      </c>
      <c r="O346" s="11">
        <v>0.2</v>
      </c>
      <c r="P346" s="10">
        <v>81472.800000000003</v>
      </c>
      <c r="Q346" s="10">
        <v>69086.710000000006</v>
      </c>
      <c r="R346" s="10">
        <v>12386.09</v>
      </c>
      <c r="S346" s="8" t="s">
        <v>33</v>
      </c>
      <c r="T346" s="8" t="s">
        <v>71</v>
      </c>
      <c r="U346" s="8">
        <v>3</v>
      </c>
      <c r="V346" s="8" t="s">
        <v>55</v>
      </c>
    </row>
    <row r="347" spans="1:22" x14ac:dyDescent="0.3">
      <c r="A347" s="12" t="s">
        <v>741</v>
      </c>
      <c r="B347" s="13">
        <v>45720</v>
      </c>
      <c r="C347" s="12" t="s">
        <v>113</v>
      </c>
      <c r="D347" s="12" t="s">
        <v>114</v>
      </c>
      <c r="E347" s="12" t="s">
        <v>59</v>
      </c>
      <c r="F347" s="12" t="s">
        <v>742</v>
      </c>
      <c r="G347" s="12" t="s">
        <v>27</v>
      </c>
      <c r="H347" s="12" t="s">
        <v>94</v>
      </c>
      <c r="I347" s="12" t="s">
        <v>61</v>
      </c>
      <c r="J347" s="12" t="s">
        <v>69</v>
      </c>
      <c r="K347" s="12" t="s">
        <v>137</v>
      </c>
      <c r="L347" s="12" t="s">
        <v>77</v>
      </c>
      <c r="M347" s="12">
        <v>2</v>
      </c>
      <c r="N347" s="14">
        <v>477.6</v>
      </c>
      <c r="O347" s="15">
        <v>0</v>
      </c>
      <c r="P347" s="14">
        <v>955.2</v>
      </c>
      <c r="Q347" s="14">
        <v>458.83</v>
      </c>
      <c r="R347" s="14">
        <v>496.37</v>
      </c>
      <c r="S347" s="12" t="s">
        <v>53</v>
      </c>
      <c r="T347" s="12" t="s">
        <v>78</v>
      </c>
      <c r="U347" s="12">
        <v>5</v>
      </c>
      <c r="V347" s="12" t="s">
        <v>55</v>
      </c>
    </row>
    <row r="348" spans="1:22" x14ac:dyDescent="0.3">
      <c r="A348" s="8" t="s">
        <v>743</v>
      </c>
      <c r="B348" s="9">
        <v>45906</v>
      </c>
      <c r="C348" s="8" t="s">
        <v>48</v>
      </c>
      <c r="D348" s="8" t="s">
        <v>49</v>
      </c>
      <c r="E348" s="8" t="s">
        <v>39</v>
      </c>
      <c r="F348" s="8" t="s">
        <v>744</v>
      </c>
      <c r="G348" s="8" t="s">
        <v>27</v>
      </c>
      <c r="H348" s="8" t="s">
        <v>81</v>
      </c>
      <c r="I348" s="8" t="s">
        <v>29</v>
      </c>
      <c r="J348" s="8" t="s">
        <v>75</v>
      </c>
      <c r="K348" s="8" t="s">
        <v>95</v>
      </c>
      <c r="L348" s="8" t="s">
        <v>175</v>
      </c>
      <c r="M348" s="8">
        <v>1</v>
      </c>
      <c r="N348" s="10">
        <v>24969.93</v>
      </c>
      <c r="O348" s="11">
        <v>0.3</v>
      </c>
      <c r="P348" s="10">
        <v>17478.95</v>
      </c>
      <c r="Q348" s="10">
        <v>18280.04</v>
      </c>
      <c r="R348" s="10">
        <v>-801.09</v>
      </c>
      <c r="S348" s="8" t="s">
        <v>33</v>
      </c>
      <c r="T348" s="8" t="s">
        <v>119</v>
      </c>
      <c r="U348" s="8">
        <v>4</v>
      </c>
      <c r="V348" s="8" t="s">
        <v>116</v>
      </c>
    </row>
    <row r="349" spans="1:22" x14ac:dyDescent="0.3">
      <c r="A349" s="12" t="s">
        <v>745</v>
      </c>
      <c r="B349" s="13">
        <v>46019</v>
      </c>
      <c r="C349" s="12" t="s">
        <v>37</v>
      </c>
      <c r="D349" s="12" t="s">
        <v>38</v>
      </c>
      <c r="E349" s="12" t="s">
        <v>39</v>
      </c>
      <c r="F349" s="12" t="s">
        <v>746</v>
      </c>
      <c r="G349" s="12" t="s">
        <v>27</v>
      </c>
      <c r="H349" s="12" t="s">
        <v>94</v>
      </c>
      <c r="I349" s="12" t="s">
        <v>29</v>
      </c>
      <c r="J349" s="12" t="s">
        <v>101</v>
      </c>
      <c r="K349" s="12" t="s">
        <v>217</v>
      </c>
      <c r="L349" s="12" t="s">
        <v>91</v>
      </c>
      <c r="M349" s="12">
        <v>4</v>
      </c>
      <c r="N349" s="14">
        <v>3084.05</v>
      </c>
      <c r="O349" s="15">
        <v>0.3</v>
      </c>
      <c r="P349" s="14">
        <v>8635.34</v>
      </c>
      <c r="Q349" s="14">
        <v>6521.8</v>
      </c>
      <c r="R349" s="14">
        <v>2113.54</v>
      </c>
      <c r="S349" s="12" t="s">
        <v>53</v>
      </c>
      <c r="T349" s="12" t="s">
        <v>78</v>
      </c>
      <c r="U349" s="12">
        <v>3</v>
      </c>
      <c r="V349" s="12" t="s">
        <v>35</v>
      </c>
    </row>
    <row r="350" spans="1:22" x14ac:dyDescent="0.3">
      <c r="A350" s="8" t="s">
        <v>747</v>
      </c>
      <c r="B350" s="9">
        <v>45746</v>
      </c>
      <c r="C350" s="8" t="s">
        <v>107</v>
      </c>
      <c r="D350" s="8" t="s">
        <v>108</v>
      </c>
      <c r="E350" s="8" t="s">
        <v>39</v>
      </c>
      <c r="F350" s="8" t="s">
        <v>748</v>
      </c>
      <c r="G350" s="8" t="s">
        <v>41</v>
      </c>
      <c r="H350" s="8" t="s">
        <v>94</v>
      </c>
      <c r="I350" s="8" t="s">
        <v>61</v>
      </c>
      <c r="J350" s="8" t="s">
        <v>43</v>
      </c>
      <c r="K350" s="8" t="s">
        <v>51</v>
      </c>
      <c r="L350" s="8" t="s">
        <v>77</v>
      </c>
      <c r="M350" s="8">
        <v>4</v>
      </c>
      <c r="N350" s="10">
        <v>1431.52</v>
      </c>
      <c r="O350" s="11">
        <v>0</v>
      </c>
      <c r="P350" s="10">
        <v>5726.08</v>
      </c>
      <c r="Q350" s="10">
        <v>2906.16</v>
      </c>
      <c r="R350" s="10">
        <v>2819.92</v>
      </c>
      <c r="S350" s="8" t="s">
        <v>63</v>
      </c>
      <c r="T350" s="8" t="s">
        <v>71</v>
      </c>
      <c r="U350" s="8">
        <v>3</v>
      </c>
      <c r="V350" s="8" t="s">
        <v>55</v>
      </c>
    </row>
    <row r="351" spans="1:22" x14ac:dyDescent="0.3">
      <c r="A351" s="12" t="s">
        <v>749</v>
      </c>
      <c r="B351" s="13">
        <v>45670</v>
      </c>
      <c r="C351" s="12" t="s">
        <v>113</v>
      </c>
      <c r="D351" s="12" t="s">
        <v>114</v>
      </c>
      <c r="E351" s="12" t="s">
        <v>59</v>
      </c>
      <c r="F351" s="12" t="s">
        <v>750</v>
      </c>
      <c r="G351" s="12" t="s">
        <v>41</v>
      </c>
      <c r="H351" s="12" t="s">
        <v>94</v>
      </c>
      <c r="I351" s="12" t="s">
        <v>61</v>
      </c>
      <c r="J351" s="12" t="s">
        <v>43</v>
      </c>
      <c r="K351" s="12" t="s">
        <v>162</v>
      </c>
      <c r="L351" s="12" t="s">
        <v>103</v>
      </c>
      <c r="M351" s="12">
        <v>1</v>
      </c>
      <c r="N351" s="14">
        <v>894.44</v>
      </c>
      <c r="O351" s="15">
        <v>0</v>
      </c>
      <c r="P351" s="14">
        <v>894.44</v>
      </c>
      <c r="Q351" s="14">
        <v>396.64</v>
      </c>
      <c r="R351" s="14">
        <v>497.8</v>
      </c>
      <c r="S351" s="12" t="s">
        <v>33</v>
      </c>
      <c r="T351" s="12" t="s">
        <v>119</v>
      </c>
      <c r="U351" s="12">
        <v>4</v>
      </c>
      <c r="V351" s="12" t="s">
        <v>84</v>
      </c>
    </row>
    <row r="352" spans="1:22" x14ac:dyDescent="0.3">
      <c r="A352" s="8" t="s">
        <v>751</v>
      </c>
      <c r="B352" s="9">
        <v>45998</v>
      </c>
      <c r="C352" s="8" t="s">
        <v>107</v>
      </c>
      <c r="D352" s="8" t="s">
        <v>108</v>
      </c>
      <c r="E352" s="8" t="s">
        <v>39</v>
      </c>
      <c r="F352" s="8" t="s">
        <v>74</v>
      </c>
      <c r="G352" s="8" t="s">
        <v>27</v>
      </c>
      <c r="H352" s="8" t="s">
        <v>28</v>
      </c>
      <c r="I352" s="8" t="s">
        <v>29</v>
      </c>
      <c r="J352" s="8" t="s">
        <v>69</v>
      </c>
      <c r="K352" s="8" t="s">
        <v>70</v>
      </c>
      <c r="L352" s="8" t="s">
        <v>32</v>
      </c>
      <c r="M352" s="8">
        <v>5</v>
      </c>
      <c r="N352" s="10">
        <v>923.13</v>
      </c>
      <c r="O352" s="11">
        <v>0</v>
      </c>
      <c r="P352" s="10">
        <v>4615.6499999999996</v>
      </c>
      <c r="Q352" s="10">
        <v>2210.33</v>
      </c>
      <c r="R352" s="10">
        <v>2405.3200000000002</v>
      </c>
      <c r="S352" s="8" t="s">
        <v>63</v>
      </c>
      <c r="T352" s="8" t="s">
        <v>71</v>
      </c>
      <c r="U352" s="8">
        <v>5</v>
      </c>
      <c r="V352" s="8" t="s">
        <v>35</v>
      </c>
    </row>
    <row r="353" spans="1:22" x14ac:dyDescent="0.3">
      <c r="A353" s="12" t="s">
        <v>752</v>
      </c>
      <c r="B353" s="13">
        <v>45991</v>
      </c>
      <c r="C353" s="12" t="s">
        <v>98</v>
      </c>
      <c r="D353" s="12" t="s">
        <v>99</v>
      </c>
      <c r="E353" s="12" t="s">
        <v>25</v>
      </c>
      <c r="F353" s="12" t="s">
        <v>753</v>
      </c>
      <c r="G353" s="12" t="s">
        <v>41</v>
      </c>
      <c r="H353" s="12" t="s">
        <v>81</v>
      </c>
      <c r="I353" s="12" t="s">
        <v>61</v>
      </c>
      <c r="J353" s="12" t="s">
        <v>89</v>
      </c>
      <c r="K353" s="12" t="s">
        <v>89</v>
      </c>
      <c r="L353" s="12" t="s">
        <v>91</v>
      </c>
      <c r="M353" s="12">
        <v>4</v>
      </c>
      <c r="N353" s="14">
        <v>1235.72</v>
      </c>
      <c r="O353" s="15">
        <v>0</v>
      </c>
      <c r="P353" s="14">
        <v>4942.88</v>
      </c>
      <c r="Q353" s="14">
        <v>2937.51</v>
      </c>
      <c r="R353" s="14">
        <v>2005.37</v>
      </c>
      <c r="S353" s="12" t="s">
        <v>53</v>
      </c>
      <c r="T353" s="12" t="s">
        <v>34</v>
      </c>
      <c r="U353" s="12">
        <v>5</v>
      </c>
      <c r="V353" s="12" t="s">
        <v>65</v>
      </c>
    </row>
    <row r="354" spans="1:22" x14ac:dyDescent="0.3">
      <c r="A354" s="8" t="s">
        <v>754</v>
      </c>
      <c r="B354" s="9">
        <v>45699</v>
      </c>
      <c r="C354" s="8" t="s">
        <v>57</v>
      </c>
      <c r="D354" s="8" t="s">
        <v>58</v>
      </c>
      <c r="E354" s="8" t="s">
        <v>59</v>
      </c>
      <c r="F354" s="8" t="s">
        <v>755</v>
      </c>
      <c r="G354" s="8" t="s">
        <v>41</v>
      </c>
      <c r="H354" s="8" t="s">
        <v>94</v>
      </c>
      <c r="I354" s="8" t="s">
        <v>29</v>
      </c>
      <c r="J354" s="8" t="s">
        <v>69</v>
      </c>
      <c r="K354" s="8" t="s">
        <v>137</v>
      </c>
      <c r="L354" s="8" t="s">
        <v>103</v>
      </c>
      <c r="M354" s="8">
        <v>3</v>
      </c>
      <c r="N354" s="10">
        <v>496.51</v>
      </c>
      <c r="O354" s="11">
        <v>0.3</v>
      </c>
      <c r="P354" s="10">
        <v>1042.67</v>
      </c>
      <c r="Q354" s="10">
        <v>671.12</v>
      </c>
      <c r="R354" s="10">
        <v>371.55</v>
      </c>
      <c r="S354" s="8" t="s">
        <v>33</v>
      </c>
      <c r="T354" s="8" t="s">
        <v>147</v>
      </c>
      <c r="U354" s="8">
        <v>5</v>
      </c>
      <c r="V354" s="8" t="s">
        <v>105</v>
      </c>
    </row>
    <row r="355" spans="1:22" x14ac:dyDescent="0.3">
      <c r="A355" s="12" t="s">
        <v>756</v>
      </c>
      <c r="B355" s="13">
        <v>45792</v>
      </c>
      <c r="C355" s="12" t="s">
        <v>113</v>
      </c>
      <c r="D355" s="12" t="s">
        <v>114</v>
      </c>
      <c r="E355" s="12" t="s">
        <v>59</v>
      </c>
      <c r="F355" s="12" t="s">
        <v>757</v>
      </c>
      <c r="G355" s="12" t="s">
        <v>41</v>
      </c>
      <c r="H355" s="12" t="s">
        <v>94</v>
      </c>
      <c r="I355" s="12" t="s">
        <v>68</v>
      </c>
      <c r="J355" s="12" t="s">
        <v>75</v>
      </c>
      <c r="K355" s="12" t="s">
        <v>95</v>
      </c>
      <c r="L355" s="12" t="s">
        <v>82</v>
      </c>
      <c r="M355" s="12">
        <v>2</v>
      </c>
      <c r="N355" s="14">
        <v>25679.06</v>
      </c>
      <c r="O355" s="15">
        <v>0.3</v>
      </c>
      <c r="P355" s="14">
        <v>35950.68</v>
      </c>
      <c r="Q355" s="14">
        <v>34841.379999999997</v>
      </c>
      <c r="R355" s="14">
        <v>1109.3</v>
      </c>
      <c r="S355" s="12" t="s">
        <v>46</v>
      </c>
      <c r="T355" s="12" t="s">
        <v>147</v>
      </c>
      <c r="U355" s="12">
        <v>5</v>
      </c>
      <c r="V355" s="12" t="s">
        <v>134</v>
      </c>
    </row>
    <row r="356" spans="1:22" x14ac:dyDescent="0.3">
      <c r="A356" s="8" t="s">
        <v>758</v>
      </c>
      <c r="B356" s="9">
        <v>45871</v>
      </c>
      <c r="C356" s="8" t="s">
        <v>86</v>
      </c>
      <c r="D356" s="8" t="s">
        <v>87</v>
      </c>
      <c r="E356" s="8" t="s">
        <v>59</v>
      </c>
      <c r="F356" s="8" t="s">
        <v>221</v>
      </c>
      <c r="G356" s="8" t="s">
        <v>27</v>
      </c>
      <c r="H356" s="8" t="s">
        <v>94</v>
      </c>
      <c r="I356" s="8" t="s">
        <v>68</v>
      </c>
      <c r="J356" s="8" t="s">
        <v>89</v>
      </c>
      <c r="K356" s="8" t="s">
        <v>151</v>
      </c>
      <c r="L356" s="8" t="s">
        <v>82</v>
      </c>
      <c r="M356" s="8">
        <v>4</v>
      </c>
      <c r="N356" s="10">
        <v>1041.8399999999999</v>
      </c>
      <c r="O356" s="11">
        <v>0.25</v>
      </c>
      <c r="P356" s="10">
        <v>3125.52</v>
      </c>
      <c r="Q356" s="10">
        <v>2079.62</v>
      </c>
      <c r="R356" s="10">
        <v>1045.9000000000001</v>
      </c>
      <c r="S356" s="8" t="s">
        <v>46</v>
      </c>
      <c r="T356" s="8" t="s">
        <v>147</v>
      </c>
      <c r="U356" s="8">
        <v>5</v>
      </c>
      <c r="V356" s="8" t="s">
        <v>72</v>
      </c>
    </row>
    <row r="357" spans="1:22" x14ac:dyDescent="0.3">
      <c r="A357" s="12" t="s">
        <v>759</v>
      </c>
      <c r="B357" s="13">
        <v>45863</v>
      </c>
      <c r="C357" s="12" t="s">
        <v>48</v>
      </c>
      <c r="D357" s="12" t="s">
        <v>49</v>
      </c>
      <c r="E357" s="12" t="s">
        <v>39</v>
      </c>
      <c r="F357" s="12" t="s">
        <v>760</v>
      </c>
      <c r="G357" s="12" t="s">
        <v>27</v>
      </c>
      <c r="H357" s="12" t="s">
        <v>42</v>
      </c>
      <c r="I357" s="12" t="s">
        <v>29</v>
      </c>
      <c r="J357" s="12" t="s">
        <v>101</v>
      </c>
      <c r="K357" s="12" t="s">
        <v>102</v>
      </c>
      <c r="L357" s="12" t="s">
        <v>175</v>
      </c>
      <c r="M357" s="12">
        <v>1</v>
      </c>
      <c r="N357" s="14">
        <v>676.63</v>
      </c>
      <c r="O357" s="15">
        <v>0.05</v>
      </c>
      <c r="P357" s="14">
        <v>642.79999999999995</v>
      </c>
      <c r="Q357" s="14">
        <v>239.37</v>
      </c>
      <c r="R357" s="14">
        <v>403.43</v>
      </c>
      <c r="S357" s="12" t="s">
        <v>53</v>
      </c>
      <c r="T357" s="12" t="s">
        <v>64</v>
      </c>
      <c r="U357" s="12">
        <v>5</v>
      </c>
      <c r="V357" s="12" t="s">
        <v>120</v>
      </c>
    </row>
    <row r="358" spans="1:22" x14ac:dyDescent="0.3">
      <c r="A358" s="8" t="s">
        <v>761</v>
      </c>
      <c r="B358" s="9">
        <v>45992</v>
      </c>
      <c r="C358" s="8" t="s">
        <v>86</v>
      </c>
      <c r="D358" s="8" t="s">
        <v>87</v>
      </c>
      <c r="E358" s="8" t="s">
        <v>59</v>
      </c>
      <c r="F358" s="8" t="s">
        <v>762</v>
      </c>
      <c r="G358" s="8" t="s">
        <v>27</v>
      </c>
      <c r="H358" s="8" t="s">
        <v>94</v>
      </c>
      <c r="I358" s="8" t="s">
        <v>29</v>
      </c>
      <c r="J358" s="8" t="s">
        <v>101</v>
      </c>
      <c r="K358" s="8" t="s">
        <v>102</v>
      </c>
      <c r="L358" s="8" t="s">
        <v>91</v>
      </c>
      <c r="M358" s="8">
        <v>2</v>
      </c>
      <c r="N358" s="10">
        <v>683.71</v>
      </c>
      <c r="O358" s="11">
        <v>0.05</v>
      </c>
      <c r="P358" s="10">
        <v>1299.05</v>
      </c>
      <c r="Q358" s="10">
        <v>499.31</v>
      </c>
      <c r="R358" s="10">
        <v>799.74</v>
      </c>
      <c r="S358" s="8" t="s">
        <v>46</v>
      </c>
      <c r="T358" s="8" t="s">
        <v>54</v>
      </c>
      <c r="U358" s="8">
        <v>4</v>
      </c>
      <c r="V358" s="8" t="s">
        <v>35</v>
      </c>
    </row>
    <row r="359" spans="1:22" x14ac:dyDescent="0.3">
      <c r="A359" s="12" t="s">
        <v>763</v>
      </c>
      <c r="B359" s="13">
        <v>45829</v>
      </c>
      <c r="C359" s="12" t="s">
        <v>107</v>
      </c>
      <c r="D359" s="12" t="s">
        <v>108</v>
      </c>
      <c r="E359" s="12" t="s">
        <v>39</v>
      </c>
      <c r="F359" s="12" t="s">
        <v>764</v>
      </c>
      <c r="G359" s="12" t="s">
        <v>27</v>
      </c>
      <c r="H359" s="12" t="s">
        <v>28</v>
      </c>
      <c r="I359" s="12" t="s">
        <v>68</v>
      </c>
      <c r="J359" s="12" t="s">
        <v>89</v>
      </c>
      <c r="K359" s="12" t="s">
        <v>89</v>
      </c>
      <c r="L359" s="12" t="s">
        <v>32</v>
      </c>
      <c r="M359" s="12">
        <v>1</v>
      </c>
      <c r="N359" s="14">
        <v>1338.1</v>
      </c>
      <c r="O359" s="15">
        <v>0</v>
      </c>
      <c r="P359" s="14">
        <v>1338.1</v>
      </c>
      <c r="Q359" s="14">
        <v>694.97</v>
      </c>
      <c r="R359" s="14">
        <v>643.13</v>
      </c>
      <c r="S359" s="12" t="s">
        <v>83</v>
      </c>
      <c r="T359" s="12" t="s">
        <v>147</v>
      </c>
      <c r="U359" s="12">
        <v>4</v>
      </c>
      <c r="V359" s="12" t="s">
        <v>157</v>
      </c>
    </row>
    <row r="360" spans="1:22" x14ac:dyDescent="0.3">
      <c r="A360" s="8" t="s">
        <v>765</v>
      </c>
      <c r="B360" s="9">
        <v>45800</v>
      </c>
      <c r="C360" s="8" t="s">
        <v>48</v>
      </c>
      <c r="D360" s="8" t="s">
        <v>49</v>
      </c>
      <c r="E360" s="8" t="s">
        <v>39</v>
      </c>
      <c r="F360" s="8" t="s">
        <v>766</v>
      </c>
      <c r="G360" s="8" t="s">
        <v>27</v>
      </c>
      <c r="H360" s="8" t="s">
        <v>94</v>
      </c>
      <c r="I360" s="8" t="s">
        <v>29</v>
      </c>
      <c r="J360" s="8" t="s">
        <v>43</v>
      </c>
      <c r="K360" s="8" t="s">
        <v>162</v>
      </c>
      <c r="L360" s="8" t="s">
        <v>45</v>
      </c>
      <c r="M360" s="8">
        <v>3</v>
      </c>
      <c r="N360" s="10">
        <v>937.78</v>
      </c>
      <c r="O360" s="11">
        <v>0</v>
      </c>
      <c r="P360" s="10">
        <v>2813.34</v>
      </c>
      <c r="Q360" s="10">
        <v>1236.29</v>
      </c>
      <c r="R360" s="10">
        <v>1577.05</v>
      </c>
      <c r="S360" s="8" t="s">
        <v>53</v>
      </c>
      <c r="T360" s="8" t="s">
        <v>78</v>
      </c>
      <c r="U360" s="8">
        <v>3</v>
      </c>
      <c r="V360" s="8" t="s">
        <v>134</v>
      </c>
    </row>
    <row r="361" spans="1:22" x14ac:dyDescent="0.3">
      <c r="A361" s="12" t="s">
        <v>767</v>
      </c>
      <c r="B361" s="13">
        <v>45764</v>
      </c>
      <c r="C361" s="12" t="s">
        <v>23</v>
      </c>
      <c r="D361" s="12" t="s">
        <v>24</v>
      </c>
      <c r="E361" s="12" t="s">
        <v>25</v>
      </c>
      <c r="F361" s="12" t="s">
        <v>768</v>
      </c>
      <c r="G361" s="12" t="s">
        <v>41</v>
      </c>
      <c r="H361" s="12" t="s">
        <v>94</v>
      </c>
      <c r="I361" s="12" t="s">
        <v>68</v>
      </c>
      <c r="J361" s="12" t="s">
        <v>30</v>
      </c>
      <c r="K361" s="12" t="s">
        <v>62</v>
      </c>
      <c r="L361" s="12" t="s">
        <v>82</v>
      </c>
      <c r="M361" s="12">
        <v>4</v>
      </c>
      <c r="N361" s="14">
        <v>979.69</v>
      </c>
      <c r="O361" s="15">
        <v>0</v>
      </c>
      <c r="P361" s="14">
        <v>3918.76</v>
      </c>
      <c r="Q361" s="14">
        <v>1804.5</v>
      </c>
      <c r="R361" s="14">
        <v>2114.2600000000002</v>
      </c>
      <c r="S361" s="12" t="s">
        <v>63</v>
      </c>
      <c r="T361" s="12" t="s">
        <v>104</v>
      </c>
      <c r="U361" s="12">
        <v>3</v>
      </c>
      <c r="V361" s="12" t="s">
        <v>96</v>
      </c>
    </row>
    <row r="362" spans="1:22" x14ac:dyDescent="0.3">
      <c r="A362" s="8" t="s">
        <v>769</v>
      </c>
      <c r="B362" s="9">
        <v>45789</v>
      </c>
      <c r="C362" s="8" t="s">
        <v>57</v>
      </c>
      <c r="D362" s="8" t="s">
        <v>58</v>
      </c>
      <c r="E362" s="8" t="s">
        <v>59</v>
      </c>
      <c r="F362" s="8" t="s">
        <v>484</v>
      </c>
      <c r="G362" s="8" t="s">
        <v>27</v>
      </c>
      <c r="H362" s="8" t="s">
        <v>81</v>
      </c>
      <c r="I362" s="8" t="s">
        <v>29</v>
      </c>
      <c r="J362" s="8" t="s">
        <v>30</v>
      </c>
      <c r="K362" s="8" t="s">
        <v>62</v>
      </c>
      <c r="L362" s="8" t="s">
        <v>32</v>
      </c>
      <c r="M362" s="8">
        <v>3</v>
      </c>
      <c r="N362" s="10">
        <v>1002.91</v>
      </c>
      <c r="O362" s="11">
        <v>0</v>
      </c>
      <c r="P362" s="10">
        <v>3008.73</v>
      </c>
      <c r="Q362" s="10">
        <v>1386.05</v>
      </c>
      <c r="R362" s="10">
        <v>1622.68</v>
      </c>
      <c r="S362" s="8" t="s">
        <v>46</v>
      </c>
      <c r="T362" s="8" t="s">
        <v>34</v>
      </c>
      <c r="U362" s="8">
        <v>5</v>
      </c>
      <c r="V362" s="8" t="s">
        <v>134</v>
      </c>
    </row>
    <row r="363" spans="1:22" x14ac:dyDescent="0.3">
      <c r="A363" s="12" t="s">
        <v>770</v>
      </c>
      <c r="B363" s="13">
        <v>45958</v>
      </c>
      <c r="C363" s="12" t="s">
        <v>57</v>
      </c>
      <c r="D363" s="12" t="s">
        <v>58</v>
      </c>
      <c r="E363" s="12" t="s">
        <v>59</v>
      </c>
      <c r="F363" s="12" t="s">
        <v>618</v>
      </c>
      <c r="G363" s="12" t="s">
        <v>27</v>
      </c>
      <c r="H363" s="12" t="s">
        <v>28</v>
      </c>
      <c r="I363" s="12" t="s">
        <v>61</v>
      </c>
      <c r="J363" s="12" t="s">
        <v>75</v>
      </c>
      <c r="K363" s="12" t="s">
        <v>154</v>
      </c>
      <c r="L363" s="12" t="s">
        <v>82</v>
      </c>
      <c r="M363" s="12">
        <v>5</v>
      </c>
      <c r="N363" s="14">
        <v>1904.95</v>
      </c>
      <c r="O363" s="15">
        <v>0.25</v>
      </c>
      <c r="P363" s="14">
        <v>7143.56</v>
      </c>
      <c r="Q363" s="14">
        <v>5489.23</v>
      </c>
      <c r="R363" s="14">
        <v>1654.33</v>
      </c>
      <c r="S363" s="12" t="s">
        <v>53</v>
      </c>
      <c r="T363" s="12" t="s">
        <v>34</v>
      </c>
      <c r="U363" s="12">
        <v>3</v>
      </c>
      <c r="V363" s="12" t="s">
        <v>123</v>
      </c>
    </row>
    <row r="364" spans="1:22" x14ac:dyDescent="0.3">
      <c r="A364" s="8" t="s">
        <v>771</v>
      </c>
      <c r="B364" s="9">
        <v>45910</v>
      </c>
      <c r="C364" s="8" t="s">
        <v>131</v>
      </c>
      <c r="D364" s="8" t="s">
        <v>132</v>
      </c>
      <c r="E364" s="8" t="s">
        <v>25</v>
      </c>
      <c r="F364" s="8" t="s">
        <v>143</v>
      </c>
      <c r="G364" s="8" t="s">
        <v>41</v>
      </c>
      <c r="H364" s="8" t="s">
        <v>94</v>
      </c>
      <c r="I364" s="8" t="s">
        <v>68</v>
      </c>
      <c r="J364" s="8" t="s">
        <v>30</v>
      </c>
      <c r="K364" s="8" t="s">
        <v>31</v>
      </c>
      <c r="L364" s="8" t="s">
        <v>77</v>
      </c>
      <c r="M364" s="8">
        <v>3</v>
      </c>
      <c r="N364" s="10">
        <v>3924.16</v>
      </c>
      <c r="O364" s="11">
        <v>0.1</v>
      </c>
      <c r="P364" s="10">
        <v>10595.23</v>
      </c>
      <c r="Q364" s="10">
        <v>6772.66</v>
      </c>
      <c r="R364" s="10">
        <v>3822.57</v>
      </c>
      <c r="S364" s="8" t="s">
        <v>53</v>
      </c>
      <c r="T364" s="8" t="s">
        <v>111</v>
      </c>
      <c r="U364" s="8">
        <v>3</v>
      </c>
      <c r="V364" s="8" t="s">
        <v>116</v>
      </c>
    </row>
    <row r="365" spans="1:22" x14ac:dyDescent="0.3">
      <c r="A365" s="12" t="s">
        <v>772</v>
      </c>
      <c r="B365" s="13">
        <v>45732</v>
      </c>
      <c r="C365" s="12" t="s">
        <v>107</v>
      </c>
      <c r="D365" s="12" t="s">
        <v>108</v>
      </c>
      <c r="E365" s="12" t="s">
        <v>39</v>
      </c>
      <c r="F365" s="12" t="s">
        <v>153</v>
      </c>
      <c r="G365" s="12" t="s">
        <v>27</v>
      </c>
      <c r="H365" s="12" t="s">
        <v>94</v>
      </c>
      <c r="I365" s="12" t="s">
        <v>29</v>
      </c>
      <c r="J365" s="12" t="s">
        <v>43</v>
      </c>
      <c r="K365" s="12" t="s">
        <v>162</v>
      </c>
      <c r="L365" s="12" t="s">
        <v>82</v>
      </c>
      <c r="M365" s="12">
        <v>3</v>
      </c>
      <c r="N365" s="14">
        <v>920.95</v>
      </c>
      <c r="O365" s="15">
        <v>0.15</v>
      </c>
      <c r="P365" s="14">
        <v>2348.42</v>
      </c>
      <c r="Q365" s="14">
        <v>1250.93</v>
      </c>
      <c r="R365" s="14">
        <v>1097.49</v>
      </c>
      <c r="S365" s="12" t="s">
        <v>83</v>
      </c>
      <c r="T365" s="12" t="s">
        <v>104</v>
      </c>
      <c r="U365" s="12">
        <v>3</v>
      </c>
      <c r="V365" s="12" t="s">
        <v>55</v>
      </c>
    </row>
    <row r="366" spans="1:22" x14ac:dyDescent="0.3">
      <c r="A366" s="8" t="s">
        <v>773</v>
      </c>
      <c r="B366" s="9">
        <v>45908</v>
      </c>
      <c r="C366" s="8" t="s">
        <v>107</v>
      </c>
      <c r="D366" s="8" t="s">
        <v>108</v>
      </c>
      <c r="E366" s="8" t="s">
        <v>39</v>
      </c>
      <c r="F366" s="8" t="s">
        <v>774</v>
      </c>
      <c r="G366" s="8" t="s">
        <v>41</v>
      </c>
      <c r="H366" s="8" t="s">
        <v>94</v>
      </c>
      <c r="I366" s="8" t="s">
        <v>29</v>
      </c>
      <c r="J366" s="8" t="s">
        <v>43</v>
      </c>
      <c r="K366" s="8" t="s">
        <v>44</v>
      </c>
      <c r="L366" s="8" t="s">
        <v>52</v>
      </c>
      <c r="M366" s="8">
        <v>2</v>
      </c>
      <c r="N366" s="10">
        <v>624.41</v>
      </c>
      <c r="O366" s="11">
        <v>0.15</v>
      </c>
      <c r="P366" s="10">
        <v>1061.5</v>
      </c>
      <c r="Q366" s="10">
        <v>501.31</v>
      </c>
      <c r="R366" s="10">
        <v>560.19000000000005</v>
      </c>
      <c r="S366" s="8" t="s">
        <v>63</v>
      </c>
      <c r="T366" s="8" t="s">
        <v>34</v>
      </c>
      <c r="U366" s="8">
        <v>3</v>
      </c>
      <c r="V366" s="8" t="s">
        <v>116</v>
      </c>
    </row>
    <row r="367" spans="1:22" x14ac:dyDescent="0.3">
      <c r="A367" s="12" t="s">
        <v>775</v>
      </c>
      <c r="B367" s="13">
        <v>45690</v>
      </c>
      <c r="C367" s="12" t="s">
        <v>48</v>
      </c>
      <c r="D367" s="12" t="s">
        <v>49</v>
      </c>
      <c r="E367" s="12" t="s">
        <v>39</v>
      </c>
      <c r="F367" s="12" t="s">
        <v>776</v>
      </c>
      <c r="G367" s="12" t="s">
        <v>27</v>
      </c>
      <c r="H367" s="12" t="s">
        <v>81</v>
      </c>
      <c r="I367" s="12" t="s">
        <v>68</v>
      </c>
      <c r="J367" s="12" t="s">
        <v>43</v>
      </c>
      <c r="K367" s="12" t="s">
        <v>44</v>
      </c>
      <c r="L367" s="12" t="s">
        <v>91</v>
      </c>
      <c r="M367" s="12">
        <v>1</v>
      </c>
      <c r="N367" s="14">
        <v>603.62</v>
      </c>
      <c r="O367" s="15">
        <v>0.1</v>
      </c>
      <c r="P367" s="14">
        <v>543.26</v>
      </c>
      <c r="Q367" s="14">
        <v>271.77999999999997</v>
      </c>
      <c r="R367" s="14">
        <v>271.48</v>
      </c>
      <c r="S367" s="12" t="s">
        <v>83</v>
      </c>
      <c r="T367" s="12" t="s">
        <v>111</v>
      </c>
      <c r="U367" s="12">
        <v>5</v>
      </c>
      <c r="V367" s="12" t="s">
        <v>105</v>
      </c>
    </row>
    <row r="368" spans="1:22" x14ac:dyDescent="0.3">
      <c r="A368" s="8" t="s">
        <v>777</v>
      </c>
      <c r="B368" s="9">
        <v>45946</v>
      </c>
      <c r="C368" s="8" t="s">
        <v>48</v>
      </c>
      <c r="D368" s="8" t="s">
        <v>49</v>
      </c>
      <c r="E368" s="8" t="s">
        <v>39</v>
      </c>
      <c r="F368" s="8" t="s">
        <v>778</v>
      </c>
      <c r="G368" s="8" t="s">
        <v>41</v>
      </c>
      <c r="H368" s="8" t="s">
        <v>42</v>
      </c>
      <c r="I368" s="8" t="s">
        <v>61</v>
      </c>
      <c r="J368" s="8" t="s">
        <v>89</v>
      </c>
      <c r="K368" s="8" t="s">
        <v>151</v>
      </c>
      <c r="L368" s="8" t="s">
        <v>32</v>
      </c>
      <c r="M368" s="8">
        <v>5</v>
      </c>
      <c r="N368" s="10">
        <v>976.99</v>
      </c>
      <c r="O368" s="11">
        <v>0.1</v>
      </c>
      <c r="P368" s="10">
        <v>4396.45</v>
      </c>
      <c r="Q368" s="10">
        <v>2572.91</v>
      </c>
      <c r="R368" s="10">
        <v>1823.54</v>
      </c>
      <c r="S368" s="8" t="s">
        <v>83</v>
      </c>
      <c r="T368" s="8" t="s">
        <v>54</v>
      </c>
      <c r="U368" s="8">
        <v>3</v>
      </c>
      <c r="V368" s="8" t="s">
        <v>123</v>
      </c>
    </row>
    <row r="369" spans="1:22" x14ac:dyDescent="0.3">
      <c r="A369" s="12" t="s">
        <v>779</v>
      </c>
      <c r="B369" s="13">
        <v>45716</v>
      </c>
      <c r="C369" s="12" t="s">
        <v>131</v>
      </c>
      <c r="D369" s="12" t="s">
        <v>132</v>
      </c>
      <c r="E369" s="12" t="s">
        <v>25</v>
      </c>
      <c r="F369" s="12" t="s">
        <v>780</v>
      </c>
      <c r="G369" s="12" t="s">
        <v>27</v>
      </c>
      <c r="H369" s="12" t="s">
        <v>42</v>
      </c>
      <c r="I369" s="12" t="s">
        <v>29</v>
      </c>
      <c r="J369" s="12" t="s">
        <v>30</v>
      </c>
      <c r="K369" s="12" t="s">
        <v>144</v>
      </c>
      <c r="L369" s="12" t="s">
        <v>91</v>
      </c>
      <c r="M369" s="12">
        <v>5</v>
      </c>
      <c r="N369" s="14">
        <v>2412.14</v>
      </c>
      <c r="O369" s="15">
        <v>0.3</v>
      </c>
      <c r="P369" s="14">
        <v>8442.49</v>
      </c>
      <c r="Q369" s="14">
        <v>7395.06</v>
      </c>
      <c r="R369" s="14">
        <v>1047.43</v>
      </c>
      <c r="S369" s="12" t="s">
        <v>53</v>
      </c>
      <c r="T369" s="12" t="s">
        <v>156</v>
      </c>
      <c r="U369" s="12">
        <v>3</v>
      </c>
      <c r="V369" s="12" t="s">
        <v>105</v>
      </c>
    </row>
    <row r="370" spans="1:22" x14ac:dyDescent="0.3">
      <c r="A370" s="8" t="s">
        <v>781</v>
      </c>
      <c r="B370" s="9">
        <v>45979</v>
      </c>
      <c r="C370" s="8" t="s">
        <v>23</v>
      </c>
      <c r="D370" s="8" t="s">
        <v>24</v>
      </c>
      <c r="E370" s="8" t="s">
        <v>25</v>
      </c>
      <c r="F370" s="8" t="s">
        <v>782</v>
      </c>
      <c r="G370" s="8" t="s">
        <v>27</v>
      </c>
      <c r="H370" s="8" t="s">
        <v>81</v>
      </c>
      <c r="I370" s="8" t="s">
        <v>68</v>
      </c>
      <c r="J370" s="8" t="s">
        <v>30</v>
      </c>
      <c r="K370" s="8" t="s">
        <v>31</v>
      </c>
      <c r="L370" s="8" t="s">
        <v>52</v>
      </c>
      <c r="M370" s="8">
        <v>2</v>
      </c>
      <c r="N370" s="10">
        <v>4021.6</v>
      </c>
      <c r="O370" s="11">
        <v>0</v>
      </c>
      <c r="P370" s="10">
        <v>8043.2</v>
      </c>
      <c r="Q370" s="10">
        <v>4426.99</v>
      </c>
      <c r="R370" s="10">
        <v>3616.21</v>
      </c>
      <c r="S370" s="8" t="s">
        <v>63</v>
      </c>
      <c r="T370" s="8" t="s">
        <v>111</v>
      </c>
      <c r="U370" s="8">
        <v>4</v>
      </c>
      <c r="V370" s="8" t="s">
        <v>65</v>
      </c>
    </row>
    <row r="371" spans="1:22" x14ac:dyDescent="0.3">
      <c r="A371" s="12" t="s">
        <v>783</v>
      </c>
      <c r="B371" s="13">
        <v>46009</v>
      </c>
      <c r="C371" s="12" t="s">
        <v>125</v>
      </c>
      <c r="D371" s="12" t="s">
        <v>126</v>
      </c>
      <c r="E371" s="12" t="s">
        <v>25</v>
      </c>
      <c r="F371" s="12" t="s">
        <v>636</v>
      </c>
      <c r="G371" s="12" t="s">
        <v>27</v>
      </c>
      <c r="H371" s="12" t="s">
        <v>42</v>
      </c>
      <c r="I371" s="12" t="s">
        <v>61</v>
      </c>
      <c r="J371" s="12" t="s">
        <v>43</v>
      </c>
      <c r="K371" s="12" t="s">
        <v>162</v>
      </c>
      <c r="L371" s="12" t="s">
        <v>103</v>
      </c>
      <c r="M371" s="12">
        <v>5</v>
      </c>
      <c r="N371" s="14">
        <v>869.31</v>
      </c>
      <c r="O371" s="15">
        <v>0.3</v>
      </c>
      <c r="P371" s="14">
        <v>3042.58</v>
      </c>
      <c r="Q371" s="14">
        <v>2003.52</v>
      </c>
      <c r="R371" s="14">
        <v>1039.06</v>
      </c>
      <c r="S371" s="12" t="s">
        <v>33</v>
      </c>
      <c r="T371" s="12" t="s">
        <v>119</v>
      </c>
      <c r="U371" s="12">
        <v>4</v>
      </c>
      <c r="V371" s="12" t="s">
        <v>35</v>
      </c>
    </row>
    <row r="372" spans="1:22" x14ac:dyDescent="0.3">
      <c r="A372" s="8" t="s">
        <v>784</v>
      </c>
      <c r="B372" s="9">
        <v>45982</v>
      </c>
      <c r="C372" s="8" t="s">
        <v>131</v>
      </c>
      <c r="D372" s="8" t="s">
        <v>132</v>
      </c>
      <c r="E372" s="8" t="s">
        <v>25</v>
      </c>
      <c r="F372" s="8" t="s">
        <v>269</v>
      </c>
      <c r="G372" s="8" t="s">
        <v>27</v>
      </c>
      <c r="H372" s="8" t="s">
        <v>28</v>
      </c>
      <c r="I372" s="8" t="s">
        <v>68</v>
      </c>
      <c r="J372" s="8" t="s">
        <v>69</v>
      </c>
      <c r="K372" s="8" t="s">
        <v>180</v>
      </c>
      <c r="L372" s="8" t="s">
        <v>82</v>
      </c>
      <c r="M372" s="8">
        <v>1</v>
      </c>
      <c r="N372" s="10">
        <v>1533.51</v>
      </c>
      <c r="O372" s="11">
        <v>0.05</v>
      </c>
      <c r="P372" s="10">
        <v>1456.83</v>
      </c>
      <c r="Q372" s="10">
        <v>842.99</v>
      </c>
      <c r="R372" s="10">
        <v>613.84</v>
      </c>
      <c r="S372" s="8" t="s">
        <v>83</v>
      </c>
      <c r="T372" s="8" t="s">
        <v>34</v>
      </c>
      <c r="U372" s="8">
        <v>4</v>
      </c>
      <c r="V372" s="8" t="s">
        <v>65</v>
      </c>
    </row>
    <row r="373" spans="1:22" x14ac:dyDescent="0.3">
      <c r="A373" s="12" t="s">
        <v>785</v>
      </c>
      <c r="B373" s="13">
        <v>45761</v>
      </c>
      <c r="C373" s="12" t="s">
        <v>125</v>
      </c>
      <c r="D373" s="12" t="s">
        <v>126</v>
      </c>
      <c r="E373" s="12" t="s">
        <v>25</v>
      </c>
      <c r="F373" s="12" t="s">
        <v>786</v>
      </c>
      <c r="G373" s="12" t="s">
        <v>41</v>
      </c>
      <c r="H373" s="12" t="s">
        <v>28</v>
      </c>
      <c r="I373" s="12" t="s">
        <v>61</v>
      </c>
      <c r="J373" s="12" t="s">
        <v>30</v>
      </c>
      <c r="K373" s="12" t="s">
        <v>144</v>
      </c>
      <c r="L373" s="12" t="s">
        <v>32</v>
      </c>
      <c r="M373" s="12">
        <v>1</v>
      </c>
      <c r="N373" s="14">
        <v>2503.23</v>
      </c>
      <c r="O373" s="15">
        <v>0.15</v>
      </c>
      <c r="P373" s="14">
        <v>2127.75</v>
      </c>
      <c r="Q373" s="14">
        <v>1493.47</v>
      </c>
      <c r="R373" s="14">
        <v>634.28</v>
      </c>
      <c r="S373" s="12" t="s">
        <v>83</v>
      </c>
      <c r="T373" s="12" t="s">
        <v>104</v>
      </c>
      <c r="U373" s="12">
        <v>3</v>
      </c>
      <c r="V373" s="12" t="s">
        <v>96</v>
      </c>
    </row>
    <row r="374" spans="1:22" x14ac:dyDescent="0.3">
      <c r="A374" s="8" t="s">
        <v>787</v>
      </c>
      <c r="B374" s="9">
        <v>45824</v>
      </c>
      <c r="C374" s="8" t="s">
        <v>125</v>
      </c>
      <c r="D374" s="8" t="s">
        <v>126</v>
      </c>
      <c r="E374" s="8" t="s">
        <v>25</v>
      </c>
      <c r="F374" s="8" t="s">
        <v>109</v>
      </c>
      <c r="G374" s="8" t="s">
        <v>41</v>
      </c>
      <c r="H374" s="8" t="s">
        <v>28</v>
      </c>
      <c r="I374" s="8" t="s">
        <v>29</v>
      </c>
      <c r="J374" s="8" t="s">
        <v>43</v>
      </c>
      <c r="K374" s="8" t="s">
        <v>44</v>
      </c>
      <c r="L374" s="8" t="s">
        <v>45</v>
      </c>
      <c r="M374" s="8">
        <v>5</v>
      </c>
      <c r="N374" s="10">
        <v>585.20000000000005</v>
      </c>
      <c r="O374" s="11">
        <v>0.3</v>
      </c>
      <c r="P374" s="10">
        <v>2048.1999999999998</v>
      </c>
      <c r="Q374" s="10">
        <v>1282.29</v>
      </c>
      <c r="R374" s="10">
        <v>765.91</v>
      </c>
      <c r="S374" s="8" t="s">
        <v>63</v>
      </c>
      <c r="T374" s="8" t="s">
        <v>104</v>
      </c>
      <c r="U374" s="8">
        <v>4</v>
      </c>
      <c r="V374" s="8" t="s">
        <v>157</v>
      </c>
    </row>
    <row r="375" spans="1:22" x14ac:dyDescent="0.3">
      <c r="A375" s="12" t="s">
        <v>788</v>
      </c>
      <c r="B375" s="13">
        <v>45845</v>
      </c>
      <c r="C375" s="12" t="s">
        <v>57</v>
      </c>
      <c r="D375" s="12" t="s">
        <v>58</v>
      </c>
      <c r="E375" s="12" t="s">
        <v>59</v>
      </c>
      <c r="F375" s="12" t="s">
        <v>755</v>
      </c>
      <c r="G375" s="12" t="s">
        <v>27</v>
      </c>
      <c r="H375" s="12" t="s">
        <v>94</v>
      </c>
      <c r="I375" s="12" t="s">
        <v>68</v>
      </c>
      <c r="J375" s="12" t="s">
        <v>89</v>
      </c>
      <c r="K375" s="12" t="s">
        <v>151</v>
      </c>
      <c r="L375" s="12" t="s">
        <v>77</v>
      </c>
      <c r="M375" s="12">
        <v>4</v>
      </c>
      <c r="N375" s="14">
        <v>1007.39</v>
      </c>
      <c r="O375" s="15">
        <v>0</v>
      </c>
      <c r="P375" s="14">
        <v>4029.56</v>
      </c>
      <c r="Q375" s="14">
        <v>1945.03</v>
      </c>
      <c r="R375" s="14">
        <v>2084.5300000000002</v>
      </c>
      <c r="S375" s="12" t="s">
        <v>63</v>
      </c>
      <c r="T375" s="12" t="s">
        <v>64</v>
      </c>
      <c r="U375" s="12">
        <v>3</v>
      </c>
      <c r="V375" s="12" t="s">
        <v>120</v>
      </c>
    </row>
    <row r="376" spans="1:22" x14ac:dyDescent="0.3">
      <c r="A376" s="8" t="s">
        <v>789</v>
      </c>
      <c r="B376" s="9">
        <v>45708</v>
      </c>
      <c r="C376" s="8" t="s">
        <v>125</v>
      </c>
      <c r="D376" s="8" t="s">
        <v>126</v>
      </c>
      <c r="E376" s="8" t="s">
        <v>25</v>
      </c>
      <c r="F376" s="8" t="s">
        <v>790</v>
      </c>
      <c r="G376" s="8" t="s">
        <v>41</v>
      </c>
      <c r="H376" s="8" t="s">
        <v>94</v>
      </c>
      <c r="I376" s="8" t="s">
        <v>29</v>
      </c>
      <c r="J376" s="8" t="s">
        <v>30</v>
      </c>
      <c r="K376" s="8" t="s">
        <v>144</v>
      </c>
      <c r="L376" s="8" t="s">
        <v>82</v>
      </c>
      <c r="M376" s="8">
        <v>4</v>
      </c>
      <c r="N376" s="10">
        <v>2547.4499999999998</v>
      </c>
      <c r="O376" s="11">
        <v>0</v>
      </c>
      <c r="P376" s="10">
        <v>10189.799999999999</v>
      </c>
      <c r="Q376" s="10">
        <v>6219.8</v>
      </c>
      <c r="R376" s="10">
        <v>3970</v>
      </c>
      <c r="S376" s="8" t="s">
        <v>46</v>
      </c>
      <c r="T376" s="8" t="s">
        <v>34</v>
      </c>
      <c r="U376" s="8">
        <v>3</v>
      </c>
      <c r="V376" s="8" t="s">
        <v>105</v>
      </c>
    </row>
    <row r="377" spans="1:22" x14ac:dyDescent="0.3">
      <c r="A377" s="12" t="s">
        <v>791</v>
      </c>
      <c r="B377" s="13">
        <v>45927</v>
      </c>
      <c r="C377" s="12" t="s">
        <v>48</v>
      </c>
      <c r="D377" s="12" t="s">
        <v>49</v>
      </c>
      <c r="E377" s="12" t="s">
        <v>39</v>
      </c>
      <c r="F377" s="12" t="s">
        <v>792</v>
      </c>
      <c r="G377" s="12" t="s">
        <v>41</v>
      </c>
      <c r="H377" s="12" t="s">
        <v>94</v>
      </c>
      <c r="I377" s="12" t="s">
        <v>68</v>
      </c>
      <c r="J377" s="12" t="s">
        <v>30</v>
      </c>
      <c r="K377" s="12" t="s">
        <v>31</v>
      </c>
      <c r="L377" s="12" t="s">
        <v>103</v>
      </c>
      <c r="M377" s="12">
        <v>5</v>
      </c>
      <c r="N377" s="14">
        <v>4118.21</v>
      </c>
      <c r="O377" s="15">
        <v>0.15</v>
      </c>
      <c r="P377" s="14">
        <v>17502.39</v>
      </c>
      <c r="Q377" s="14">
        <v>11007.76</v>
      </c>
      <c r="R377" s="14">
        <v>6494.63</v>
      </c>
      <c r="S377" s="12" t="s">
        <v>33</v>
      </c>
      <c r="T377" s="12" t="s">
        <v>104</v>
      </c>
      <c r="U377" s="12">
        <v>4</v>
      </c>
      <c r="V377" s="12" t="s">
        <v>116</v>
      </c>
    </row>
    <row r="378" spans="1:22" x14ac:dyDescent="0.3">
      <c r="A378" s="8" t="s">
        <v>793</v>
      </c>
      <c r="B378" s="9">
        <v>45705</v>
      </c>
      <c r="C378" s="8" t="s">
        <v>57</v>
      </c>
      <c r="D378" s="8" t="s">
        <v>58</v>
      </c>
      <c r="E378" s="8" t="s">
        <v>59</v>
      </c>
      <c r="F378" s="8" t="s">
        <v>640</v>
      </c>
      <c r="G378" s="8" t="s">
        <v>27</v>
      </c>
      <c r="H378" s="8" t="s">
        <v>81</v>
      </c>
      <c r="I378" s="8" t="s">
        <v>68</v>
      </c>
      <c r="J378" s="8" t="s">
        <v>101</v>
      </c>
      <c r="K378" s="8" t="s">
        <v>102</v>
      </c>
      <c r="L378" s="8" t="s">
        <v>52</v>
      </c>
      <c r="M378" s="8">
        <v>2</v>
      </c>
      <c r="N378" s="10">
        <v>717.61</v>
      </c>
      <c r="O378" s="11">
        <v>0</v>
      </c>
      <c r="P378" s="10">
        <v>1435.22</v>
      </c>
      <c r="Q378" s="10">
        <v>478.34</v>
      </c>
      <c r="R378" s="10">
        <v>956.88</v>
      </c>
      <c r="S378" s="8" t="s">
        <v>53</v>
      </c>
      <c r="T378" s="8" t="s">
        <v>111</v>
      </c>
      <c r="U378" s="8">
        <v>4</v>
      </c>
      <c r="V378" s="8" t="s">
        <v>105</v>
      </c>
    </row>
    <row r="379" spans="1:22" x14ac:dyDescent="0.3">
      <c r="A379" s="12" t="s">
        <v>794</v>
      </c>
      <c r="B379" s="13">
        <v>45918</v>
      </c>
      <c r="C379" s="12" t="s">
        <v>98</v>
      </c>
      <c r="D379" s="12" t="s">
        <v>99</v>
      </c>
      <c r="E379" s="12" t="s">
        <v>25</v>
      </c>
      <c r="F379" s="12" t="s">
        <v>307</v>
      </c>
      <c r="G379" s="12" t="s">
        <v>41</v>
      </c>
      <c r="H379" s="12" t="s">
        <v>42</v>
      </c>
      <c r="I379" s="12" t="s">
        <v>68</v>
      </c>
      <c r="J379" s="12" t="s">
        <v>69</v>
      </c>
      <c r="K379" s="12" t="s">
        <v>137</v>
      </c>
      <c r="L379" s="12" t="s">
        <v>32</v>
      </c>
      <c r="M379" s="12">
        <v>5</v>
      </c>
      <c r="N379" s="14">
        <v>506.12</v>
      </c>
      <c r="O379" s="15">
        <v>0.05</v>
      </c>
      <c r="P379" s="14">
        <v>2404.0700000000002</v>
      </c>
      <c r="Q379" s="14">
        <v>1054.06</v>
      </c>
      <c r="R379" s="14">
        <v>1350.01</v>
      </c>
      <c r="S379" s="12" t="s">
        <v>46</v>
      </c>
      <c r="T379" s="12" t="s">
        <v>71</v>
      </c>
      <c r="U379" s="12">
        <v>4</v>
      </c>
      <c r="V379" s="12" t="s">
        <v>116</v>
      </c>
    </row>
    <row r="380" spans="1:22" x14ac:dyDescent="0.3">
      <c r="A380" s="8" t="s">
        <v>795</v>
      </c>
      <c r="B380" s="9">
        <v>45840</v>
      </c>
      <c r="C380" s="8" t="s">
        <v>23</v>
      </c>
      <c r="D380" s="8" t="s">
        <v>24</v>
      </c>
      <c r="E380" s="8" t="s">
        <v>25</v>
      </c>
      <c r="F380" s="8" t="s">
        <v>796</v>
      </c>
      <c r="G380" s="8" t="s">
        <v>41</v>
      </c>
      <c r="H380" s="8" t="s">
        <v>81</v>
      </c>
      <c r="I380" s="8" t="s">
        <v>29</v>
      </c>
      <c r="J380" s="8" t="s">
        <v>101</v>
      </c>
      <c r="K380" s="8" t="s">
        <v>217</v>
      </c>
      <c r="L380" s="8" t="s">
        <v>32</v>
      </c>
      <c r="M380" s="8">
        <v>5</v>
      </c>
      <c r="N380" s="10">
        <v>2972.65</v>
      </c>
      <c r="O380" s="11">
        <v>0.15</v>
      </c>
      <c r="P380" s="10">
        <v>12633.76</v>
      </c>
      <c r="Q380" s="10">
        <v>8337.58</v>
      </c>
      <c r="R380" s="10">
        <v>4296.18</v>
      </c>
      <c r="S380" s="8" t="s">
        <v>63</v>
      </c>
      <c r="T380" s="8" t="s">
        <v>111</v>
      </c>
      <c r="U380" s="8">
        <v>5</v>
      </c>
      <c r="V380" s="8" t="s">
        <v>120</v>
      </c>
    </row>
    <row r="381" spans="1:22" x14ac:dyDescent="0.3">
      <c r="A381" s="12" t="s">
        <v>797</v>
      </c>
      <c r="B381" s="13">
        <v>45911</v>
      </c>
      <c r="C381" s="12" t="s">
        <v>57</v>
      </c>
      <c r="D381" s="12" t="s">
        <v>58</v>
      </c>
      <c r="E381" s="12" t="s">
        <v>59</v>
      </c>
      <c r="F381" s="12" t="s">
        <v>360</v>
      </c>
      <c r="G381" s="12" t="s">
        <v>27</v>
      </c>
      <c r="H381" s="12" t="s">
        <v>94</v>
      </c>
      <c r="I381" s="12" t="s">
        <v>29</v>
      </c>
      <c r="J381" s="12" t="s">
        <v>30</v>
      </c>
      <c r="K381" s="12" t="s">
        <v>62</v>
      </c>
      <c r="L381" s="12" t="s">
        <v>91</v>
      </c>
      <c r="M381" s="12">
        <v>2</v>
      </c>
      <c r="N381" s="14">
        <v>962.92</v>
      </c>
      <c r="O381" s="15">
        <v>0</v>
      </c>
      <c r="P381" s="14">
        <v>1925.84</v>
      </c>
      <c r="Q381" s="14">
        <v>891.14</v>
      </c>
      <c r="R381" s="14">
        <v>1034.7</v>
      </c>
      <c r="S381" s="12" t="s">
        <v>53</v>
      </c>
      <c r="T381" s="12" t="s">
        <v>78</v>
      </c>
      <c r="U381" s="12">
        <v>3</v>
      </c>
      <c r="V381" s="12" t="s">
        <v>116</v>
      </c>
    </row>
    <row r="382" spans="1:22" x14ac:dyDescent="0.3">
      <c r="A382" s="8" t="s">
        <v>798</v>
      </c>
      <c r="B382" s="9">
        <v>45700</v>
      </c>
      <c r="C382" s="8" t="s">
        <v>48</v>
      </c>
      <c r="D382" s="8" t="s">
        <v>49</v>
      </c>
      <c r="E382" s="8" t="s">
        <v>39</v>
      </c>
      <c r="F382" s="8" t="s">
        <v>799</v>
      </c>
      <c r="G382" s="8" t="s">
        <v>41</v>
      </c>
      <c r="H382" s="8" t="s">
        <v>94</v>
      </c>
      <c r="I382" s="8" t="s">
        <v>61</v>
      </c>
      <c r="J382" s="8" t="s">
        <v>30</v>
      </c>
      <c r="K382" s="8" t="s">
        <v>144</v>
      </c>
      <c r="L382" s="8" t="s">
        <v>175</v>
      </c>
      <c r="M382" s="8">
        <v>2</v>
      </c>
      <c r="N382" s="10">
        <v>2488.2800000000002</v>
      </c>
      <c r="O382" s="11">
        <v>0.1</v>
      </c>
      <c r="P382" s="10">
        <v>4478.8999999999996</v>
      </c>
      <c r="Q382" s="10">
        <v>2893.67</v>
      </c>
      <c r="R382" s="10">
        <v>1585.23</v>
      </c>
      <c r="S382" s="8" t="s">
        <v>33</v>
      </c>
      <c r="T382" s="8" t="s">
        <v>147</v>
      </c>
      <c r="U382" s="8">
        <v>5</v>
      </c>
      <c r="V382" s="8" t="s">
        <v>105</v>
      </c>
    </row>
    <row r="383" spans="1:22" x14ac:dyDescent="0.3">
      <c r="A383" s="12" t="s">
        <v>800</v>
      </c>
      <c r="B383" s="13">
        <v>45850</v>
      </c>
      <c r="C383" s="12" t="s">
        <v>37</v>
      </c>
      <c r="D383" s="12" t="s">
        <v>38</v>
      </c>
      <c r="E383" s="12" t="s">
        <v>39</v>
      </c>
      <c r="F383" s="12" t="s">
        <v>801</v>
      </c>
      <c r="G383" s="12" t="s">
        <v>27</v>
      </c>
      <c r="H383" s="12" t="s">
        <v>28</v>
      </c>
      <c r="I383" s="12" t="s">
        <v>29</v>
      </c>
      <c r="J383" s="12" t="s">
        <v>43</v>
      </c>
      <c r="K383" s="12" t="s">
        <v>44</v>
      </c>
      <c r="L383" s="12" t="s">
        <v>175</v>
      </c>
      <c r="M383" s="12">
        <v>3</v>
      </c>
      <c r="N383" s="14">
        <v>577.61</v>
      </c>
      <c r="O383" s="15">
        <v>0.05</v>
      </c>
      <c r="P383" s="14">
        <v>1646.19</v>
      </c>
      <c r="Q383" s="14">
        <v>768.11</v>
      </c>
      <c r="R383" s="14">
        <v>878.08</v>
      </c>
      <c r="S383" s="12" t="s">
        <v>46</v>
      </c>
      <c r="T383" s="12" t="s">
        <v>78</v>
      </c>
      <c r="U383" s="12">
        <v>5</v>
      </c>
      <c r="V383" s="12" t="s">
        <v>120</v>
      </c>
    </row>
    <row r="384" spans="1:22" x14ac:dyDescent="0.3">
      <c r="A384" s="8" t="s">
        <v>802</v>
      </c>
      <c r="B384" s="9">
        <v>45812</v>
      </c>
      <c r="C384" s="8" t="s">
        <v>125</v>
      </c>
      <c r="D384" s="8" t="s">
        <v>126</v>
      </c>
      <c r="E384" s="8" t="s">
        <v>25</v>
      </c>
      <c r="F384" s="8" t="s">
        <v>748</v>
      </c>
      <c r="G384" s="8" t="s">
        <v>41</v>
      </c>
      <c r="H384" s="8" t="s">
        <v>81</v>
      </c>
      <c r="I384" s="8" t="s">
        <v>68</v>
      </c>
      <c r="J384" s="8" t="s">
        <v>43</v>
      </c>
      <c r="K384" s="8" t="s">
        <v>51</v>
      </c>
      <c r="L384" s="8" t="s">
        <v>175</v>
      </c>
      <c r="M384" s="8">
        <v>2</v>
      </c>
      <c r="N384" s="10">
        <v>1519.32</v>
      </c>
      <c r="O384" s="11">
        <v>0.2</v>
      </c>
      <c r="P384" s="10">
        <v>2430.91</v>
      </c>
      <c r="Q384" s="10">
        <v>1347.96</v>
      </c>
      <c r="R384" s="10">
        <v>1082.95</v>
      </c>
      <c r="S384" s="8" t="s">
        <v>46</v>
      </c>
      <c r="T384" s="8" t="s">
        <v>54</v>
      </c>
      <c r="U384" s="8">
        <v>5</v>
      </c>
      <c r="V384" s="8" t="s">
        <v>157</v>
      </c>
    </row>
    <row r="385" spans="1:22" x14ac:dyDescent="0.3">
      <c r="A385" s="12" t="s">
        <v>803</v>
      </c>
      <c r="B385" s="13">
        <v>45828</v>
      </c>
      <c r="C385" s="12" t="s">
        <v>107</v>
      </c>
      <c r="D385" s="12" t="s">
        <v>108</v>
      </c>
      <c r="E385" s="12" t="s">
        <v>39</v>
      </c>
      <c r="F385" s="12" t="s">
        <v>804</v>
      </c>
      <c r="G385" s="12" t="s">
        <v>41</v>
      </c>
      <c r="H385" s="12" t="s">
        <v>42</v>
      </c>
      <c r="I385" s="12" t="s">
        <v>29</v>
      </c>
      <c r="J385" s="12" t="s">
        <v>30</v>
      </c>
      <c r="K385" s="12" t="s">
        <v>31</v>
      </c>
      <c r="L385" s="12" t="s">
        <v>82</v>
      </c>
      <c r="M385" s="12">
        <v>2</v>
      </c>
      <c r="N385" s="14">
        <v>4114.91</v>
      </c>
      <c r="O385" s="15">
        <v>0.1</v>
      </c>
      <c r="P385" s="14">
        <v>7406.84</v>
      </c>
      <c r="Q385" s="14">
        <v>4611.1400000000003</v>
      </c>
      <c r="R385" s="14">
        <v>2795.7</v>
      </c>
      <c r="S385" s="12" t="s">
        <v>53</v>
      </c>
      <c r="T385" s="12" t="s">
        <v>104</v>
      </c>
      <c r="U385" s="12">
        <v>3</v>
      </c>
      <c r="V385" s="12" t="s">
        <v>157</v>
      </c>
    </row>
    <row r="386" spans="1:22" x14ac:dyDescent="0.3">
      <c r="A386" s="8" t="s">
        <v>805</v>
      </c>
      <c r="B386" s="9">
        <v>45816</v>
      </c>
      <c r="C386" s="8" t="s">
        <v>107</v>
      </c>
      <c r="D386" s="8" t="s">
        <v>108</v>
      </c>
      <c r="E386" s="8" t="s">
        <v>39</v>
      </c>
      <c r="F386" s="8" t="s">
        <v>477</v>
      </c>
      <c r="G386" s="8" t="s">
        <v>41</v>
      </c>
      <c r="H386" s="8" t="s">
        <v>94</v>
      </c>
      <c r="I386" s="8" t="s">
        <v>68</v>
      </c>
      <c r="J386" s="8" t="s">
        <v>101</v>
      </c>
      <c r="K386" s="8" t="s">
        <v>102</v>
      </c>
      <c r="L386" s="8" t="s">
        <v>52</v>
      </c>
      <c r="M386" s="8">
        <v>4</v>
      </c>
      <c r="N386" s="10">
        <v>680.71</v>
      </c>
      <c r="O386" s="11">
        <v>0.3</v>
      </c>
      <c r="P386" s="10">
        <v>1905.99</v>
      </c>
      <c r="Q386" s="10">
        <v>1046.03</v>
      </c>
      <c r="R386" s="10">
        <v>859.96</v>
      </c>
      <c r="S386" s="8" t="s">
        <v>33</v>
      </c>
      <c r="T386" s="8" t="s">
        <v>156</v>
      </c>
      <c r="U386" s="8">
        <v>3</v>
      </c>
      <c r="V386" s="8" t="s">
        <v>157</v>
      </c>
    </row>
    <row r="387" spans="1:22" x14ac:dyDescent="0.3">
      <c r="A387" s="12" t="s">
        <v>806</v>
      </c>
      <c r="B387" s="13">
        <v>45721</v>
      </c>
      <c r="C387" s="12" t="s">
        <v>48</v>
      </c>
      <c r="D387" s="12" t="s">
        <v>49</v>
      </c>
      <c r="E387" s="12" t="s">
        <v>39</v>
      </c>
      <c r="F387" s="12" t="s">
        <v>807</v>
      </c>
      <c r="G387" s="12" t="s">
        <v>27</v>
      </c>
      <c r="H387" s="12" t="s">
        <v>28</v>
      </c>
      <c r="I387" s="12" t="s">
        <v>29</v>
      </c>
      <c r="J387" s="12" t="s">
        <v>89</v>
      </c>
      <c r="K387" s="12" t="s">
        <v>90</v>
      </c>
      <c r="L387" s="12" t="s">
        <v>52</v>
      </c>
      <c r="M387" s="12">
        <v>5</v>
      </c>
      <c r="N387" s="14">
        <v>3507</v>
      </c>
      <c r="O387" s="15">
        <v>0.25</v>
      </c>
      <c r="P387" s="14">
        <v>13151.25</v>
      </c>
      <c r="Q387" s="14">
        <v>10900.68</v>
      </c>
      <c r="R387" s="14">
        <v>2250.5700000000002</v>
      </c>
      <c r="S387" s="12" t="s">
        <v>63</v>
      </c>
      <c r="T387" s="12" t="s">
        <v>64</v>
      </c>
      <c r="U387" s="12">
        <v>4</v>
      </c>
      <c r="V387" s="12" t="s">
        <v>55</v>
      </c>
    </row>
    <row r="388" spans="1:22" x14ac:dyDescent="0.3">
      <c r="A388" s="8" t="s">
        <v>808</v>
      </c>
      <c r="B388" s="9">
        <v>45698</v>
      </c>
      <c r="C388" s="8" t="s">
        <v>37</v>
      </c>
      <c r="D388" s="8" t="s">
        <v>38</v>
      </c>
      <c r="E388" s="8" t="s">
        <v>39</v>
      </c>
      <c r="F388" s="8" t="s">
        <v>809</v>
      </c>
      <c r="G388" s="8" t="s">
        <v>41</v>
      </c>
      <c r="H388" s="8" t="s">
        <v>42</v>
      </c>
      <c r="I388" s="8" t="s">
        <v>61</v>
      </c>
      <c r="J388" s="8" t="s">
        <v>69</v>
      </c>
      <c r="K388" s="8" t="s">
        <v>70</v>
      </c>
      <c r="L388" s="8" t="s">
        <v>175</v>
      </c>
      <c r="M388" s="8">
        <v>5</v>
      </c>
      <c r="N388" s="10">
        <v>884.29</v>
      </c>
      <c r="O388" s="11">
        <v>0</v>
      </c>
      <c r="P388" s="10">
        <v>4421.45</v>
      </c>
      <c r="Q388" s="10">
        <v>2261.06</v>
      </c>
      <c r="R388" s="10">
        <v>2160.39</v>
      </c>
      <c r="S388" s="8" t="s">
        <v>33</v>
      </c>
      <c r="T388" s="8" t="s">
        <v>156</v>
      </c>
      <c r="U388" s="8">
        <v>4</v>
      </c>
      <c r="V388" s="8" t="s">
        <v>105</v>
      </c>
    </row>
    <row r="389" spans="1:22" x14ac:dyDescent="0.3">
      <c r="A389" s="12" t="s">
        <v>810</v>
      </c>
      <c r="B389" s="13">
        <v>45734</v>
      </c>
      <c r="C389" s="12" t="s">
        <v>86</v>
      </c>
      <c r="D389" s="12" t="s">
        <v>87</v>
      </c>
      <c r="E389" s="12" t="s">
        <v>59</v>
      </c>
      <c r="F389" s="12" t="s">
        <v>811</v>
      </c>
      <c r="G389" s="12" t="s">
        <v>27</v>
      </c>
      <c r="H389" s="12" t="s">
        <v>81</v>
      </c>
      <c r="I389" s="12" t="s">
        <v>29</v>
      </c>
      <c r="J389" s="12" t="s">
        <v>43</v>
      </c>
      <c r="K389" s="12" t="s">
        <v>51</v>
      </c>
      <c r="L389" s="12" t="s">
        <v>103</v>
      </c>
      <c r="M389" s="12">
        <v>5</v>
      </c>
      <c r="N389" s="14">
        <v>1468.7</v>
      </c>
      <c r="O389" s="15">
        <v>0</v>
      </c>
      <c r="P389" s="14">
        <v>7343.5</v>
      </c>
      <c r="Q389" s="14">
        <v>3592.57</v>
      </c>
      <c r="R389" s="14">
        <v>3750.93</v>
      </c>
      <c r="S389" s="12" t="s">
        <v>63</v>
      </c>
      <c r="T389" s="12" t="s">
        <v>104</v>
      </c>
      <c r="U389" s="12">
        <v>4</v>
      </c>
      <c r="V389" s="12" t="s">
        <v>55</v>
      </c>
    </row>
    <row r="390" spans="1:22" x14ac:dyDescent="0.3">
      <c r="A390" s="8" t="s">
        <v>812</v>
      </c>
      <c r="B390" s="9">
        <v>45764</v>
      </c>
      <c r="C390" s="8" t="s">
        <v>86</v>
      </c>
      <c r="D390" s="8" t="s">
        <v>87</v>
      </c>
      <c r="E390" s="8" t="s">
        <v>59</v>
      </c>
      <c r="F390" s="8" t="s">
        <v>813</v>
      </c>
      <c r="G390" s="8" t="s">
        <v>41</v>
      </c>
      <c r="H390" s="8" t="s">
        <v>42</v>
      </c>
      <c r="I390" s="8" t="s">
        <v>29</v>
      </c>
      <c r="J390" s="8" t="s">
        <v>75</v>
      </c>
      <c r="K390" s="8" t="s">
        <v>95</v>
      </c>
      <c r="L390" s="8" t="s">
        <v>82</v>
      </c>
      <c r="M390" s="8">
        <v>2</v>
      </c>
      <c r="N390" s="10">
        <v>25530.06</v>
      </c>
      <c r="O390" s="11">
        <v>0.3</v>
      </c>
      <c r="P390" s="10">
        <v>35742.080000000002</v>
      </c>
      <c r="Q390" s="10">
        <v>34422.480000000003</v>
      </c>
      <c r="R390" s="10">
        <v>1319.6</v>
      </c>
      <c r="S390" s="8" t="s">
        <v>53</v>
      </c>
      <c r="T390" s="8" t="s">
        <v>119</v>
      </c>
      <c r="U390" s="8">
        <v>3</v>
      </c>
      <c r="V390" s="8" t="s">
        <v>96</v>
      </c>
    </row>
    <row r="391" spans="1:22" x14ac:dyDescent="0.3">
      <c r="A391" s="12" t="s">
        <v>814</v>
      </c>
      <c r="B391" s="13">
        <v>45835</v>
      </c>
      <c r="C391" s="12" t="s">
        <v>48</v>
      </c>
      <c r="D391" s="12" t="s">
        <v>49</v>
      </c>
      <c r="E391" s="12" t="s">
        <v>39</v>
      </c>
      <c r="F391" s="12" t="s">
        <v>666</v>
      </c>
      <c r="G391" s="12" t="s">
        <v>27</v>
      </c>
      <c r="H391" s="12" t="s">
        <v>42</v>
      </c>
      <c r="I391" s="12" t="s">
        <v>29</v>
      </c>
      <c r="J391" s="12" t="s">
        <v>89</v>
      </c>
      <c r="K391" s="12" t="s">
        <v>90</v>
      </c>
      <c r="L391" s="12" t="s">
        <v>32</v>
      </c>
      <c r="M391" s="12">
        <v>5</v>
      </c>
      <c r="N391" s="14">
        <v>3354.91</v>
      </c>
      <c r="O391" s="15">
        <v>0.25</v>
      </c>
      <c r="P391" s="14">
        <v>12580.91</v>
      </c>
      <c r="Q391" s="14">
        <v>10542.5</v>
      </c>
      <c r="R391" s="14">
        <v>2038.41</v>
      </c>
      <c r="S391" s="12" t="s">
        <v>63</v>
      </c>
      <c r="T391" s="12" t="s">
        <v>147</v>
      </c>
      <c r="U391" s="12">
        <v>3</v>
      </c>
      <c r="V391" s="12" t="s">
        <v>157</v>
      </c>
    </row>
    <row r="392" spans="1:22" x14ac:dyDescent="0.3">
      <c r="A392" s="8" t="s">
        <v>815</v>
      </c>
      <c r="B392" s="9">
        <v>45667</v>
      </c>
      <c r="C392" s="8" t="s">
        <v>48</v>
      </c>
      <c r="D392" s="8" t="s">
        <v>49</v>
      </c>
      <c r="E392" s="8" t="s">
        <v>39</v>
      </c>
      <c r="F392" s="8" t="s">
        <v>816</v>
      </c>
      <c r="G392" s="8" t="s">
        <v>27</v>
      </c>
      <c r="H392" s="8" t="s">
        <v>42</v>
      </c>
      <c r="I392" s="8" t="s">
        <v>61</v>
      </c>
      <c r="J392" s="8" t="s">
        <v>75</v>
      </c>
      <c r="K392" s="8" t="s">
        <v>95</v>
      </c>
      <c r="L392" s="8" t="s">
        <v>91</v>
      </c>
      <c r="M392" s="8">
        <v>4</v>
      </c>
      <c r="N392" s="10">
        <v>25051.27</v>
      </c>
      <c r="O392" s="11">
        <v>0.15</v>
      </c>
      <c r="P392" s="10">
        <v>85174.32</v>
      </c>
      <c r="Q392" s="10">
        <v>71322.740000000005</v>
      </c>
      <c r="R392" s="10">
        <v>13851.58</v>
      </c>
      <c r="S392" s="8" t="s">
        <v>46</v>
      </c>
      <c r="T392" s="8" t="s">
        <v>104</v>
      </c>
      <c r="U392" s="8">
        <v>3</v>
      </c>
      <c r="V392" s="8" t="s">
        <v>84</v>
      </c>
    </row>
    <row r="393" spans="1:22" x14ac:dyDescent="0.3">
      <c r="A393" s="12" t="s">
        <v>817</v>
      </c>
      <c r="B393" s="13">
        <v>45679</v>
      </c>
      <c r="C393" s="12" t="s">
        <v>125</v>
      </c>
      <c r="D393" s="12" t="s">
        <v>126</v>
      </c>
      <c r="E393" s="12" t="s">
        <v>25</v>
      </c>
      <c r="F393" s="12" t="s">
        <v>818</v>
      </c>
      <c r="G393" s="12" t="s">
        <v>41</v>
      </c>
      <c r="H393" s="12" t="s">
        <v>42</v>
      </c>
      <c r="I393" s="12" t="s">
        <v>29</v>
      </c>
      <c r="J393" s="12" t="s">
        <v>30</v>
      </c>
      <c r="K393" s="12" t="s">
        <v>31</v>
      </c>
      <c r="L393" s="12" t="s">
        <v>82</v>
      </c>
      <c r="M393" s="12">
        <v>1</v>
      </c>
      <c r="N393" s="14">
        <v>4062.89</v>
      </c>
      <c r="O393" s="15">
        <v>0.15</v>
      </c>
      <c r="P393" s="14">
        <v>3453.46</v>
      </c>
      <c r="Q393" s="14">
        <v>2225.85</v>
      </c>
      <c r="R393" s="14">
        <v>1227.6099999999999</v>
      </c>
      <c r="S393" s="12" t="s">
        <v>33</v>
      </c>
      <c r="T393" s="12" t="s">
        <v>147</v>
      </c>
      <c r="U393" s="12">
        <v>3</v>
      </c>
      <c r="V393" s="12" t="s">
        <v>84</v>
      </c>
    </row>
    <row r="394" spans="1:22" x14ac:dyDescent="0.3">
      <c r="A394" s="8" t="s">
        <v>819</v>
      </c>
      <c r="B394" s="9">
        <v>45741</v>
      </c>
      <c r="C394" s="8" t="s">
        <v>57</v>
      </c>
      <c r="D394" s="8" t="s">
        <v>58</v>
      </c>
      <c r="E394" s="8" t="s">
        <v>59</v>
      </c>
      <c r="F394" s="8" t="s">
        <v>820</v>
      </c>
      <c r="G394" s="8" t="s">
        <v>41</v>
      </c>
      <c r="H394" s="8" t="s">
        <v>28</v>
      </c>
      <c r="I394" s="8" t="s">
        <v>68</v>
      </c>
      <c r="J394" s="8" t="s">
        <v>69</v>
      </c>
      <c r="K394" s="8" t="s">
        <v>70</v>
      </c>
      <c r="L394" s="8" t="s">
        <v>52</v>
      </c>
      <c r="M394" s="8">
        <v>5</v>
      </c>
      <c r="N394" s="10">
        <v>905.9</v>
      </c>
      <c r="O394" s="11">
        <v>0.2</v>
      </c>
      <c r="P394" s="10">
        <v>3623.6</v>
      </c>
      <c r="Q394" s="10">
        <v>2145.62</v>
      </c>
      <c r="R394" s="10">
        <v>1477.98</v>
      </c>
      <c r="S394" s="8" t="s">
        <v>33</v>
      </c>
      <c r="T394" s="8" t="s">
        <v>54</v>
      </c>
      <c r="U394" s="8">
        <v>5</v>
      </c>
      <c r="V394" s="8" t="s">
        <v>55</v>
      </c>
    </row>
    <row r="395" spans="1:22" x14ac:dyDescent="0.3">
      <c r="A395" s="12" t="s">
        <v>821</v>
      </c>
      <c r="B395" s="13">
        <v>45892</v>
      </c>
      <c r="C395" s="12" t="s">
        <v>113</v>
      </c>
      <c r="D395" s="12" t="s">
        <v>114</v>
      </c>
      <c r="E395" s="12" t="s">
        <v>59</v>
      </c>
      <c r="F395" s="12" t="s">
        <v>809</v>
      </c>
      <c r="G395" s="12" t="s">
        <v>41</v>
      </c>
      <c r="H395" s="12" t="s">
        <v>81</v>
      </c>
      <c r="I395" s="12" t="s">
        <v>61</v>
      </c>
      <c r="J395" s="12" t="s">
        <v>69</v>
      </c>
      <c r="K395" s="12" t="s">
        <v>137</v>
      </c>
      <c r="L395" s="12" t="s">
        <v>103</v>
      </c>
      <c r="M395" s="12">
        <v>3</v>
      </c>
      <c r="N395" s="14">
        <v>492.75</v>
      </c>
      <c r="O395" s="15">
        <v>0.25</v>
      </c>
      <c r="P395" s="14">
        <v>1108.69</v>
      </c>
      <c r="Q395" s="14">
        <v>636.58000000000004</v>
      </c>
      <c r="R395" s="14">
        <v>472.11</v>
      </c>
      <c r="S395" s="12" t="s">
        <v>83</v>
      </c>
      <c r="T395" s="12" t="s">
        <v>64</v>
      </c>
      <c r="U395" s="12">
        <v>5</v>
      </c>
      <c r="V395" s="12" t="s">
        <v>72</v>
      </c>
    </row>
    <row r="396" spans="1:22" x14ac:dyDescent="0.3">
      <c r="A396" s="8" t="s">
        <v>822</v>
      </c>
      <c r="B396" s="9">
        <v>45726</v>
      </c>
      <c r="C396" s="8" t="s">
        <v>23</v>
      </c>
      <c r="D396" s="8" t="s">
        <v>24</v>
      </c>
      <c r="E396" s="8" t="s">
        <v>25</v>
      </c>
      <c r="F396" s="8" t="s">
        <v>823</v>
      </c>
      <c r="G396" s="8" t="s">
        <v>41</v>
      </c>
      <c r="H396" s="8" t="s">
        <v>94</v>
      </c>
      <c r="I396" s="8" t="s">
        <v>68</v>
      </c>
      <c r="J396" s="8" t="s">
        <v>101</v>
      </c>
      <c r="K396" s="8" t="s">
        <v>110</v>
      </c>
      <c r="L396" s="8" t="s">
        <v>45</v>
      </c>
      <c r="M396" s="8">
        <v>4</v>
      </c>
      <c r="N396" s="10">
        <v>4823.5</v>
      </c>
      <c r="O396" s="11">
        <v>0.3</v>
      </c>
      <c r="P396" s="10">
        <v>13505.8</v>
      </c>
      <c r="Q396" s="10">
        <v>13114.68</v>
      </c>
      <c r="R396" s="10">
        <v>391.12</v>
      </c>
      <c r="S396" s="8" t="s">
        <v>83</v>
      </c>
      <c r="T396" s="8" t="s">
        <v>156</v>
      </c>
      <c r="U396" s="8">
        <v>3</v>
      </c>
      <c r="V396" s="8" t="s">
        <v>55</v>
      </c>
    </row>
    <row r="397" spans="1:22" x14ac:dyDescent="0.3">
      <c r="A397" s="12" t="s">
        <v>824</v>
      </c>
      <c r="B397" s="13">
        <v>45800</v>
      </c>
      <c r="C397" s="12" t="s">
        <v>113</v>
      </c>
      <c r="D397" s="12" t="s">
        <v>114</v>
      </c>
      <c r="E397" s="12" t="s">
        <v>59</v>
      </c>
      <c r="F397" s="12" t="s">
        <v>825</v>
      </c>
      <c r="G397" s="12" t="s">
        <v>41</v>
      </c>
      <c r="H397" s="12" t="s">
        <v>28</v>
      </c>
      <c r="I397" s="12" t="s">
        <v>61</v>
      </c>
      <c r="J397" s="12" t="s">
        <v>30</v>
      </c>
      <c r="K397" s="12" t="s">
        <v>62</v>
      </c>
      <c r="L397" s="12" t="s">
        <v>32</v>
      </c>
      <c r="M397" s="12">
        <v>4</v>
      </c>
      <c r="N397" s="14">
        <v>989.69</v>
      </c>
      <c r="O397" s="15">
        <v>0.25</v>
      </c>
      <c r="P397" s="14">
        <v>2969.07</v>
      </c>
      <c r="Q397" s="14">
        <v>1795.91</v>
      </c>
      <c r="R397" s="14">
        <v>1173.1600000000001</v>
      </c>
      <c r="S397" s="12" t="s">
        <v>46</v>
      </c>
      <c r="T397" s="12" t="s">
        <v>34</v>
      </c>
      <c r="U397" s="12">
        <v>4</v>
      </c>
      <c r="V397" s="12" t="s">
        <v>134</v>
      </c>
    </row>
    <row r="398" spans="1:22" x14ac:dyDescent="0.3">
      <c r="A398" s="8" t="s">
        <v>826</v>
      </c>
      <c r="B398" s="9">
        <v>45749</v>
      </c>
      <c r="C398" s="8" t="s">
        <v>125</v>
      </c>
      <c r="D398" s="8" t="s">
        <v>126</v>
      </c>
      <c r="E398" s="8" t="s">
        <v>25</v>
      </c>
      <c r="F398" s="8" t="s">
        <v>827</v>
      </c>
      <c r="G398" s="8" t="s">
        <v>41</v>
      </c>
      <c r="H398" s="8" t="s">
        <v>42</v>
      </c>
      <c r="I398" s="8" t="s">
        <v>29</v>
      </c>
      <c r="J398" s="8" t="s">
        <v>43</v>
      </c>
      <c r="K398" s="8" t="s">
        <v>51</v>
      </c>
      <c r="L398" s="8" t="s">
        <v>82</v>
      </c>
      <c r="M398" s="8">
        <v>3</v>
      </c>
      <c r="N398" s="10">
        <v>1488.07</v>
      </c>
      <c r="O398" s="11">
        <v>0</v>
      </c>
      <c r="P398" s="10">
        <v>4464.21</v>
      </c>
      <c r="Q398" s="10">
        <v>2040.32</v>
      </c>
      <c r="R398" s="10">
        <v>2423.89</v>
      </c>
      <c r="S398" s="8" t="s">
        <v>33</v>
      </c>
      <c r="T398" s="8" t="s">
        <v>111</v>
      </c>
      <c r="U398" s="8">
        <v>3</v>
      </c>
      <c r="V398" s="8" t="s">
        <v>96</v>
      </c>
    </row>
    <row r="399" spans="1:22" x14ac:dyDescent="0.3">
      <c r="A399" s="12" t="s">
        <v>828</v>
      </c>
      <c r="B399" s="13">
        <v>45825</v>
      </c>
      <c r="C399" s="12" t="s">
        <v>48</v>
      </c>
      <c r="D399" s="12" t="s">
        <v>49</v>
      </c>
      <c r="E399" s="12" t="s">
        <v>39</v>
      </c>
      <c r="F399" s="12" t="s">
        <v>829</v>
      </c>
      <c r="G399" s="12" t="s">
        <v>41</v>
      </c>
      <c r="H399" s="12" t="s">
        <v>42</v>
      </c>
      <c r="I399" s="12" t="s">
        <v>29</v>
      </c>
      <c r="J399" s="12" t="s">
        <v>101</v>
      </c>
      <c r="K399" s="12" t="s">
        <v>102</v>
      </c>
      <c r="L399" s="12" t="s">
        <v>77</v>
      </c>
      <c r="M399" s="12">
        <v>5</v>
      </c>
      <c r="N399" s="14">
        <v>669.2</v>
      </c>
      <c r="O399" s="15">
        <v>0.15</v>
      </c>
      <c r="P399" s="14">
        <v>2844.1</v>
      </c>
      <c r="Q399" s="14">
        <v>1285.1099999999999</v>
      </c>
      <c r="R399" s="14">
        <v>1558.99</v>
      </c>
      <c r="S399" s="12" t="s">
        <v>83</v>
      </c>
      <c r="T399" s="12" t="s">
        <v>119</v>
      </c>
      <c r="U399" s="12">
        <v>5</v>
      </c>
      <c r="V399" s="12" t="s">
        <v>157</v>
      </c>
    </row>
    <row r="400" spans="1:22" x14ac:dyDescent="0.3">
      <c r="A400" s="8" t="s">
        <v>830</v>
      </c>
      <c r="B400" s="9">
        <v>45907</v>
      </c>
      <c r="C400" s="8" t="s">
        <v>86</v>
      </c>
      <c r="D400" s="8" t="s">
        <v>87</v>
      </c>
      <c r="E400" s="8" t="s">
        <v>59</v>
      </c>
      <c r="F400" s="8" t="s">
        <v>831</v>
      </c>
      <c r="G400" s="8" t="s">
        <v>27</v>
      </c>
      <c r="H400" s="8" t="s">
        <v>28</v>
      </c>
      <c r="I400" s="8" t="s">
        <v>61</v>
      </c>
      <c r="J400" s="8" t="s">
        <v>101</v>
      </c>
      <c r="K400" s="8" t="s">
        <v>102</v>
      </c>
      <c r="L400" s="8" t="s">
        <v>103</v>
      </c>
      <c r="M400" s="8">
        <v>2</v>
      </c>
      <c r="N400" s="10">
        <v>713.86</v>
      </c>
      <c r="O400" s="11">
        <v>0.15</v>
      </c>
      <c r="P400" s="10">
        <v>1213.56</v>
      </c>
      <c r="Q400" s="10">
        <v>500.01</v>
      </c>
      <c r="R400" s="10">
        <v>713.55</v>
      </c>
      <c r="S400" s="8" t="s">
        <v>83</v>
      </c>
      <c r="T400" s="8" t="s">
        <v>104</v>
      </c>
      <c r="U400" s="8">
        <v>5</v>
      </c>
      <c r="V400" s="8" t="s">
        <v>116</v>
      </c>
    </row>
    <row r="401" spans="1:22" x14ac:dyDescent="0.3">
      <c r="A401" s="12" t="s">
        <v>832</v>
      </c>
      <c r="B401" s="13">
        <v>45967</v>
      </c>
      <c r="C401" s="12" t="s">
        <v>57</v>
      </c>
      <c r="D401" s="12" t="s">
        <v>58</v>
      </c>
      <c r="E401" s="12" t="s">
        <v>59</v>
      </c>
      <c r="F401" s="12" t="s">
        <v>833</v>
      </c>
      <c r="G401" s="12" t="s">
        <v>41</v>
      </c>
      <c r="H401" s="12" t="s">
        <v>42</v>
      </c>
      <c r="I401" s="12" t="s">
        <v>29</v>
      </c>
      <c r="J401" s="12" t="s">
        <v>69</v>
      </c>
      <c r="K401" s="12" t="s">
        <v>137</v>
      </c>
      <c r="L401" s="12" t="s">
        <v>32</v>
      </c>
      <c r="M401" s="12">
        <v>2</v>
      </c>
      <c r="N401" s="14">
        <v>519.63</v>
      </c>
      <c r="O401" s="15">
        <v>0.15</v>
      </c>
      <c r="P401" s="14">
        <v>883.37</v>
      </c>
      <c r="Q401" s="14">
        <v>444.94</v>
      </c>
      <c r="R401" s="14">
        <v>438.43</v>
      </c>
      <c r="S401" s="12" t="s">
        <v>46</v>
      </c>
      <c r="T401" s="12" t="s">
        <v>34</v>
      </c>
      <c r="U401" s="12">
        <v>5</v>
      </c>
      <c r="V401" s="12" t="s">
        <v>65</v>
      </c>
    </row>
    <row r="402" spans="1:22" x14ac:dyDescent="0.3">
      <c r="A402" s="8" t="s">
        <v>834</v>
      </c>
      <c r="B402" s="9">
        <v>46004</v>
      </c>
      <c r="C402" s="8" t="s">
        <v>98</v>
      </c>
      <c r="D402" s="8" t="s">
        <v>99</v>
      </c>
      <c r="E402" s="8" t="s">
        <v>25</v>
      </c>
      <c r="F402" s="8" t="s">
        <v>750</v>
      </c>
      <c r="G402" s="8" t="s">
        <v>41</v>
      </c>
      <c r="H402" s="8" t="s">
        <v>28</v>
      </c>
      <c r="I402" s="8" t="s">
        <v>29</v>
      </c>
      <c r="J402" s="8" t="s">
        <v>89</v>
      </c>
      <c r="K402" s="8" t="s">
        <v>89</v>
      </c>
      <c r="L402" s="8" t="s">
        <v>32</v>
      </c>
      <c r="M402" s="8">
        <v>5</v>
      </c>
      <c r="N402" s="10">
        <v>1250.43</v>
      </c>
      <c r="O402" s="11">
        <v>0</v>
      </c>
      <c r="P402" s="10">
        <v>6252.15</v>
      </c>
      <c r="Q402" s="10">
        <v>3542.22</v>
      </c>
      <c r="R402" s="10">
        <v>2709.93</v>
      </c>
      <c r="S402" s="8" t="s">
        <v>53</v>
      </c>
      <c r="T402" s="8" t="s">
        <v>119</v>
      </c>
      <c r="U402" s="8">
        <v>4</v>
      </c>
      <c r="V402" s="8" t="s">
        <v>35</v>
      </c>
    </row>
    <row r="403" spans="1:22" x14ac:dyDescent="0.3">
      <c r="A403" s="12" t="s">
        <v>835</v>
      </c>
      <c r="B403" s="13">
        <v>45720</v>
      </c>
      <c r="C403" s="12" t="s">
        <v>37</v>
      </c>
      <c r="D403" s="12" t="s">
        <v>38</v>
      </c>
      <c r="E403" s="12" t="s">
        <v>39</v>
      </c>
      <c r="F403" s="12" t="s">
        <v>836</v>
      </c>
      <c r="G403" s="12" t="s">
        <v>27</v>
      </c>
      <c r="H403" s="12" t="s">
        <v>81</v>
      </c>
      <c r="I403" s="12" t="s">
        <v>68</v>
      </c>
      <c r="J403" s="12" t="s">
        <v>89</v>
      </c>
      <c r="K403" s="12" t="s">
        <v>90</v>
      </c>
      <c r="L403" s="12" t="s">
        <v>175</v>
      </c>
      <c r="M403" s="12">
        <v>4</v>
      </c>
      <c r="N403" s="14">
        <v>3646.58</v>
      </c>
      <c r="O403" s="15">
        <v>0.2</v>
      </c>
      <c r="P403" s="14">
        <v>11669.06</v>
      </c>
      <c r="Q403" s="14">
        <v>8371.7000000000007</v>
      </c>
      <c r="R403" s="14">
        <v>3297.36</v>
      </c>
      <c r="S403" s="12" t="s">
        <v>63</v>
      </c>
      <c r="T403" s="12" t="s">
        <v>104</v>
      </c>
      <c r="U403" s="12">
        <v>4</v>
      </c>
      <c r="V403" s="12" t="s">
        <v>55</v>
      </c>
    </row>
    <row r="404" spans="1:22" x14ac:dyDescent="0.3">
      <c r="A404" s="8" t="s">
        <v>837</v>
      </c>
      <c r="B404" s="9">
        <v>45661</v>
      </c>
      <c r="C404" s="8" t="s">
        <v>113</v>
      </c>
      <c r="D404" s="8" t="s">
        <v>114</v>
      </c>
      <c r="E404" s="8" t="s">
        <v>59</v>
      </c>
      <c r="F404" s="8" t="s">
        <v>838</v>
      </c>
      <c r="G404" s="8" t="s">
        <v>27</v>
      </c>
      <c r="H404" s="8" t="s">
        <v>42</v>
      </c>
      <c r="I404" s="8" t="s">
        <v>29</v>
      </c>
      <c r="J404" s="8" t="s">
        <v>30</v>
      </c>
      <c r="K404" s="8" t="s">
        <v>62</v>
      </c>
      <c r="L404" s="8" t="s">
        <v>175</v>
      </c>
      <c r="M404" s="8">
        <v>3</v>
      </c>
      <c r="N404" s="10">
        <v>1022.62</v>
      </c>
      <c r="O404" s="11">
        <v>0.2</v>
      </c>
      <c r="P404" s="10">
        <v>2454.29</v>
      </c>
      <c r="Q404" s="10">
        <v>1296.71</v>
      </c>
      <c r="R404" s="10">
        <v>1157.58</v>
      </c>
      <c r="S404" s="8" t="s">
        <v>53</v>
      </c>
      <c r="T404" s="8" t="s">
        <v>111</v>
      </c>
      <c r="U404" s="8">
        <v>3</v>
      </c>
      <c r="V404" s="8" t="s">
        <v>84</v>
      </c>
    </row>
    <row r="405" spans="1:22" x14ac:dyDescent="0.3">
      <c r="A405" s="12" t="s">
        <v>839</v>
      </c>
      <c r="B405" s="13">
        <v>45996</v>
      </c>
      <c r="C405" s="12" t="s">
        <v>37</v>
      </c>
      <c r="D405" s="12" t="s">
        <v>38</v>
      </c>
      <c r="E405" s="12" t="s">
        <v>39</v>
      </c>
      <c r="F405" s="12" t="s">
        <v>734</v>
      </c>
      <c r="G405" s="12" t="s">
        <v>27</v>
      </c>
      <c r="H405" s="12" t="s">
        <v>28</v>
      </c>
      <c r="I405" s="12" t="s">
        <v>68</v>
      </c>
      <c r="J405" s="12" t="s">
        <v>75</v>
      </c>
      <c r="K405" s="12" t="s">
        <v>76</v>
      </c>
      <c r="L405" s="12" t="s">
        <v>32</v>
      </c>
      <c r="M405" s="12">
        <v>2</v>
      </c>
      <c r="N405" s="14">
        <v>797.15</v>
      </c>
      <c r="O405" s="15">
        <v>0.05</v>
      </c>
      <c r="P405" s="14">
        <v>1514.58</v>
      </c>
      <c r="Q405" s="14">
        <v>722.37</v>
      </c>
      <c r="R405" s="14">
        <v>792.21</v>
      </c>
      <c r="S405" s="12" t="s">
        <v>83</v>
      </c>
      <c r="T405" s="12" t="s">
        <v>64</v>
      </c>
      <c r="U405" s="12">
        <v>4</v>
      </c>
      <c r="V405" s="12" t="s">
        <v>35</v>
      </c>
    </row>
    <row r="406" spans="1:22" x14ac:dyDescent="0.3">
      <c r="A406" s="8" t="s">
        <v>840</v>
      </c>
      <c r="B406" s="9">
        <v>46008</v>
      </c>
      <c r="C406" s="8" t="s">
        <v>107</v>
      </c>
      <c r="D406" s="8" t="s">
        <v>108</v>
      </c>
      <c r="E406" s="8" t="s">
        <v>39</v>
      </c>
      <c r="F406" s="8" t="s">
        <v>841</v>
      </c>
      <c r="G406" s="8" t="s">
        <v>27</v>
      </c>
      <c r="H406" s="8" t="s">
        <v>94</v>
      </c>
      <c r="I406" s="8" t="s">
        <v>68</v>
      </c>
      <c r="J406" s="8" t="s">
        <v>75</v>
      </c>
      <c r="K406" s="8" t="s">
        <v>154</v>
      </c>
      <c r="L406" s="8" t="s">
        <v>77</v>
      </c>
      <c r="M406" s="8">
        <v>1</v>
      </c>
      <c r="N406" s="10">
        <v>1956.53</v>
      </c>
      <c r="O406" s="11">
        <v>0.25</v>
      </c>
      <c r="P406" s="10">
        <v>1467.4</v>
      </c>
      <c r="Q406" s="10">
        <v>1056.69</v>
      </c>
      <c r="R406" s="10">
        <v>410.71</v>
      </c>
      <c r="S406" s="8" t="s">
        <v>53</v>
      </c>
      <c r="T406" s="8" t="s">
        <v>104</v>
      </c>
      <c r="U406" s="8">
        <v>5</v>
      </c>
      <c r="V406" s="8" t="s">
        <v>35</v>
      </c>
    </row>
    <row r="407" spans="1:22" x14ac:dyDescent="0.3">
      <c r="A407" s="12" t="s">
        <v>842</v>
      </c>
      <c r="B407" s="13">
        <v>45891</v>
      </c>
      <c r="C407" s="12" t="s">
        <v>57</v>
      </c>
      <c r="D407" s="12" t="s">
        <v>58</v>
      </c>
      <c r="E407" s="12" t="s">
        <v>59</v>
      </c>
      <c r="F407" s="12" t="s">
        <v>843</v>
      </c>
      <c r="G407" s="12" t="s">
        <v>41</v>
      </c>
      <c r="H407" s="12" t="s">
        <v>81</v>
      </c>
      <c r="I407" s="12" t="s">
        <v>29</v>
      </c>
      <c r="J407" s="12" t="s">
        <v>69</v>
      </c>
      <c r="K407" s="12" t="s">
        <v>137</v>
      </c>
      <c r="L407" s="12" t="s">
        <v>77</v>
      </c>
      <c r="M407" s="12">
        <v>5</v>
      </c>
      <c r="N407" s="14">
        <v>520.03</v>
      </c>
      <c r="O407" s="15">
        <v>0.2</v>
      </c>
      <c r="P407" s="14">
        <v>2080.12</v>
      </c>
      <c r="Q407" s="14">
        <v>1057.6099999999999</v>
      </c>
      <c r="R407" s="14">
        <v>1022.51</v>
      </c>
      <c r="S407" s="12" t="s">
        <v>53</v>
      </c>
      <c r="T407" s="12" t="s">
        <v>104</v>
      </c>
      <c r="U407" s="12">
        <v>3</v>
      </c>
      <c r="V407" s="12" t="s">
        <v>72</v>
      </c>
    </row>
    <row r="408" spans="1:22" x14ac:dyDescent="0.3">
      <c r="A408" s="8" t="s">
        <v>844</v>
      </c>
      <c r="B408" s="9">
        <v>45949</v>
      </c>
      <c r="C408" s="8" t="s">
        <v>57</v>
      </c>
      <c r="D408" s="8" t="s">
        <v>58</v>
      </c>
      <c r="E408" s="8" t="s">
        <v>59</v>
      </c>
      <c r="F408" s="8" t="s">
        <v>548</v>
      </c>
      <c r="G408" s="8" t="s">
        <v>27</v>
      </c>
      <c r="H408" s="8" t="s">
        <v>28</v>
      </c>
      <c r="I408" s="8" t="s">
        <v>68</v>
      </c>
      <c r="J408" s="8" t="s">
        <v>89</v>
      </c>
      <c r="K408" s="8" t="s">
        <v>151</v>
      </c>
      <c r="L408" s="8" t="s">
        <v>91</v>
      </c>
      <c r="M408" s="8">
        <v>1</v>
      </c>
      <c r="N408" s="10">
        <v>973.75</v>
      </c>
      <c r="O408" s="11">
        <v>0.3</v>
      </c>
      <c r="P408" s="10">
        <v>681.62</v>
      </c>
      <c r="Q408" s="10">
        <v>509.61</v>
      </c>
      <c r="R408" s="10">
        <v>172.01</v>
      </c>
      <c r="S408" s="8" t="s">
        <v>63</v>
      </c>
      <c r="T408" s="8" t="s">
        <v>147</v>
      </c>
      <c r="U408" s="8">
        <v>4</v>
      </c>
      <c r="V408" s="8" t="s">
        <v>123</v>
      </c>
    </row>
    <row r="409" spans="1:22" x14ac:dyDescent="0.3">
      <c r="A409" s="12" t="s">
        <v>845</v>
      </c>
      <c r="B409" s="13">
        <v>45966</v>
      </c>
      <c r="C409" s="12" t="s">
        <v>125</v>
      </c>
      <c r="D409" s="12" t="s">
        <v>126</v>
      </c>
      <c r="E409" s="12" t="s">
        <v>25</v>
      </c>
      <c r="F409" s="12" t="s">
        <v>719</v>
      </c>
      <c r="G409" s="12" t="s">
        <v>41</v>
      </c>
      <c r="H409" s="12" t="s">
        <v>42</v>
      </c>
      <c r="I409" s="12" t="s">
        <v>29</v>
      </c>
      <c r="J409" s="12" t="s">
        <v>30</v>
      </c>
      <c r="K409" s="12" t="s">
        <v>144</v>
      </c>
      <c r="L409" s="12" t="s">
        <v>91</v>
      </c>
      <c r="M409" s="12">
        <v>5</v>
      </c>
      <c r="N409" s="14">
        <v>2506.13</v>
      </c>
      <c r="O409" s="15">
        <v>0.15</v>
      </c>
      <c r="P409" s="14">
        <v>10651.05</v>
      </c>
      <c r="Q409" s="14">
        <v>7165.85</v>
      </c>
      <c r="R409" s="14">
        <v>3485.2</v>
      </c>
      <c r="S409" s="12" t="s">
        <v>83</v>
      </c>
      <c r="T409" s="12" t="s">
        <v>78</v>
      </c>
      <c r="U409" s="12">
        <v>3</v>
      </c>
      <c r="V409" s="12" t="s">
        <v>65</v>
      </c>
    </row>
    <row r="410" spans="1:22" x14ac:dyDescent="0.3">
      <c r="A410" s="8" t="s">
        <v>846</v>
      </c>
      <c r="B410" s="9">
        <v>45680</v>
      </c>
      <c r="C410" s="8" t="s">
        <v>113</v>
      </c>
      <c r="D410" s="8" t="s">
        <v>114</v>
      </c>
      <c r="E410" s="8" t="s">
        <v>59</v>
      </c>
      <c r="F410" s="8" t="s">
        <v>847</v>
      </c>
      <c r="G410" s="8" t="s">
        <v>27</v>
      </c>
      <c r="H410" s="8" t="s">
        <v>28</v>
      </c>
      <c r="I410" s="8" t="s">
        <v>68</v>
      </c>
      <c r="J410" s="8" t="s">
        <v>75</v>
      </c>
      <c r="K410" s="8" t="s">
        <v>154</v>
      </c>
      <c r="L410" s="8" t="s">
        <v>82</v>
      </c>
      <c r="M410" s="8">
        <v>3</v>
      </c>
      <c r="N410" s="10">
        <v>2072.98</v>
      </c>
      <c r="O410" s="11">
        <v>0.2</v>
      </c>
      <c r="P410" s="10">
        <v>4975.1499999999996</v>
      </c>
      <c r="Q410" s="10">
        <v>3334.64</v>
      </c>
      <c r="R410" s="10">
        <v>1640.51</v>
      </c>
      <c r="S410" s="8" t="s">
        <v>33</v>
      </c>
      <c r="T410" s="8" t="s">
        <v>78</v>
      </c>
      <c r="U410" s="8">
        <v>3</v>
      </c>
      <c r="V410" s="8" t="s">
        <v>84</v>
      </c>
    </row>
    <row r="411" spans="1:22" x14ac:dyDescent="0.3">
      <c r="A411" s="12" t="s">
        <v>848</v>
      </c>
      <c r="B411" s="13">
        <v>45978</v>
      </c>
      <c r="C411" s="12" t="s">
        <v>48</v>
      </c>
      <c r="D411" s="12" t="s">
        <v>49</v>
      </c>
      <c r="E411" s="12" t="s">
        <v>39</v>
      </c>
      <c r="F411" s="12" t="s">
        <v>849</v>
      </c>
      <c r="G411" s="12" t="s">
        <v>41</v>
      </c>
      <c r="H411" s="12" t="s">
        <v>81</v>
      </c>
      <c r="I411" s="12" t="s">
        <v>61</v>
      </c>
      <c r="J411" s="12" t="s">
        <v>89</v>
      </c>
      <c r="K411" s="12" t="s">
        <v>151</v>
      </c>
      <c r="L411" s="12" t="s">
        <v>175</v>
      </c>
      <c r="M411" s="12">
        <v>5</v>
      </c>
      <c r="N411" s="14">
        <v>970.08</v>
      </c>
      <c r="O411" s="15">
        <v>0.05</v>
      </c>
      <c r="P411" s="14">
        <v>4607.88</v>
      </c>
      <c r="Q411" s="14">
        <v>2452.42</v>
      </c>
      <c r="R411" s="14">
        <v>2155.46</v>
      </c>
      <c r="S411" s="12" t="s">
        <v>63</v>
      </c>
      <c r="T411" s="12" t="s">
        <v>64</v>
      </c>
      <c r="U411" s="12">
        <v>5</v>
      </c>
      <c r="V411" s="12" t="s">
        <v>65</v>
      </c>
    </row>
    <row r="412" spans="1:22" x14ac:dyDescent="0.3">
      <c r="A412" s="8" t="s">
        <v>850</v>
      </c>
      <c r="B412" s="9">
        <v>45676</v>
      </c>
      <c r="C412" s="8" t="s">
        <v>131</v>
      </c>
      <c r="D412" s="8" t="s">
        <v>132</v>
      </c>
      <c r="E412" s="8" t="s">
        <v>25</v>
      </c>
      <c r="F412" s="8" t="s">
        <v>851</v>
      </c>
      <c r="G412" s="8" t="s">
        <v>27</v>
      </c>
      <c r="H412" s="8" t="s">
        <v>42</v>
      </c>
      <c r="I412" s="8" t="s">
        <v>68</v>
      </c>
      <c r="J412" s="8" t="s">
        <v>75</v>
      </c>
      <c r="K412" s="8" t="s">
        <v>95</v>
      </c>
      <c r="L412" s="8" t="s">
        <v>32</v>
      </c>
      <c r="M412" s="8">
        <v>3</v>
      </c>
      <c r="N412" s="10">
        <v>25945.72</v>
      </c>
      <c r="O412" s="11">
        <v>0.15</v>
      </c>
      <c r="P412" s="10">
        <v>66161.59</v>
      </c>
      <c r="Q412" s="10">
        <v>51598.34</v>
      </c>
      <c r="R412" s="10">
        <v>14563.25</v>
      </c>
      <c r="S412" s="8" t="s">
        <v>63</v>
      </c>
      <c r="T412" s="8" t="s">
        <v>78</v>
      </c>
      <c r="U412" s="8">
        <v>3</v>
      </c>
      <c r="V412" s="8" t="s">
        <v>84</v>
      </c>
    </row>
    <row r="413" spans="1:22" x14ac:dyDescent="0.3">
      <c r="A413" s="12" t="s">
        <v>852</v>
      </c>
      <c r="B413" s="13">
        <v>45884</v>
      </c>
      <c r="C413" s="12" t="s">
        <v>86</v>
      </c>
      <c r="D413" s="12" t="s">
        <v>87</v>
      </c>
      <c r="E413" s="12" t="s">
        <v>59</v>
      </c>
      <c r="F413" s="12" t="s">
        <v>853</v>
      </c>
      <c r="G413" s="12" t="s">
        <v>27</v>
      </c>
      <c r="H413" s="12" t="s">
        <v>94</v>
      </c>
      <c r="I413" s="12" t="s">
        <v>29</v>
      </c>
      <c r="J413" s="12" t="s">
        <v>101</v>
      </c>
      <c r="K413" s="12" t="s">
        <v>102</v>
      </c>
      <c r="L413" s="12" t="s">
        <v>45</v>
      </c>
      <c r="M413" s="12">
        <v>5</v>
      </c>
      <c r="N413" s="14">
        <v>688.14</v>
      </c>
      <c r="O413" s="15">
        <v>0</v>
      </c>
      <c r="P413" s="14">
        <v>3440.7</v>
      </c>
      <c r="Q413" s="14">
        <v>1296.06</v>
      </c>
      <c r="R413" s="14">
        <v>2144.64</v>
      </c>
      <c r="S413" s="12" t="s">
        <v>63</v>
      </c>
      <c r="T413" s="12" t="s">
        <v>54</v>
      </c>
      <c r="U413" s="12">
        <v>3</v>
      </c>
      <c r="V413" s="12" t="s">
        <v>72</v>
      </c>
    </row>
    <row r="414" spans="1:22" x14ac:dyDescent="0.3">
      <c r="A414" s="8" t="s">
        <v>854</v>
      </c>
      <c r="B414" s="9">
        <v>45855</v>
      </c>
      <c r="C414" s="8" t="s">
        <v>86</v>
      </c>
      <c r="D414" s="8" t="s">
        <v>87</v>
      </c>
      <c r="E414" s="8" t="s">
        <v>59</v>
      </c>
      <c r="F414" s="8" t="s">
        <v>279</v>
      </c>
      <c r="G414" s="8" t="s">
        <v>27</v>
      </c>
      <c r="H414" s="8" t="s">
        <v>81</v>
      </c>
      <c r="I414" s="8" t="s">
        <v>29</v>
      </c>
      <c r="J414" s="8" t="s">
        <v>69</v>
      </c>
      <c r="K414" s="8" t="s">
        <v>137</v>
      </c>
      <c r="L414" s="8" t="s">
        <v>91</v>
      </c>
      <c r="M414" s="8">
        <v>3</v>
      </c>
      <c r="N414" s="10">
        <v>509.04</v>
      </c>
      <c r="O414" s="11">
        <v>0</v>
      </c>
      <c r="P414" s="10">
        <v>1527.12</v>
      </c>
      <c r="Q414" s="10">
        <v>688.79</v>
      </c>
      <c r="R414" s="10">
        <v>838.33</v>
      </c>
      <c r="S414" s="8" t="s">
        <v>83</v>
      </c>
      <c r="T414" s="8" t="s">
        <v>111</v>
      </c>
      <c r="U414" s="8">
        <v>4</v>
      </c>
      <c r="V414" s="8" t="s">
        <v>120</v>
      </c>
    </row>
    <row r="415" spans="1:22" x14ac:dyDescent="0.3">
      <c r="A415" s="12" t="s">
        <v>855</v>
      </c>
      <c r="B415" s="13">
        <v>45839</v>
      </c>
      <c r="C415" s="12" t="s">
        <v>107</v>
      </c>
      <c r="D415" s="12" t="s">
        <v>108</v>
      </c>
      <c r="E415" s="12" t="s">
        <v>39</v>
      </c>
      <c r="F415" s="12" t="s">
        <v>856</v>
      </c>
      <c r="G415" s="12" t="s">
        <v>27</v>
      </c>
      <c r="H415" s="12" t="s">
        <v>28</v>
      </c>
      <c r="I415" s="12" t="s">
        <v>68</v>
      </c>
      <c r="J415" s="12" t="s">
        <v>43</v>
      </c>
      <c r="K415" s="12" t="s">
        <v>162</v>
      </c>
      <c r="L415" s="12" t="s">
        <v>91</v>
      </c>
      <c r="M415" s="12">
        <v>1</v>
      </c>
      <c r="N415" s="14">
        <v>884.87</v>
      </c>
      <c r="O415" s="15">
        <v>0.05</v>
      </c>
      <c r="P415" s="14">
        <v>840.63</v>
      </c>
      <c r="Q415" s="14">
        <v>406.62</v>
      </c>
      <c r="R415" s="14">
        <v>434.01</v>
      </c>
      <c r="S415" s="12" t="s">
        <v>63</v>
      </c>
      <c r="T415" s="12" t="s">
        <v>34</v>
      </c>
      <c r="U415" s="12">
        <v>3</v>
      </c>
      <c r="V415" s="12" t="s">
        <v>120</v>
      </c>
    </row>
    <row r="416" spans="1:22" x14ac:dyDescent="0.3">
      <c r="A416" s="8" t="s">
        <v>857</v>
      </c>
      <c r="B416" s="9">
        <v>45911</v>
      </c>
      <c r="C416" s="8" t="s">
        <v>125</v>
      </c>
      <c r="D416" s="8" t="s">
        <v>126</v>
      </c>
      <c r="E416" s="8" t="s">
        <v>25</v>
      </c>
      <c r="F416" s="8" t="s">
        <v>508</v>
      </c>
      <c r="G416" s="8" t="s">
        <v>41</v>
      </c>
      <c r="H416" s="8" t="s">
        <v>28</v>
      </c>
      <c r="I416" s="8" t="s">
        <v>68</v>
      </c>
      <c r="J416" s="8" t="s">
        <v>101</v>
      </c>
      <c r="K416" s="8" t="s">
        <v>217</v>
      </c>
      <c r="L416" s="8" t="s">
        <v>82</v>
      </c>
      <c r="M416" s="8">
        <v>3</v>
      </c>
      <c r="N416" s="10">
        <v>3014.77</v>
      </c>
      <c r="O416" s="11">
        <v>0.25</v>
      </c>
      <c r="P416" s="10">
        <v>6783.23</v>
      </c>
      <c r="Q416" s="10">
        <v>4983.7299999999996</v>
      </c>
      <c r="R416" s="10">
        <v>1799.5</v>
      </c>
      <c r="S416" s="8" t="s">
        <v>46</v>
      </c>
      <c r="T416" s="8" t="s">
        <v>156</v>
      </c>
      <c r="U416" s="8">
        <v>5</v>
      </c>
      <c r="V416" s="8" t="s">
        <v>116</v>
      </c>
    </row>
    <row r="417" spans="1:22" x14ac:dyDescent="0.3">
      <c r="A417" s="12" t="s">
        <v>858</v>
      </c>
      <c r="B417" s="13">
        <v>46017</v>
      </c>
      <c r="C417" s="12" t="s">
        <v>86</v>
      </c>
      <c r="D417" s="12" t="s">
        <v>87</v>
      </c>
      <c r="E417" s="12" t="s">
        <v>59</v>
      </c>
      <c r="F417" s="12" t="s">
        <v>859</v>
      </c>
      <c r="G417" s="12" t="s">
        <v>41</v>
      </c>
      <c r="H417" s="12" t="s">
        <v>94</v>
      </c>
      <c r="I417" s="12" t="s">
        <v>61</v>
      </c>
      <c r="J417" s="12" t="s">
        <v>30</v>
      </c>
      <c r="K417" s="12" t="s">
        <v>31</v>
      </c>
      <c r="L417" s="12" t="s">
        <v>82</v>
      </c>
      <c r="M417" s="12">
        <v>1</v>
      </c>
      <c r="N417" s="14">
        <v>3834.99</v>
      </c>
      <c r="O417" s="15">
        <v>0.25</v>
      </c>
      <c r="P417" s="14">
        <v>2876.24</v>
      </c>
      <c r="Q417" s="14">
        <v>2250.23</v>
      </c>
      <c r="R417" s="14">
        <v>626.01</v>
      </c>
      <c r="S417" s="12" t="s">
        <v>46</v>
      </c>
      <c r="T417" s="12" t="s">
        <v>111</v>
      </c>
      <c r="U417" s="12">
        <v>5</v>
      </c>
      <c r="V417" s="12" t="s">
        <v>35</v>
      </c>
    </row>
    <row r="418" spans="1:22" x14ac:dyDescent="0.3">
      <c r="A418" s="8" t="s">
        <v>860</v>
      </c>
      <c r="B418" s="9">
        <v>45934</v>
      </c>
      <c r="C418" s="8" t="s">
        <v>107</v>
      </c>
      <c r="D418" s="8" t="s">
        <v>108</v>
      </c>
      <c r="E418" s="8" t="s">
        <v>39</v>
      </c>
      <c r="F418" s="8" t="s">
        <v>861</v>
      </c>
      <c r="G418" s="8" t="s">
        <v>27</v>
      </c>
      <c r="H418" s="8" t="s">
        <v>28</v>
      </c>
      <c r="I418" s="8" t="s">
        <v>68</v>
      </c>
      <c r="J418" s="8" t="s">
        <v>30</v>
      </c>
      <c r="K418" s="8" t="s">
        <v>144</v>
      </c>
      <c r="L418" s="8" t="s">
        <v>91</v>
      </c>
      <c r="M418" s="8">
        <v>3</v>
      </c>
      <c r="N418" s="10">
        <v>2462.52</v>
      </c>
      <c r="O418" s="11">
        <v>0.25</v>
      </c>
      <c r="P418" s="10">
        <v>5540.67</v>
      </c>
      <c r="Q418" s="10">
        <v>4630.8900000000003</v>
      </c>
      <c r="R418" s="10">
        <v>909.78</v>
      </c>
      <c r="S418" s="8" t="s">
        <v>53</v>
      </c>
      <c r="T418" s="8" t="s">
        <v>64</v>
      </c>
      <c r="U418" s="8">
        <v>3</v>
      </c>
      <c r="V418" s="8" t="s">
        <v>123</v>
      </c>
    </row>
    <row r="419" spans="1:22" x14ac:dyDescent="0.3">
      <c r="A419" s="12" t="s">
        <v>862</v>
      </c>
      <c r="B419" s="13">
        <v>45861</v>
      </c>
      <c r="C419" s="12" t="s">
        <v>37</v>
      </c>
      <c r="D419" s="12" t="s">
        <v>38</v>
      </c>
      <c r="E419" s="12" t="s">
        <v>39</v>
      </c>
      <c r="F419" s="12" t="s">
        <v>863</v>
      </c>
      <c r="G419" s="12" t="s">
        <v>41</v>
      </c>
      <c r="H419" s="12" t="s">
        <v>42</v>
      </c>
      <c r="I419" s="12" t="s">
        <v>61</v>
      </c>
      <c r="J419" s="12" t="s">
        <v>101</v>
      </c>
      <c r="K419" s="12" t="s">
        <v>217</v>
      </c>
      <c r="L419" s="12" t="s">
        <v>32</v>
      </c>
      <c r="M419" s="12">
        <v>3</v>
      </c>
      <c r="N419" s="14">
        <v>2910.74</v>
      </c>
      <c r="O419" s="15">
        <v>0.05</v>
      </c>
      <c r="P419" s="14">
        <v>8295.61</v>
      </c>
      <c r="Q419" s="14">
        <v>5301.99</v>
      </c>
      <c r="R419" s="14">
        <v>2993.62</v>
      </c>
      <c r="S419" s="12" t="s">
        <v>33</v>
      </c>
      <c r="T419" s="12" t="s">
        <v>104</v>
      </c>
      <c r="U419" s="12">
        <v>4</v>
      </c>
      <c r="V419" s="12" t="s">
        <v>120</v>
      </c>
    </row>
    <row r="420" spans="1:22" x14ac:dyDescent="0.3">
      <c r="A420" s="8" t="s">
        <v>864</v>
      </c>
      <c r="B420" s="9">
        <v>45684</v>
      </c>
      <c r="C420" s="8" t="s">
        <v>98</v>
      </c>
      <c r="D420" s="8" t="s">
        <v>99</v>
      </c>
      <c r="E420" s="8" t="s">
        <v>25</v>
      </c>
      <c r="F420" s="8" t="s">
        <v>865</v>
      </c>
      <c r="G420" s="8" t="s">
        <v>41</v>
      </c>
      <c r="H420" s="8" t="s">
        <v>42</v>
      </c>
      <c r="I420" s="8" t="s">
        <v>68</v>
      </c>
      <c r="J420" s="8" t="s">
        <v>75</v>
      </c>
      <c r="K420" s="8" t="s">
        <v>76</v>
      </c>
      <c r="L420" s="8" t="s">
        <v>91</v>
      </c>
      <c r="M420" s="8">
        <v>5</v>
      </c>
      <c r="N420" s="10">
        <v>819.21</v>
      </c>
      <c r="O420" s="11">
        <v>0.2</v>
      </c>
      <c r="P420" s="10">
        <v>3276.84</v>
      </c>
      <c r="Q420" s="10">
        <v>1830.48</v>
      </c>
      <c r="R420" s="10">
        <v>1446.36</v>
      </c>
      <c r="S420" s="8" t="s">
        <v>33</v>
      </c>
      <c r="T420" s="8" t="s">
        <v>34</v>
      </c>
      <c r="U420" s="8">
        <v>4</v>
      </c>
      <c r="V420" s="8" t="s">
        <v>84</v>
      </c>
    </row>
    <row r="421" spans="1:22" x14ac:dyDescent="0.3">
      <c r="A421" s="12" t="s">
        <v>866</v>
      </c>
      <c r="B421" s="13">
        <v>45837</v>
      </c>
      <c r="C421" s="12" t="s">
        <v>37</v>
      </c>
      <c r="D421" s="12" t="s">
        <v>38</v>
      </c>
      <c r="E421" s="12" t="s">
        <v>39</v>
      </c>
      <c r="F421" s="12" t="s">
        <v>867</v>
      </c>
      <c r="G421" s="12" t="s">
        <v>27</v>
      </c>
      <c r="H421" s="12" t="s">
        <v>42</v>
      </c>
      <c r="I421" s="12" t="s">
        <v>29</v>
      </c>
      <c r="J421" s="12" t="s">
        <v>89</v>
      </c>
      <c r="K421" s="12" t="s">
        <v>151</v>
      </c>
      <c r="L421" s="12" t="s">
        <v>103</v>
      </c>
      <c r="M421" s="12">
        <v>3</v>
      </c>
      <c r="N421" s="14">
        <v>962</v>
      </c>
      <c r="O421" s="15">
        <v>0.2</v>
      </c>
      <c r="P421" s="14">
        <v>2308.8000000000002</v>
      </c>
      <c r="Q421" s="14">
        <v>1560.53</v>
      </c>
      <c r="R421" s="14">
        <v>748.27</v>
      </c>
      <c r="S421" s="12" t="s">
        <v>53</v>
      </c>
      <c r="T421" s="12" t="s">
        <v>111</v>
      </c>
      <c r="U421" s="12">
        <v>3</v>
      </c>
      <c r="V421" s="12" t="s">
        <v>157</v>
      </c>
    </row>
    <row r="422" spans="1:22" x14ac:dyDescent="0.3">
      <c r="A422" s="8" t="s">
        <v>868</v>
      </c>
      <c r="B422" s="9">
        <v>45915</v>
      </c>
      <c r="C422" s="8" t="s">
        <v>125</v>
      </c>
      <c r="D422" s="8" t="s">
        <v>126</v>
      </c>
      <c r="E422" s="8" t="s">
        <v>25</v>
      </c>
      <c r="F422" s="8" t="s">
        <v>869</v>
      </c>
      <c r="G422" s="8" t="s">
        <v>27</v>
      </c>
      <c r="H422" s="8" t="s">
        <v>42</v>
      </c>
      <c r="I422" s="8" t="s">
        <v>68</v>
      </c>
      <c r="J422" s="8" t="s">
        <v>69</v>
      </c>
      <c r="K422" s="8" t="s">
        <v>137</v>
      </c>
      <c r="L422" s="8" t="s">
        <v>45</v>
      </c>
      <c r="M422" s="8">
        <v>4</v>
      </c>
      <c r="N422" s="10">
        <v>481.72</v>
      </c>
      <c r="O422" s="11">
        <v>0.05</v>
      </c>
      <c r="P422" s="10">
        <v>1830.54</v>
      </c>
      <c r="Q422" s="10">
        <v>907.63</v>
      </c>
      <c r="R422" s="10">
        <v>922.91</v>
      </c>
      <c r="S422" s="8" t="s">
        <v>63</v>
      </c>
      <c r="T422" s="8" t="s">
        <v>111</v>
      </c>
      <c r="U422" s="8">
        <v>3</v>
      </c>
      <c r="V422" s="8" t="s">
        <v>116</v>
      </c>
    </row>
    <row r="423" spans="1:22" x14ac:dyDescent="0.3">
      <c r="A423" s="12" t="s">
        <v>870</v>
      </c>
      <c r="B423" s="13">
        <v>45847</v>
      </c>
      <c r="C423" s="12" t="s">
        <v>131</v>
      </c>
      <c r="D423" s="12" t="s">
        <v>132</v>
      </c>
      <c r="E423" s="12" t="s">
        <v>25</v>
      </c>
      <c r="F423" s="12" t="s">
        <v>871</v>
      </c>
      <c r="G423" s="12" t="s">
        <v>27</v>
      </c>
      <c r="H423" s="12" t="s">
        <v>42</v>
      </c>
      <c r="I423" s="12" t="s">
        <v>61</v>
      </c>
      <c r="J423" s="12" t="s">
        <v>43</v>
      </c>
      <c r="K423" s="12" t="s">
        <v>44</v>
      </c>
      <c r="L423" s="12" t="s">
        <v>32</v>
      </c>
      <c r="M423" s="12">
        <v>3</v>
      </c>
      <c r="N423" s="14">
        <v>621.44000000000005</v>
      </c>
      <c r="O423" s="15">
        <v>0.05</v>
      </c>
      <c r="P423" s="14">
        <v>1771.1</v>
      </c>
      <c r="Q423" s="14">
        <v>743.22</v>
      </c>
      <c r="R423" s="14">
        <v>1027.8800000000001</v>
      </c>
      <c r="S423" s="12" t="s">
        <v>83</v>
      </c>
      <c r="T423" s="12" t="s">
        <v>147</v>
      </c>
      <c r="U423" s="12">
        <v>3</v>
      </c>
      <c r="V423" s="12" t="s">
        <v>120</v>
      </c>
    </row>
    <row r="424" spans="1:22" x14ac:dyDescent="0.3">
      <c r="A424" s="8" t="s">
        <v>872</v>
      </c>
      <c r="B424" s="9">
        <v>45867</v>
      </c>
      <c r="C424" s="8" t="s">
        <v>37</v>
      </c>
      <c r="D424" s="8" t="s">
        <v>38</v>
      </c>
      <c r="E424" s="8" t="s">
        <v>39</v>
      </c>
      <c r="F424" s="8" t="s">
        <v>873</v>
      </c>
      <c r="G424" s="8" t="s">
        <v>27</v>
      </c>
      <c r="H424" s="8" t="s">
        <v>42</v>
      </c>
      <c r="I424" s="8" t="s">
        <v>29</v>
      </c>
      <c r="J424" s="8" t="s">
        <v>43</v>
      </c>
      <c r="K424" s="8" t="s">
        <v>162</v>
      </c>
      <c r="L424" s="8" t="s">
        <v>91</v>
      </c>
      <c r="M424" s="8">
        <v>3</v>
      </c>
      <c r="N424" s="10">
        <v>931.56</v>
      </c>
      <c r="O424" s="11">
        <v>0.1</v>
      </c>
      <c r="P424" s="10">
        <v>2515.21</v>
      </c>
      <c r="Q424" s="10">
        <v>1241.76</v>
      </c>
      <c r="R424" s="10">
        <v>1273.45</v>
      </c>
      <c r="S424" s="8" t="s">
        <v>33</v>
      </c>
      <c r="T424" s="8" t="s">
        <v>119</v>
      </c>
      <c r="U424" s="8">
        <v>4</v>
      </c>
      <c r="V424" s="8" t="s">
        <v>120</v>
      </c>
    </row>
    <row r="425" spans="1:22" x14ac:dyDescent="0.3">
      <c r="A425" s="12" t="s">
        <v>874</v>
      </c>
      <c r="B425" s="13">
        <v>45784</v>
      </c>
      <c r="C425" s="12" t="s">
        <v>86</v>
      </c>
      <c r="D425" s="12" t="s">
        <v>87</v>
      </c>
      <c r="E425" s="12" t="s">
        <v>59</v>
      </c>
      <c r="F425" s="12" t="s">
        <v>875</v>
      </c>
      <c r="G425" s="12" t="s">
        <v>27</v>
      </c>
      <c r="H425" s="12" t="s">
        <v>28</v>
      </c>
      <c r="I425" s="12" t="s">
        <v>29</v>
      </c>
      <c r="J425" s="12" t="s">
        <v>75</v>
      </c>
      <c r="K425" s="12" t="s">
        <v>76</v>
      </c>
      <c r="L425" s="12" t="s">
        <v>103</v>
      </c>
      <c r="M425" s="12">
        <v>3</v>
      </c>
      <c r="N425" s="14">
        <v>817.7</v>
      </c>
      <c r="O425" s="15">
        <v>0.1</v>
      </c>
      <c r="P425" s="14">
        <v>2207.79</v>
      </c>
      <c r="Q425" s="14">
        <v>1041.1400000000001</v>
      </c>
      <c r="R425" s="14">
        <v>1166.6500000000001</v>
      </c>
      <c r="S425" s="12" t="s">
        <v>83</v>
      </c>
      <c r="T425" s="12" t="s">
        <v>104</v>
      </c>
      <c r="U425" s="12">
        <v>5</v>
      </c>
      <c r="V425" s="12" t="s">
        <v>134</v>
      </c>
    </row>
    <row r="426" spans="1:22" x14ac:dyDescent="0.3">
      <c r="A426" s="8" t="s">
        <v>876</v>
      </c>
      <c r="B426" s="9">
        <v>45990</v>
      </c>
      <c r="C426" s="8" t="s">
        <v>57</v>
      </c>
      <c r="D426" s="8" t="s">
        <v>58</v>
      </c>
      <c r="E426" s="8" t="s">
        <v>59</v>
      </c>
      <c r="F426" s="8" t="s">
        <v>196</v>
      </c>
      <c r="G426" s="8" t="s">
        <v>27</v>
      </c>
      <c r="H426" s="8" t="s">
        <v>94</v>
      </c>
      <c r="I426" s="8" t="s">
        <v>29</v>
      </c>
      <c r="J426" s="8" t="s">
        <v>43</v>
      </c>
      <c r="K426" s="8" t="s">
        <v>44</v>
      </c>
      <c r="L426" s="8" t="s">
        <v>103</v>
      </c>
      <c r="M426" s="8">
        <v>4</v>
      </c>
      <c r="N426" s="10">
        <v>571.34</v>
      </c>
      <c r="O426" s="11">
        <v>0.25</v>
      </c>
      <c r="P426" s="10">
        <v>1714.02</v>
      </c>
      <c r="Q426" s="10">
        <v>992.63</v>
      </c>
      <c r="R426" s="10">
        <v>721.39</v>
      </c>
      <c r="S426" s="8" t="s">
        <v>33</v>
      </c>
      <c r="T426" s="8" t="s">
        <v>156</v>
      </c>
      <c r="U426" s="8">
        <v>3</v>
      </c>
      <c r="V426" s="8" t="s">
        <v>65</v>
      </c>
    </row>
    <row r="427" spans="1:22" x14ac:dyDescent="0.3">
      <c r="A427" s="12" t="s">
        <v>877</v>
      </c>
      <c r="B427" s="13">
        <v>45951</v>
      </c>
      <c r="C427" s="12" t="s">
        <v>113</v>
      </c>
      <c r="D427" s="12" t="s">
        <v>114</v>
      </c>
      <c r="E427" s="12" t="s">
        <v>59</v>
      </c>
      <c r="F427" s="12" t="s">
        <v>878</v>
      </c>
      <c r="G427" s="12" t="s">
        <v>41</v>
      </c>
      <c r="H427" s="12" t="s">
        <v>28</v>
      </c>
      <c r="I427" s="12" t="s">
        <v>68</v>
      </c>
      <c r="J427" s="12" t="s">
        <v>30</v>
      </c>
      <c r="K427" s="12" t="s">
        <v>144</v>
      </c>
      <c r="L427" s="12" t="s">
        <v>175</v>
      </c>
      <c r="M427" s="12">
        <v>3</v>
      </c>
      <c r="N427" s="14">
        <v>2497.4899999999998</v>
      </c>
      <c r="O427" s="15">
        <v>0.1</v>
      </c>
      <c r="P427" s="14">
        <v>6743.22</v>
      </c>
      <c r="Q427" s="14">
        <v>4322.7299999999996</v>
      </c>
      <c r="R427" s="14">
        <v>2420.4899999999998</v>
      </c>
      <c r="S427" s="12" t="s">
        <v>63</v>
      </c>
      <c r="T427" s="12" t="s">
        <v>119</v>
      </c>
      <c r="U427" s="12">
        <v>5</v>
      </c>
      <c r="V427" s="12" t="s">
        <v>123</v>
      </c>
    </row>
    <row r="428" spans="1:22" x14ac:dyDescent="0.3">
      <c r="A428" s="8" t="s">
        <v>879</v>
      </c>
      <c r="B428" s="9">
        <v>45933</v>
      </c>
      <c r="C428" s="8" t="s">
        <v>125</v>
      </c>
      <c r="D428" s="8" t="s">
        <v>126</v>
      </c>
      <c r="E428" s="8" t="s">
        <v>25</v>
      </c>
      <c r="F428" s="8" t="s">
        <v>880</v>
      </c>
      <c r="G428" s="8" t="s">
        <v>41</v>
      </c>
      <c r="H428" s="8" t="s">
        <v>42</v>
      </c>
      <c r="I428" s="8" t="s">
        <v>61</v>
      </c>
      <c r="J428" s="8" t="s">
        <v>30</v>
      </c>
      <c r="K428" s="8" t="s">
        <v>31</v>
      </c>
      <c r="L428" s="8" t="s">
        <v>175</v>
      </c>
      <c r="M428" s="8">
        <v>3</v>
      </c>
      <c r="N428" s="10">
        <v>4080.66</v>
      </c>
      <c r="O428" s="11">
        <v>0</v>
      </c>
      <c r="P428" s="10">
        <v>12241.98</v>
      </c>
      <c r="Q428" s="10">
        <v>6472.22</v>
      </c>
      <c r="R428" s="10">
        <v>5769.76</v>
      </c>
      <c r="S428" s="8" t="s">
        <v>83</v>
      </c>
      <c r="T428" s="8" t="s">
        <v>54</v>
      </c>
      <c r="U428" s="8">
        <v>3</v>
      </c>
      <c r="V428" s="8" t="s">
        <v>123</v>
      </c>
    </row>
    <row r="429" spans="1:22" x14ac:dyDescent="0.3">
      <c r="A429" s="12" t="s">
        <v>881</v>
      </c>
      <c r="B429" s="13">
        <v>45881</v>
      </c>
      <c r="C429" s="12" t="s">
        <v>98</v>
      </c>
      <c r="D429" s="12" t="s">
        <v>99</v>
      </c>
      <c r="E429" s="12" t="s">
        <v>25</v>
      </c>
      <c r="F429" s="12" t="s">
        <v>613</v>
      </c>
      <c r="G429" s="12" t="s">
        <v>27</v>
      </c>
      <c r="H429" s="12" t="s">
        <v>28</v>
      </c>
      <c r="I429" s="12" t="s">
        <v>68</v>
      </c>
      <c r="J429" s="12" t="s">
        <v>43</v>
      </c>
      <c r="K429" s="12" t="s">
        <v>44</v>
      </c>
      <c r="L429" s="12" t="s">
        <v>82</v>
      </c>
      <c r="M429" s="12">
        <v>3</v>
      </c>
      <c r="N429" s="14">
        <v>573.03</v>
      </c>
      <c r="O429" s="15">
        <v>0.3</v>
      </c>
      <c r="P429" s="14">
        <v>1203.3599999999999</v>
      </c>
      <c r="Q429" s="14">
        <v>775.32</v>
      </c>
      <c r="R429" s="14">
        <v>428.04</v>
      </c>
      <c r="S429" s="12" t="s">
        <v>83</v>
      </c>
      <c r="T429" s="12" t="s">
        <v>111</v>
      </c>
      <c r="U429" s="12">
        <v>3</v>
      </c>
      <c r="V429" s="12" t="s">
        <v>72</v>
      </c>
    </row>
    <row r="430" spans="1:22" x14ac:dyDescent="0.3">
      <c r="A430" s="8" t="s">
        <v>882</v>
      </c>
      <c r="B430" s="9">
        <v>45853</v>
      </c>
      <c r="C430" s="8" t="s">
        <v>37</v>
      </c>
      <c r="D430" s="8" t="s">
        <v>38</v>
      </c>
      <c r="E430" s="8" t="s">
        <v>39</v>
      </c>
      <c r="F430" s="8" t="s">
        <v>883</v>
      </c>
      <c r="G430" s="8" t="s">
        <v>41</v>
      </c>
      <c r="H430" s="8" t="s">
        <v>81</v>
      </c>
      <c r="I430" s="8" t="s">
        <v>61</v>
      </c>
      <c r="J430" s="8" t="s">
        <v>75</v>
      </c>
      <c r="K430" s="8" t="s">
        <v>95</v>
      </c>
      <c r="L430" s="8" t="s">
        <v>77</v>
      </c>
      <c r="M430" s="8">
        <v>4</v>
      </c>
      <c r="N430" s="10">
        <v>26168.57</v>
      </c>
      <c r="O430" s="11">
        <v>0.05</v>
      </c>
      <c r="P430" s="10">
        <v>99440.57</v>
      </c>
      <c r="Q430" s="10">
        <v>69909.67</v>
      </c>
      <c r="R430" s="10">
        <v>29530.9</v>
      </c>
      <c r="S430" s="8" t="s">
        <v>83</v>
      </c>
      <c r="T430" s="8" t="s">
        <v>147</v>
      </c>
      <c r="U430" s="8">
        <v>4</v>
      </c>
      <c r="V430" s="8" t="s">
        <v>120</v>
      </c>
    </row>
    <row r="431" spans="1:22" x14ac:dyDescent="0.3">
      <c r="A431" s="12" t="s">
        <v>884</v>
      </c>
      <c r="B431" s="13">
        <v>45737</v>
      </c>
      <c r="C431" s="12" t="s">
        <v>125</v>
      </c>
      <c r="D431" s="12" t="s">
        <v>126</v>
      </c>
      <c r="E431" s="12" t="s">
        <v>25</v>
      </c>
      <c r="F431" s="12" t="s">
        <v>885</v>
      </c>
      <c r="G431" s="12" t="s">
        <v>41</v>
      </c>
      <c r="H431" s="12" t="s">
        <v>28</v>
      </c>
      <c r="I431" s="12" t="s">
        <v>61</v>
      </c>
      <c r="J431" s="12" t="s">
        <v>101</v>
      </c>
      <c r="K431" s="12" t="s">
        <v>217</v>
      </c>
      <c r="L431" s="12" t="s">
        <v>91</v>
      </c>
      <c r="M431" s="12">
        <v>5</v>
      </c>
      <c r="N431" s="14">
        <v>2999.9</v>
      </c>
      <c r="O431" s="15">
        <v>0</v>
      </c>
      <c r="P431" s="14">
        <v>14999.5</v>
      </c>
      <c r="Q431" s="14">
        <v>8173.82</v>
      </c>
      <c r="R431" s="14">
        <v>6825.68</v>
      </c>
      <c r="S431" s="12" t="s">
        <v>63</v>
      </c>
      <c r="T431" s="12" t="s">
        <v>34</v>
      </c>
      <c r="U431" s="12">
        <v>5</v>
      </c>
      <c r="V431" s="12" t="s">
        <v>55</v>
      </c>
    </row>
    <row r="432" spans="1:22" x14ac:dyDescent="0.3">
      <c r="A432" s="8" t="s">
        <v>886</v>
      </c>
      <c r="B432" s="9">
        <v>45713</v>
      </c>
      <c r="C432" s="8" t="s">
        <v>107</v>
      </c>
      <c r="D432" s="8" t="s">
        <v>108</v>
      </c>
      <c r="E432" s="8" t="s">
        <v>39</v>
      </c>
      <c r="F432" s="8" t="s">
        <v>540</v>
      </c>
      <c r="G432" s="8" t="s">
        <v>27</v>
      </c>
      <c r="H432" s="8" t="s">
        <v>28</v>
      </c>
      <c r="I432" s="8" t="s">
        <v>29</v>
      </c>
      <c r="J432" s="8" t="s">
        <v>69</v>
      </c>
      <c r="K432" s="8" t="s">
        <v>180</v>
      </c>
      <c r="L432" s="8" t="s">
        <v>103</v>
      </c>
      <c r="M432" s="8">
        <v>2</v>
      </c>
      <c r="N432" s="10">
        <v>1573.8</v>
      </c>
      <c r="O432" s="11">
        <v>0.25</v>
      </c>
      <c r="P432" s="10">
        <v>2360.6999999999998</v>
      </c>
      <c r="Q432" s="10">
        <v>1739.07</v>
      </c>
      <c r="R432" s="10">
        <v>621.63</v>
      </c>
      <c r="S432" s="8" t="s">
        <v>33</v>
      </c>
      <c r="T432" s="8" t="s">
        <v>119</v>
      </c>
      <c r="U432" s="8">
        <v>3</v>
      </c>
      <c r="V432" s="8" t="s">
        <v>105</v>
      </c>
    </row>
    <row r="433" spans="1:22" x14ac:dyDescent="0.3">
      <c r="A433" s="12" t="s">
        <v>887</v>
      </c>
      <c r="B433" s="13">
        <v>45811</v>
      </c>
      <c r="C433" s="12" t="s">
        <v>37</v>
      </c>
      <c r="D433" s="12" t="s">
        <v>38</v>
      </c>
      <c r="E433" s="12" t="s">
        <v>39</v>
      </c>
      <c r="F433" s="12" t="s">
        <v>888</v>
      </c>
      <c r="G433" s="12" t="s">
        <v>41</v>
      </c>
      <c r="H433" s="12" t="s">
        <v>81</v>
      </c>
      <c r="I433" s="12" t="s">
        <v>61</v>
      </c>
      <c r="J433" s="12" t="s">
        <v>75</v>
      </c>
      <c r="K433" s="12" t="s">
        <v>76</v>
      </c>
      <c r="L433" s="12" t="s">
        <v>175</v>
      </c>
      <c r="M433" s="12">
        <v>2</v>
      </c>
      <c r="N433" s="14">
        <v>786.42</v>
      </c>
      <c r="O433" s="15">
        <v>0.1</v>
      </c>
      <c r="P433" s="14">
        <v>1415.56</v>
      </c>
      <c r="Q433" s="14">
        <v>690.43</v>
      </c>
      <c r="R433" s="14">
        <v>725.13</v>
      </c>
      <c r="S433" s="12" t="s">
        <v>46</v>
      </c>
      <c r="T433" s="12" t="s">
        <v>156</v>
      </c>
      <c r="U433" s="12">
        <v>3</v>
      </c>
      <c r="V433" s="12" t="s">
        <v>157</v>
      </c>
    </row>
    <row r="434" spans="1:22" x14ac:dyDescent="0.3">
      <c r="A434" s="8" t="s">
        <v>889</v>
      </c>
      <c r="B434" s="9">
        <v>45842</v>
      </c>
      <c r="C434" s="8" t="s">
        <v>48</v>
      </c>
      <c r="D434" s="8" t="s">
        <v>49</v>
      </c>
      <c r="E434" s="8" t="s">
        <v>39</v>
      </c>
      <c r="F434" s="8" t="s">
        <v>127</v>
      </c>
      <c r="G434" s="8" t="s">
        <v>41</v>
      </c>
      <c r="H434" s="8" t="s">
        <v>81</v>
      </c>
      <c r="I434" s="8" t="s">
        <v>29</v>
      </c>
      <c r="J434" s="8" t="s">
        <v>69</v>
      </c>
      <c r="K434" s="8" t="s">
        <v>180</v>
      </c>
      <c r="L434" s="8" t="s">
        <v>82</v>
      </c>
      <c r="M434" s="8">
        <v>1</v>
      </c>
      <c r="N434" s="10">
        <v>1456.12</v>
      </c>
      <c r="O434" s="11">
        <v>0.05</v>
      </c>
      <c r="P434" s="10">
        <v>1383.31</v>
      </c>
      <c r="Q434" s="10">
        <v>889.49</v>
      </c>
      <c r="R434" s="10">
        <v>493.82</v>
      </c>
      <c r="S434" s="8" t="s">
        <v>53</v>
      </c>
      <c r="T434" s="8" t="s">
        <v>78</v>
      </c>
      <c r="U434" s="8">
        <v>5</v>
      </c>
      <c r="V434" s="8" t="s">
        <v>120</v>
      </c>
    </row>
    <row r="435" spans="1:22" x14ac:dyDescent="0.3">
      <c r="A435" s="12" t="s">
        <v>890</v>
      </c>
      <c r="B435" s="13">
        <v>45673</v>
      </c>
      <c r="C435" s="12" t="s">
        <v>107</v>
      </c>
      <c r="D435" s="12" t="s">
        <v>108</v>
      </c>
      <c r="E435" s="12" t="s">
        <v>39</v>
      </c>
      <c r="F435" s="12" t="s">
        <v>891</v>
      </c>
      <c r="G435" s="12" t="s">
        <v>41</v>
      </c>
      <c r="H435" s="12" t="s">
        <v>94</v>
      </c>
      <c r="I435" s="12" t="s">
        <v>68</v>
      </c>
      <c r="J435" s="12" t="s">
        <v>69</v>
      </c>
      <c r="K435" s="12" t="s">
        <v>137</v>
      </c>
      <c r="L435" s="12" t="s">
        <v>77</v>
      </c>
      <c r="M435" s="12">
        <v>1</v>
      </c>
      <c r="N435" s="14">
        <v>481.61</v>
      </c>
      <c r="O435" s="15">
        <v>0.05</v>
      </c>
      <c r="P435" s="14">
        <v>457.53</v>
      </c>
      <c r="Q435" s="14">
        <v>209.59</v>
      </c>
      <c r="R435" s="14">
        <v>247.94</v>
      </c>
      <c r="S435" s="12" t="s">
        <v>53</v>
      </c>
      <c r="T435" s="12" t="s">
        <v>111</v>
      </c>
      <c r="U435" s="12">
        <v>5</v>
      </c>
      <c r="V435" s="12" t="s">
        <v>84</v>
      </c>
    </row>
    <row r="436" spans="1:22" x14ac:dyDescent="0.3">
      <c r="A436" s="8" t="s">
        <v>892</v>
      </c>
      <c r="B436" s="9">
        <v>45983</v>
      </c>
      <c r="C436" s="8" t="s">
        <v>48</v>
      </c>
      <c r="D436" s="8" t="s">
        <v>49</v>
      </c>
      <c r="E436" s="8" t="s">
        <v>39</v>
      </c>
      <c r="F436" s="8" t="s">
        <v>893</v>
      </c>
      <c r="G436" s="8" t="s">
        <v>41</v>
      </c>
      <c r="H436" s="8" t="s">
        <v>28</v>
      </c>
      <c r="I436" s="8" t="s">
        <v>61</v>
      </c>
      <c r="J436" s="8" t="s">
        <v>43</v>
      </c>
      <c r="K436" s="8" t="s">
        <v>162</v>
      </c>
      <c r="L436" s="8" t="s">
        <v>82</v>
      </c>
      <c r="M436" s="8">
        <v>2</v>
      </c>
      <c r="N436" s="10">
        <v>940.49</v>
      </c>
      <c r="O436" s="11">
        <v>0</v>
      </c>
      <c r="P436" s="10">
        <v>1880.98</v>
      </c>
      <c r="Q436" s="10">
        <v>790.42</v>
      </c>
      <c r="R436" s="10">
        <v>1090.56</v>
      </c>
      <c r="S436" s="8" t="s">
        <v>53</v>
      </c>
      <c r="T436" s="8" t="s">
        <v>111</v>
      </c>
      <c r="U436" s="8">
        <v>3</v>
      </c>
      <c r="V436" s="8" t="s">
        <v>65</v>
      </c>
    </row>
    <row r="437" spans="1:22" x14ac:dyDescent="0.3">
      <c r="A437" s="12" t="s">
        <v>894</v>
      </c>
      <c r="B437" s="13">
        <v>45747</v>
      </c>
      <c r="C437" s="12" t="s">
        <v>125</v>
      </c>
      <c r="D437" s="12" t="s">
        <v>126</v>
      </c>
      <c r="E437" s="12" t="s">
        <v>25</v>
      </c>
      <c r="F437" s="12" t="s">
        <v>895</v>
      </c>
      <c r="G437" s="12" t="s">
        <v>27</v>
      </c>
      <c r="H437" s="12" t="s">
        <v>81</v>
      </c>
      <c r="I437" s="12" t="s">
        <v>29</v>
      </c>
      <c r="J437" s="12" t="s">
        <v>43</v>
      </c>
      <c r="K437" s="12" t="s">
        <v>51</v>
      </c>
      <c r="L437" s="12" t="s">
        <v>82</v>
      </c>
      <c r="M437" s="12">
        <v>2</v>
      </c>
      <c r="N437" s="14">
        <v>1495.34</v>
      </c>
      <c r="O437" s="15">
        <v>0.25</v>
      </c>
      <c r="P437" s="14">
        <v>2243.0100000000002</v>
      </c>
      <c r="Q437" s="14">
        <v>1340.45</v>
      </c>
      <c r="R437" s="14">
        <v>902.56</v>
      </c>
      <c r="S437" s="12" t="s">
        <v>46</v>
      </c>
      <c r="T437" s="12" t="s">
        <v>156</v>
      </c>
      <c r="U437" s="12">
        <v>3</v>
      </c>
      <c r="V437" s="12" t="s">
        <v>55</v>
      </c>
    </row>
    <row r="438" spans="1:22" x14ac:dyDescent="0.3">
      <c r="A438" s="8" t="s">
        <v>896</v>
      </c>
      <c r="B438" s="9">
        <v>45998</v>
      </c>
      <c r="C438" s="8" t="s">
        <v>57</v>
      </c>
      <c r="D438" s="8" t="s">
        <v>58</v>
      </c>
      <c r="E438" s="8" t="s">
        <v>59</v>
      </c>
      <c r="F438" s="8" t="s">
        <v>888</v>
      </c>
      <c r="G438" s="8" t="s">
        <v>41</v>
      </c>
      <c r="H438" s="8" t="s">
        <v>94</v>
      </c>
      <c r="I438" s="8" t="s">
        <v>61</v>
      </c>
      <c r="J438" s="8" t="s">
        <v>89</v>
      </c>
      <c r="K438" s="8" t="s">
        <v>90</v>
      </c>
      <c r="L438" s="8" t="s">
        <v>77</v>
      </c>
      <c r="M438" s="8">
        <v>4</v>
      </c>
      <c r="N438" s="10">
        <v>3593.64</v>
      </c>
      <c r="O438" s="11">
        <v>0</v>
      </c>
      <c r="P438" s="10">
        <v>14374.56</v>
      </c>
      <c r="Q438" s="10">
        <v>8692.84</v>
      </c>
      <c r="R438" s="10">
        <v>5681.72</v>
      </c>
      <c r="S438" s="8" t="s">
        <v>53</v>
      </c>
      <c r="T438" s="8" t="s">
        <v>156</v>
      </c>
      <c r="U438" s="8">
        <v>4</v>
      </c>
      <c r="V438" s="8" t="s">
        <v>35</v>
      </c>
    </row>
    <row r="439" spans="1:22" x14ac:dyDescent="0.3">
      <c r="A439" s="12" t="s">
        <v>897</v>
      </c>
      <c r="B439" s="13">
        <v>45900</v>
      </c>
      <c r="C439" s="12" t="s">
        <v>37</v>
      </c>
      <c r="D439" s="12" t="s">
        <v>38</v>
      </c>
      <c r="E439" s="12" t="s">
        <v>39</v>
      </c>
      <c r="F439" s="12" t="s">
        <v>898</v>
      </c>
      <c r="G439" s="12" t="s">
        <v>41</v>
      </c>
      <c r="H439" s="12" t="s">
        <v>42</v>
      </c>
      <c r="I439" s="12" t="s">
        <v>61</v>
      </c>
      <c r="J439" s="12" t="s">
        <v>30</v>
      </c>
      <c r="K439" s="12" t="s">
        <v>62</v>
      </c>
      <c r="L439" s="12" t="s">
        <v>77</v>
      </c>
      <c r="M439" s="12">
        <v>1</v>
      </c>
      <c r="N439" s="14">
        <v>1038.25</v>
      </c>
      <c r="O439" s="15">
        <v>0.3</v>
      </c>
      <c r="P439" s="14">
        <v>726.77</v>
      </c>
      <c r="Q439" s="14">
        <v>451.53</v>
      </c>
      <c r="R439" s="14">
        <v>275.24</v>
      </c>
      <c r="S439" s="12" t="s">
        <v>33</v>
      </c>
      <c r="T439" s="12" t="s">
        <v>78</v>
      </c>
      <c r="U439" s="12">
        <v>5</v>
      </c>
      <c r="V439" s="12" t="s">
        <v>72</v>
      </c>
    </row>
    <row r="440" spans="1:22" x14ac:dyDescent="0.3">
      <c r="A440" s="8" t="s">
        <v>899</v>
      </c>
      <c r="B440" s="9">
        <v>45660</v>
      </c>
      <c r="C440" s="8" t="s">
        <v>48</v>
      </c>
      <c r="D440" s="8" t="s">
        <v>49</v>
      </c>
      <c r="E440" s="8" t="s">
        <v>39</v>
      </c>
      <c r="F440" s="8" t="s">
        <v>900</v>
      </c>
      <c r="G440" s="8" t="s">
        <v>27</v>
      </c>
      <c r="H440" s="8" t="s">
        <v>81</v>
      </c>
      <c r="I440" s="8" t="s">
        <v>29</v>
      </c>
      <c r="J440" s="8" t="s">
        <v>69</v>
      </c>
      <c r="K440" s="8" t="s">
        <v>70</v>
      </c>
      <c r="L440" s="8" t="s">
        <v>52</v>
      </c>
      <c r="M440" s="8">
        <v>3</v>
      </c>
      <c r="N440" s="10">
        <v>895.32</v>
      </c>
      <c r="O440" s="11">
        <v>0.15</v>
      </c>
      <c r="P440" s="10">
        <v>2283.0700000000002</v>
      </c>
      <c r="Q440" s="10">
        <v>1291.6500000000001</v>
      </c>
      <c r="R440" s="10">
        <v>991.42</v>
      </c>
      <c r="S440" s="8" t="s">
        <v>33</v>
      </c>
      <c r="T440" s="8" t="s">
        <v>78</v>
      </c>
      <c r="U440" s="8">
        <v>3</v>
      </c>
      <c r="V440" s="8" t="s">
        <v>84</v>
      </c>
    </row>
    <row r="441" spans="1:22" x14ac:dyDescent="0.3">
      <c r="A441" s="12" t="s">
        <v>901</v>
      </c>
      <c r="B441" s="13">
        <v>45957</v>
      </c>
      <c r="C441" s="12" t="s">
        <v>37</v>
      </c>
      <c r="D441" s="12" t="s">
        <v>38</v>
      </c>
      <c r="E441" s="12" t="s">
        <v>39</v>
      </c>
      <c r="F441" s="12" t="s">
        <v>473</v>
      </c>
      <c r="G441" s="12" t="s">
        <v>27</v>
      </c>
      <c r="H441" s="12" t="s">
        <v>94</v>
      </c>
      <c r="I441" s="12" t="s">
        <v>29</v>
      </c>
      <c r="J441" s="12" t="s">
        <v>89</v>
      </c>
      <c r="K441" s="12" t="s">
        <v>89</v>
      </c>
      <c r="L441" s="12" t="s">
        <v>103</v>
      </c>
      <c r="M441" s="12">
        <v>3</v>
      </c>
      <c r="N441" s="14">
        <v>1237.99</v>
      </c>
      <c r="O441" s="15">
        <v>0.2</v>
      </c>
      <c r="P441" s="14">
        <v>2971.18</v>
      </c>
      <c r="Q441" s="14">
        <v>2086.75</v>
      </c>
      <c r="R441" s="14">
        <v>884.43</v>
      </c>
      <c r="S441" s="12" t="s">
        <v>63</v>
      </c>
      <c r="T441" s="12" t="s">
        <v>34</v>
      </c>
      <c r="U441" s="12">
        <v>4</v>
      </c>
      <c r="V441" s="12" t="s">
        <v>123</v>
      </c>
    </row>
    <row r="442" spans="1:22" x14ac:dyDescent="0.3">
      <c r="A442" s="8" t="s">
        <v>902</v>
      </c>
      <c r="B442" s="9">
        <v>45861</v>
      </c>
      <c r="C442" s="8" t="s">
        <v>131</v>
      </c>
      <c r="D442" s="8" t="s">
        <v>132</v>
      </c>
      <c r="E442" s="8" t="s">
        <v>25</v>
      </c>
      <c r="F442" s="8" t="s">
        <v>903</v>
      </c>
      <c r="G442" s="8" t="s">
        <v>41</v>
      </c>
      <c r="H442" s="8" t="s">
        <v>42</v>
      </c>
      <c r="I442" s="8" t="s">
        <v>68</v>
      </c>
      <c r="J442" s="8" t="s">
        <v>43</v>
      </c>
      <c r="K442" s="8" t="s">
        <v>162</v>
      </c>
      <c r="L442" s="8" t="s">
        <v>32</v>
      </c>
      <c r="M442" s="8">
        <v>1</v>
      </c>
      <c r="N442" s="10">
        <v>858.03</v>
      </c>
      <c r="O442" s="11">
        <v>0.05</v>
      </c>
      <c r="P442" s="10">
        <v>815.13</v>
      </c>
      <c r="Q442" s="10">
        <v>412.69</v>
      </c>
      <c r="R442" s="10">
        <v>402.44</v>
      </c>
      <c r="S442" s="8" t="s">
        <v>83</v>
      </c>
      <c r="T442" s="8" t="s">
        <v>147</v>
      </c>
      <c r="U442" s="8">
        <v>5</v>
      </c>
      <c r="V442" s="8" t="s">
        <v>120</v>
      </c>
    </row>
    <row r="443" spans="1:22" x14ac:dyDescent="0.3">
      <c r="A443" s="12" t="s">
        <v>904</v>
      </c>
      <c r="B443" s="13">
        <v>46008</v>
      </c>
      <c r="C443" s="12" t="s">
        <v>48</v>
      </c>
      <c r="D443" s="12" t="s">
        <v>49</v>
      </c>
      <c r="E443" s="12" t="s">
        <v>39</v>
      </c>
      <c r="F443" s="12" t="s">
        <v>849</v>
      </c>
      <c r="G443" s="12" t="s">
        <v>41</v>
      </c>
      <c r="H443" s="12" t="s">
        <v>42</v>
      </c>
      <c r="I443" s="12" t="s">
        <v>29</v>
      </c>
      <c r="J443" s="12" t="s">
        <v>75</v>
      </c>
      <c r="K443" s="12" t="s">
        <v>76</v>
      </c>
      <c r="L443" s="12" t="s">
        <v>103</v>
      </c>
      <c r="M443" s="12">
        <v>4</v>
      </c>
      <c r="N443" s="14">
        <v>794.89</v>
      </c>
      <c r="O443" s="15">
        <v>0</v>
      </c>
      <c r="P443" s="14">
        <v>3179.56</v>
      </c>
      <c r="Q443" s="14">
        <v>1425.82</v>
      </c>
      <c r="R443" s="14">
        <v>1753.74</v>
      </c>
      <c r="S443" s="12" t="s">
        <v>63</v>
      </c>
      <c r="T443" s="12" t="s">
        <v>34</v>
      </c>
      <c r="U443" s="12">
        <v>4</v>
      </c>
      <c r="V443" s="12" t="s">
        <v>35</v>
      </c>
    </row>
    <row r="444" spans="1:22" x14ac:dyDescent="0.3">
      <c r="A444" s="8" t="s">
        <v>905</v>
      </c>
      <c r="B444" s="9">
        <v>45720</v>
      </c>
      <c r="C444" s="8" t="s">
        <v>125</v>
      </c>
      <c r="D444" s="8" t="s">
        <v>126</v>
      </c>
      <c r="E444" s="8" t="s">
        <v>25</v>
      </c>
      <c r="F444" s="8" t="s">
        <v>906</v>
      </c>
      <c r="G444" s="8" t="s">
        <v>27</v>
      </c>
      <c r="H444" s="8" t="s">
        <v>81</v>
      </c>
      <c r="I444" s="8" t="s">
        <v>68</v>
      </c>
      <c r="J444" s="8" t="s">
        <v>43</v>
      </c>
      <c r="K444" s="8" t="s">
        <v>44</v>
      </c>
      <c r="L444" s="8" t="s">
        <v>91</v>
      </c>
      <c r="M444" s="8">
        <v>1</v>
      </c>
      <c r="N444" s="10">
        <v>570.34</v>
      </c>
      <c r="O444" s="11">
        <v>0.25</v>
      </c>
      <c r="P444" s="10">
        <v>427.75</v>
      </c>
      <c r="Q444" s="10">
        <v>264.38</v>
      </c>
      <c r="R444" s="10">
        <v>163.37</v>
      </c>
      <c r="S444" s="8" t="s">
        <v>46</v>
      </c>
      <c r="T444" s="8" t="s">
        <v>156</v>
      </c>
      <c r="U444" s="8">
        <v>4</v>
      </c>
      <c r="V444" s="8" t="s">
        <v>55</v>
      </c>
    </row>
    <row r="445" spans="1:22" x14ac:dyDescent="0.3">
      <c r="A445" s="12" t="s">
        <v>907</v>
      </c>
      <c r="B445" s="13">
        <v>45735</v>
      </c>
      <c r="C445" s="12" t="s">
        <v>125</v>
      </c>
      <c r="D445" s="12" t="s">
        <v>126</v>
      </c>
      <c r="E445" s="12" t="s">
        <v>25</v>
      </c>
      <c r="F445" s="12" t="s">
        <v>251</v>
      </c>
      <c r="G445" s="12" t="s">
        <v>41</v>
      </c>
      <c r="H445" s="12" t="s">
        <v>94</v>
      </c>
      <c r="I445" s="12" t="s">
        <v>68</v>
      </c>
      <c r="J445" s="12" t="s">
        <v>75</v>
      </c>
      <c r="K445" s="12" t="s">
        <v>154</v>
      </c>
      <c r="L445" s="12" t="s">
        <v>45</v>
      </c>
      <c r="M445" s="12">
        <v>5</v>
      </c>
      <c r="N445" s="14">
        <v>1951.68</v>
      </c>
      <c r="O445" s="15">
        <v>0.1</v>
      </c>
      <c r="P445" s="14">
        <v>8782.56</v>
      </c>
      <c r="Q445" s="14">
        <v>5718.49</v>
      </c>
      <c r="R445" s="14">
        <v>3064.07</v>
      </c>
      <c r="S445" s="12" t="s">
        <v>63</v>
      </c>
      <c r="T445" s="12" t="s">
        <v>147</v>
      </c>
      <c r="U445" s="12">
        <v>3</v>
      </c>
      <c r="V445" s="12" t="s">
        <v>55</v>
      </c>
    </row>
    <row r="446" spans="1:22" x14ac:dyDescent="0.3">
      <c r="A446" s="8" t="s">
        <v>908</v>
      </c>
      <c r="B446" s="9">
        <v>45823</v>
      </c>
      <c r="C446" s="8" t="s">
        <v>48</v>
      </c>
      <c r="D446" s="8" t="s">
        <v>49</v>
      </c>
      <c r="E446" s="8" t="s">
        <v>39</v>
      </c>
      <c r="F446" s="8" t="s">
        <v>865</v>
      </c>
      <c r="G446" s="8" t="s">
        <v>41</v>
      </c>
      <c r="H446" s="8" t="s">
        <v>94</v>
      </c>
      <c r="I446" s="8" t="s">
        <v>29</v>
      </c>
      <c r="J446" s="8" t="s">
        <v>43</v>
      </c>
      <c r="K446" s="8" t="s">
        <v>44</v>
      </c>
      <c r="L446" s="8" t="s">
        <v>77</v>
      </c>
      <c r="M446" s="8">
        <v>4</v>
      </c>
      <c r="N446" s="10">
        <v>615.59</v>
      </c>
      <c r="O446" s="11">
        <v>0.25</v>
      </c>
      <c r="P446" s="10">
        <v>1846.77</v>
      </c>
      <c r="Q446" s="10">
        <v>992.05</v>
      </c>
      <c r="R446" s="10">
        <v>854.72</v>
      </c>
      <c r="S446" s="8" t="s">
        <v>63</v>
      </c>
      <c r="T446" s="8" t="s">
        <v>71</v>
      </c>
      <c r="U446" s="8">
        <v>4</v>
      </c>
      <c r="V446" s="8" t="s">
        <v>157</v>
      </c>
    </row>
    <row r="447" spans="1:22" x14ac:dyDescent="0.3">
      <c r="A447" s="12" t="s">
        <v>909</v>
      </c>
      <c r="B447" s="13">
        <v>45784</v>
      </c>
      <c r="C447" s="12" t="s">
        <v>48</v>
      </c>
      <c r="D447" s="12" t="s">
        <v>49</v>
      </c>
      <c r="E447" s="12" t="s">
        <v>39</v>
      </c>
      <c r="F447" s="12" t="s">
        <v>480</v>
      </c>
      <c r="G447" s="12" t="s">
        <v>27</v>
      </c>
      <c r="H447" s="12" t="s">
        <v>81</v>
      </c>
      <c r="I447" s="12" t="s">
        <v>68</v>
      </c>
      <c r="J447" s="12" t="s">
        <v>43</v>
      </c>
      <c r="K447" s="12" t="s">
        <v>51</v>
      </c>
      <c r="L447" s="12" t="s">
        <v>45</v>
      </c>
      <c r="M447" s="12">
        <v>2</v>
      </c>
      <c r="N447" s="14">
        <v>1470.59</v>
      </c>
      <c r="O447" s="15">
        <v>0.2</v>
      </c>
      <c r="P447" s="14">
        <v>2352.94</v>
      </c>
      <c r="Q447" s="14">
        <v>1339.33</v>
      </c>
      <c r="R447" s="14">
        <v>1013.61</v>
      </c>
      <c r="S447" s="12" t="s">
        <v>83</v>
      </c>
      <c r="T447" s="12" t="s">
        <v>119</v>
      </c>
      <c r="U447" s="12">
        <v>5</v>
      </c>
      <c r="V447" s="12" t="s">
        <v>134</v>
      </c>
    </row>
    <row r="448" spans="1:22" x14ac:dyDescent="0.3">
      <c r="A448" s="8" t="s">
        <v>910</v>
      </c>
      <c r="B448" s="9">
        <v>45684</v>
      </c>
      <c r="C448" s="8" t="s">
        <v>113</v>
      </c>
      <c r="D448" s="8" t="s">
        <v>114</v>
      </c>
      <c r="E448" s="8" t="s">
        <v>59</v>
      </c>
      <c r="F448" s="8" t="s">
        <v>911</v>
      </c>
      <c r="G448" s="8" t="s">
        <v>41</v>
      </c>
      <c r="H448" s="8" t="s">
        <v>94</v>
      </c>
      <c r="I448" s="8" t="s">
        <v>68</v>
      </c>
      <c r="J448" s="8" t="s">
        <v>101</v>
      </c>
      <c r="K448" s="8" t="s">
        <v>102</v>
      </c>
      <c r="L448" s="8" t="s">
        <v>103</v>
      </c>
      <c r="M448" s="8">
        <v>2</v>
      </c>
      <c r="N448" s="10">
        <v>677.99</v>
      </c>
      <c r="O448" s="11">
        <v>0.3</v>
      </c>
      <c r="P448" s="10">
        <v>949.19</v>
      </c>
      <c r="Q448" s="10">
        <v>494.51</v>
      </c>
      <c r="R448" s="10">
        <v>454.68</v>
      </c>
      <c r="S448" s="8" t="s">
        <v>46</v>
      </c>
      <c r="T448" s="8" t="s">
        <v>34</v>
      </c>
      <c r="U448" s="8">
        <v>5</v>
      </c>
      <c r="V448" s="8" t="s">
        <v>84</v>
      </c>
    </row>
    <row r="449" spans="1:22" x14ac:dyDescent="0.3">
      <c r="A449" s="12" t="s">
        <v>912</v>
      </c>
      <c r="B449" s="13">
        <v>45871</v>
      </c>
      <c r="C449" s="12" t="s">
        <v>57</v>
      </c>
      <c r="D449" s="12" t="s">
        <v>58</v>
      </c>
      <c r="E449" s="12" t="s">
        <v>59</v>
      </c>
      <c r="F449" s="12" t="s">
        <v>913</v>
      </c>
      <c r="G449" s="12" t="s">
        <v>41</v>
      </c>
      <c r="H449" s="12" t="s">
        <v>42</v>
      </c>
      <c r="I449" s="12" t="s">
        <v>61</v>
      </c>
      <c r="J449" s="12" t="s">
        <v>69</v>
      </c>
      <c r="K449" s="12" t="s">
        <v>180</v>
      </c>
      <c r="L449" s="12" t="s">
        <v>32</v>
      </c>
      <c r="M449" s="12">
        <v>5</v>
      </c>
      <c r="N449" s="14">
        <v>1508.32</v>
      </c>
      <c r="O449" s="15">
        <v>0.1</v>
      </c>
      <c r="P449" s="14">
        <v>6787.44</v>
      </c>
      <c r="Q449" s="14">
        <v>4216.79</v>
      </c>
      <c r="R449" s="14">
        <v>2570.65</v>
      </c>
      <c r="S449" s="12" t="s">
        <v>63</v>
      </c>
      <c r="T449" s="12" t="s">
        <v>71</v>
      </c>
      <c r="U449" s="12">
        <v>5</v>
      </c>
      <c r="V449" s="12" t="s">
        <v>72</v>
      </c>
    </row>
    <row r="450" spans="1:22" x14ac:dyDescent="0.3">
      <c r="A450" s="8" t="s">
        <v>914</v>
      </c>
      <c r="B450" s="9">
        <v>45949</v>
      </c>
      <c r="C450" s="8" t="s">
        <v>48</v>
      </c>
      <c r="D450" s="8" t="s">
        <v>49</v>
      </c>
      <c r="E450" s="8" t="s">
        <v>39</v>
      </c>
      <c r="F450" s="8" t="s">
        <v>651</v>
      </c>
      <c r="G450" s="8" t="s">
        <v>41</v>
      </c>
      <c r="H450" s="8" t="s">
        <v>42</v>
      </c>
      <c r="I450" s="8" t="s">
        <v>68</v>
      </c>
      <c r="J450" s="8" t="s">
        <v>43</v>
      </c>
      <c r="K450" s="8" t="s">
        <v>51</v>
      </c>
      <c r="L450" s="8" t="s">
        <v>32</v>
      </c>
      <c r="M450" s="8">
        <v>4</v>
      </c>
      <c r="N450" s="10">
        <v>1473.39</v>
      </c>
      <c r="O450" s="11">
        <v>0.3</v>
      </c>
      <c r="P450" s="10">
        <v>4125.49</v>
      </c>
      <c r="Q450" s="10">
        <v>2927.79</v>
      </c>
      <c r="R450" s="10">
        <v>1197.7</v>
      </c>
      <c r="S450" s="8" t="s">
        <v>63</v>
      </c>
      <c r="T450" s="8" t="s">
        <v>119</v>
      </c>
      <c r="U450" s="8">
        <v>3</v>
      </c>
      <c r="V450" s="8" t="s">
        <v>123</v>
      </c>
    </row>
    <row r="451" spans="1:22" x14ac:dyDescent="0.3">
      <c r="A451" s="12" t="s">
        <v>915</v>
      </c>
      <c r="B451" s="13">
        <v>45941</v>
      </c>
      <c r="C451" s="12" t="s">
        <v>37</v>
      </c>
      <c r="D451" s="12" t="s">
        <v>38</v>
      </c>
      <c r="E451" s="12" t="s">
        <v>39</v>
      </c>
      <c r="F451" s="12" t="s">
        <v>916</v>
      </c>
      <c r="G451" s="12" t="s">
        <v>41</v>
      </c>
      <c r="H451" s="12" t="s">
        <v>42</v>
      </c>
      <c r="I451" s="12" t="s">
        <v>68</v>
      </c>
      <c r="J451" s="12" t="s">
        <v>43</v>
      </c>
      <c r="K451" s="12" t="s">
        <v>51</v>
      </c>
      <c r="L451" s="12" t="s">
        <v>82</v>
      </c>
      <c r="M451" s="12">
        <v>2</v>
      </c>
      <c r="N451" s="14">
        <v>1515.37</v>
      </c>
      <c r="O451" s="15">
        <v>0.1</v>
      </c>
      <c r="P451" s="14">
        <v>2727.67</v>
      </c>
      <c r="Q451" s="14">
        <v>1332.64</v>
      </c>
      <c r="R451" s="14">
        <v>1395.03</v>
      </c>
      <c r="S451" s="12" t="s">
        <v>46</v>
      </c>
      <c r="T451" s="12" t="s">
        <v>71</v>
      </c>
      <c r="U451" s="12">
        <v>3</v>
      </c>
      <c r="V451" s="12" t="s">
        <v>123</v>
      </c>
    </row>
    <row r="452" spans="1:22" x14ac:dyDescent="0.3">
      <c r="A452" s="8" t="s">
        <v>917</v>
      </c>
      <c r="B452" s="9">
        <v>45906</v>
      </c>
      <c r="C452" s="8" t="s">
        <v>113</v>
      </c>
      <c r="D452" s="8" t="s">
        <v>114</v>
      </c>
      <c r="E452" s="8" t="s">
        <v>59</v>
      </c>
      <c r="F452" s="8" t="s">
        <v>918</v>
      </c>
      <c r="G452" s="8" t="s">
        <v>27</v>
      </c>
      <c r="H452" s="8" t="s">
        <v>42</v>
      </c>
      <c r="I452" s="8" t="s">
        <v>29</v>
      </c>
      <c r="J452" s="8" t="s">
        <v>43</v>
      </c>
      <c r="K452" s="8" t="s">
        <v>51</v>
      </c>
      <c r="L452" s="8" t="s">
        <v>175</v>
      </c>
      <c r="M452" s="8">
        <v>1</v>
      </c>
      <c r="N452" s="10">
        <v>1560.08</v>
      </c>
      <c r="O452" s="11">
        <v>0.1</v>
      </c>
      <c r="P452" s="10">
        <v>1404.07</v>
      </c>
      <c r="Q452" s="10">
        <v>676.75</v>
      </c>
      <c r="R452" s="10">
        <v>727.32</v>
      </c>
      <c r="S452" s="8" t="s">
        <v>63</v>
      </c>
      <c r="T452" s="8" t="s">
        <v>111</v>
      </c>
      <c r="U452" s="8">
        <v>5</v>
      </c>
      <c r="V452" s="8" t="s">
        <v>116</v>
      </c>
    </row>
    <row r="453" spans="1:22" x14ac:dyDescent="0.3">
      <c r="A453" s="12" t="s">
        <v>919</v>
      </c>
      <c r="B453" s="13">
        <v>45911</v>
      </c>
      <c r="C453" s="12" t="s">
        <v>125</v>
      </c>
      <c r="D453" s="12" t="s">
        <v>126</v>
      </c>
      <c r="E453" s="12" t="s">
        <v>25</v>
      </c>
      <c r="F453" s="12" t="s">
        <v>316</v>
      </c>
      <c r="G453" s="12" t="s">
        <v>27</v>
      </c>
      <c r="H453" s="12" t="s">
        <v>81</v>
      </c>
      <c r="I453" s="12" t="s">
        <v>68</v>
      </c>
      <c r="J453" s="12" t="s">
        <v>101</v>
      </c>
      <c r="K453" s="12" t="s">
        <v>110</v>
      </c>
      <c r="L453" s="12" t="s">
        <v>45</v>
      </c>
      <c r="M453" s="12">
        <v>1</v>
      </c>
      <c r="N453" s="14">
        <v>5015.63</v>
      </c>
      <c r="O453" s="15">
        <v>0.05</v>
      </c>
      <c r="P453" s="14">
        <v>4764.8500000000004</v>
      </c>
      <c r="Q453" s="14">
        <v>3069.66</v>
      </c>
      <c r="R453" s="14">
        <v>1695.19</v>
      </c>
      <c r="S453" s="12" t="s">
        <v>33</v>
      </c>
      <c r="T453" s="12" t="s">
        <v>156</v>
      </c>
      <c r="U453" s="12">
        <v>3</v>
      </c>
      <c r="V453" s="12" t="s">
        <v>116</v>
      </c>
    </row>
    <row r="454" spans="1:22" x14ac:dyDescent="0.3">
      <c r="A454" s="8" t="s">
        <v>920</v>
      </c>
      <c r="B454" s="9">
        <v>46001</v>
      </c>
      <c r="C454" s="8" t="s">
        <v>131</v>
      </c>
      <c r="D454" s="8" t="s">
        <v>132</v>
      </c>
      <c r="E454" s="8" t="s">
        <v>25</v>
      </c>
      <c r="F454" s="8" t="s">
        <v>318</v>
      </c>
      <c r="G454" s="8" t="s">
        <v>27</v>
      </c>
      <c r="H454" s="8" t="s">
        <v>42</v>
      </c>
      <c r="I454" s="8" t="s">
        <v>61</v>
      </c>
      <c r="J454" s="8" t="s">
        <v>75</v>
      </c>
      <c r="K454" s="8" t="s">
        <v>95</v>
      </c>
      <c r="L454" s="8" t="s">
        <v>103</v>
      </c>
      <c r="M454" s="8">
        <v>1</v>
      </c>
      <c r="N454" s="10">
        <v>25300.39</v>
      </c>
      <c r="O454" s="11">
        <v>0.25</v>
      </c>
      <c r="P454" s="10">
        <v>18975.29</v>
      </c>
      <c r="Q454" s="10">
        <v>17856.27</v>
      </c>
      <c r="R454" s="10">
        <v>1119.02</v>
      </c>
      <c r="S454" s="8" t="s">
        <v>83</v>
      </c>
      <c r="T454" s="8" t="s">
        <v>71</v>
      </c>
      <c r="U454" s="8">
        <v>5</v>
      </c>
      <c r="V454" s="8" t="s">
        <v>35</v>
      </c>
    </row>
    <row r="455" spans="1:22" x14ac:dyDescent="0.3">
      <c r="A455" s="12" t="s">
        <v>921</v>
      </c>
      <c r="B455" s="13">
        <v>45932</v>
      </c>
      <c r="C455" s="12" t="s">
        <v>107</v>
      </c>
      <c r="D455" s="12" t="s">
        <v>108</v>
      </c>
      <c r="E455" s="12" t="s">
        <v>39</v>
      </c>
      <c r="F455" s="12" t="s">
        <v>437</v>
      </c>
      <c r="G455" s="12" t="s">
        <v>41</v>
      </c>
      <c r="H455" s="12" t="s">
        <v>94</v>
      </c>
      <c r="I455" s="12" t="s">
        <v>29</v>
      </c>
      <c r="J455" s="12" t="s">
        <v>30</v>
      </c>
      <c r="K455" s="12" t="s">
        <v>62</v>
      </c>
      <c r="L455" s="12" t="s">
        <v>32</v>
      </c>
      <c r="M455" s="12">
        <v>4</v>
      </c>
      <c r="N455" s="14">
        <v>1036.03</v>
      </c>
      <c r="O455" s="15">
        <v>0.25</v>
      </c>
      <c r="P455" s="14">
        <v>3108.09</v>
      </c>
      <c r="Q455" s="14">
        <v>1794</v>
      </c>
      <c r="R455" s="14">
        <v>1314.09</v>
      </c>
      <c r="S455" s="12" t="s">
        <v>83</v>
      </c>
      <c r="T455" s="12" t="s">
        <v>111</v>
      </c>
      <c r="U455" s="12">
        <v>4</v>
      </c>
      <c r="V455" s="12" t="s">
        <v>123</v>
      </c>
    </row>
    <row r="456" spans="1:22" x14ac:dyDescent="0.3">
      <c r="A456" s="8" t="s">
        <v>922</v>
      </c>
      <c r="B456" s="9">
        <v>45757</v>
      </c>
      <c r="C456" s="8" t="s">
        <v>37</v>
      </c>
      <c r="D456" s="8" t="s">
        <v>38</v>
      </c>
      <c r="E456" s="8" t="s">
        <v>39</v>
      </c>
      <c r="F456" s="8" t="s">
        <v>670</v>
      </c>
      <c r="G456" s="8" t="s">
        <v>41</v>
      </c>
      <c r="H456" s="8" t="s">
        <v>28</v>
      </c>
      <c r="I456" s="8" t="s">
        <v>61</v>
      </c>
      <c r="J456" s="8" t="s">
        <v>101</v>
      </c>
      <c r="K456" s="8" t="s">
        <v>102</v>
      </c>
      <c r="L456" s="8" t="s">
        <v>103</v>
      </c>
      <c r="M456" s="8">
        <v>2</v>
      </c>
      <c r="N456" s="10">
        <v>710.43</v>
      </c>
      <c r="O456" s="11">
        <v>0.05</v>
      </c>
      <c r="P456" s="10">
        <v>1349.82</v>
      </c>
      <c r="Q456" s="10">
        <v>487.39</v>
      </c>
      <c r="R456" s="10">
        <v>862.43</v>
      </c>
      <c r="S456" s="8" t="s">
        <v>53</v>
      </c>
      <c r="T456" s="8" t="s">
        <v>54</v>
      </c>
      <c r="U456" s="8">
        <v>5</v>
      </c>
      <c r="V456" s="8" t="s">
        <v>96</v>
      </c>
    </row>
    <row r="457" spans="1:22" x14ac:dyDescent="0.3">
      <c r="A457" s="12" t="s">
        <v>923</v>
      </c>
      <c r="B457" s="13">
        <v>45706</v>
      </c>
      <c r="C457" s="12" t="s">
        <v>113</v>
      </c>
      <c r="D457" s="12" t="s">
        <v>114</v>
      </c>
      <c r="E457" s="12" t="s">
        <v>59</v>
      </c>
      <c r="F457" s="12" t="s">
        <v>924</v>
      </c>
      <c r="G457" s="12" t="s">
        <v>41</v>
      </c>
      <c r="H457" s="12" t="s">
        <v>28</v>
      </c>
      <c r="I457" s="12" t="s">
        <v>61</v>
      </c>
      <c r="J457" s="12" t="s">
        <v>101</v>
      </c>
      <c r="K457" s="12" t="s">
        <v>110</v>
      </c>
      <c r="L457" s="12" t="s">
        <v>45</v>
      </c>
      <c r="M457" s="12">
        <v>2</v>
      </c>
      <c r="N457" s="14">
        <v>5087.13</v>
      </c>
      <c r="O457" s="15">
        <v>0.3</v>
      </c>
      <c r="P457" s="14">
        <v>7121.98</v>
      </c>
      <c r="Q457" s="14">
        <v>6654.63</v>
      </c>
      <c r="R457" s="14">
        <v>467.35</v>
      </c>
      <c r="S457" s="12" t="s">
        <v>33</v>
      </c>
      <c r="T457" s="12" t="s">
        <v>71</v>
      </c>
      <c r="U457" s="12">
        <v>3</v>
      </c>
      <c r="V457" s="12" t="s">
        <v>105</v>
      </c>
    </row>
    <row r="458" spans="1:22" x14ac:dyDescent="0.3">
      <c r="A458" s="8" t="s">
        <v>925</v>
      </c>
      <c r="B458" s="9">
        <v>45672</v>
      </c>
      <c r="C458" s="8" t="s">
        <v>48</v>
      </c>
      <c r="D458" s="8" t="s">
        <v>49</v>
      </c>
      <c r="E458" s="8" t="s">
        <v>39</v>
      </c>
      <c r="F458" s="8" t="s">
        <v>926</v>
      </c>
      <c r="G458" s="8" t="s">
        <v>27</v>
      </c>
      <c r="H458" s="8" t="s">
        <v>42</v>
      </c>
      <c r="I458" s="8" t="s">
        <v>29</v>
      </c>
      <c r="J458" s="8" t="s">
        <v>30</v>
      </c>
      <c r="K458" s="8" t="s">
        <v>62</v>
      </c>
      <c r="L458" s="8" t="s">
        <v>175</v>
      </c>
      <c r="M458" s="8">
        <v>5</v>
      </c>
      <c r="N458" s="10">
        <v>950.12</v>
      </c>
      <c r="O458" s="11">
        <v>0.25</v>
      </c>
      <c r="P458" s="10">
        <v>3562.95</v>
      </c>
      <c r="Q458" s="10">
        <v>2300.4699999999998</v>
      </c>
      <c r="R458" s="10">
        <v>1262.48</v>
      </c>
      <c r="S458" s="8" t="s">
        <v>33</v>
      </c>
      <c r="T458" s="8" t="s">
        <v>54</v>
      </c>
      <c r="U458" s="8">
        <v>5</v>
      </c>
      <c r="V458" s="8" t="s">
        <v>84</v>
      </c>
    </row>
    <row r="459" spans="1:22" x14ac:dyDescent="0.3">
      <c r="A459" s="12" t="s">
        <v>927</v>
      </c>
      <c r="B459" s="13">
        <v>45980</v>
      </c>
      <c r="C459" s="12" t="s">
        <v>57</v>
      </c>
      <c r="D459" s="12" t="s">
        <v>58</v>
      </c>
      <c r="E459" s="12" t="s">
        <v>59</v>
      </c>
      <c r="F459" s="12" t="s">
        <v>602</v>
      </c>
      <c r="G459" s="12" t="s">
        <v>41</v>
      </c>
      <c r="H459" s="12" t="s">
        <v>28</v>
      </c>
      <c r="I459" s="12" t="s">
        <v>68</v>
      </c>
      <c r="J459" s="12" t="s">
        <v>101</v>
      </c>
      <c r="K459" s="12" t="s">
        <v>110</v>
      </c>
      <c r="L459" s="12" t="s">
        <v>175</v>
      </c>
      <c r="M459" s="12">
        <v>5</v>
      </c>
      <c r="N459" s="14">
        <v>4891.46</v>
      </c>
      <c r="O459" s="15">
        <v>0.2</v>
      </c>
      <c r="P459" s="14">
        <v>19565.84</v>
      </c>
      <c r="Q459" s="14">
        <v>15247.58</v>
      </c>
      <c r="R459" s="14">
        <v>4318.26</v>
      </c>
      <c r="S459" s="12" t="s">
        <v>53</v>
      </c>
      <c r="T459" s="12" t="s">
        <v>111</v>
      </c>
      <c r="U459" s="12">
        <v>5</v>
      </c>
      <c r="V459" s="12" t="s">
        <v>65</v>
      </c>
    </row>
    <row r="460" spans="1:22" x14ac:dyDescent="0.3">
      <c r="A460" s="8" t="s">
        <v>928</v>
      </c>
      <c r="B460" s="9">
        <v>45692</v>
      </c>
      <c r="C460" s="8" t="s">
        <v>57</v>
      </c>
      <c r="D460" s="8" t="s">
        <v>58</v>
      </c>
      <c r="E460" s="8" t="s">
        <v>59</v>
      </c>
      <c r="F460" s="8" t="s">
        <v>929</v>
      </c>
      <c r="G460" s="8" t="s">
        <v>41</v>
      </c>
      <c r="H460" s="8" t="s">
        <v>28</v>
      </c>
      <c r="I460" s="8" t="s">
        <v>68</v>
      </c>
      <c r="J460" s="8" t="s">
        <v>69</v>
      </c>
      <c r="K460" s="8" t="s">
        <v>180</v>
      </c>
      <c r="L460" s="8" t="s">
        <v>91</v>
      </c>
      <c r="M460" s="8">
        <v>5</v>
      </c>
      <c r="N460" s="10">
        <v>1468.66</v>
      </c>
      <c r="O460" s="11">
        <v>0.1</v>
      </c>
      <c r="P460" s="10">
        <v>6608.97</v>
      </c>
      <c r="Q460" s="10">
        <v>4285.32</v>
      </c>
      <c r="R460" s="10">
        <v>2323.65</v>
      </c>
      <c r="S460" s="8" t="s">
        <v>83</v>
      </c>
      <c r="T460" s="8" t="s">
        <v>147</v>
      </c>
      <c r="U460" s="8">
        <v>5</v>
      </c>
      <c r="V460" s="8" t="s">
        <v>105</v>
      </c>
    </row>
    <row r="461" spans="1:22" x14ac:dyDescent="0.3">
      <c r="A461" s="12" t="s">
        <v>930</v>
      </c>
      <c r="B461" s="13">
        <v>45893</v>
      </c>
      <c r="C461" s="12" t="s">
        <v>37</v>
      </c>
      <c r="D461" s="12" t="s">
        <v>38</v>
      </c>
      <c r="E461" s="12" t="s">
        <v>39</v>
      </c>
      <c r="F461" s="12" t="s">
        <v>532</v>
      </c>
      <c r="G461" s="12" t="s">
        <v>41</v>
      </c>
      <c r="H461" s="12" t="s">
        <v>28</v>
      </c>
      <c r="I461" s="12" t="s">
        <v>68</v>
      </c>
      <c r="J461" s="12" t="s">
        <v>69</v>
      </c>
      <c r="K461" s="12" t="s">
        <v>70</v>
      </c>
      <c r="L461" s="12" t="s">
        <v>175</v>
      </c>
      <c r="M461" s="12">
        <v>5</v>
      </c>
      <c r="N461" s="14">
        <v>885.43</v>
      </c>
      <c r="O461" s="15">
        <v>0.2</v>
      </c>
      <c r="P461" s="14">
        <v>3541.72</v>
      </c>
      <c r="Q461" s="14">
        <v>2192.39</v>
      </c>
      <c r="R461" s="14">
        <v>1349.33</v>
      </c>
      <c r="S461" s="12" t="s">
        <v>46</v>
      </c>
      <c r="T461" s="12" t="s">
        <v>54</v>
      </c>
      <c r="U461" s="12">
        <v>4</v>
      </c>
      <c r="V461" s="12" t="s">
        <v>72</v>
      </c>
    </row>
    <row r="462" spans="1:22" x14ac:dyDescent="0.3">
      <c r="A462" s="8" t="s">
        <v>931</v>
      </c>
      <c r="B462" s="9">
        <v>45854</v>
      </c>
      <c r="C462" s="8" t="s">
        <v>131</v>
      </c>
      <c r="D462" s="8" t="s">
        <v>132</v>
      </c>
      <c r="E462" s="8" t="s">
        <v>25</v>
      </c>
      <c r="F462" s="8" t="s">
        <v>766</v>
      </c>
      <c r="G462" s="8" t="s">
        <v>27</v>
      </c>
      <c r="H462" s="8" t="s">
        <v>94</v>
      </c>
      <c r="I462" s="8" t="s">
        <v>29</v>
      </c>
      <c r="J462" s="8" t="s">
        <v>69</v>
      </c>
      <c r="K462" s="8" t="s">
        <v>137</v>
      </c>
      <c r="L462" s="8" t="s">
        <v>45</v>
      </c>
      <c r="M462" s="8">
        <v>4</v>
      </c>
      <c r="N462" s="10">
        <v>476.64</v>
      </c>
      <c r="O462" s="11">
        <v>0.1</v>
      </c>
      <c r="P462" s="10">
        <v>1715.9</v>
      </c>
      <c r="Q462" s="10">
        <v>840.62</v>
      </c>
      <c r="R462" s="10">
        <v>875.28</v>
      </c>
      <c r="S462" s="8" t="s">
        <v>46</v>
      </c>
      <c r="T462" s="8" t="s">
        <v>147</v>
      </c>
      <c r="U462" s="8">
        <v>3</v>
      </c>
      <c r="V462" s="8" t="s">
        <v>120</v>
      </c>
    </row>
    <row r="463" spans="1:22" x14ac:dyDescent="0.3">
      <c r="A463" s="12" t="s">
        <v>932</v>
      </c>
      <c r="B463" s="13">
        <v>45688</v>
      </c>
      <c r="C463" s="12" t="s">
        <v>131</v>
      </c>
      <c r="D463" s="12" t="s">
        <v>132</v>
      </c>
      <c r="E463" s="12" t="s">
        <v>25</v>
      </c>
      <c r="F463" s="12" t="s">
        <v>933</v>
      </c>
      <c r="G463" s="12" t="s">
        <v>41</v>
      </c>
      <c r="H463" s="12" t="s">
        <v>42</v>
      </c>
      <c r="I463" s="12" t="s">
        <v>29</v>
      </c>
      <c r="J463" s="12" t="s">
        <v>30</v>
      </c>
      <c r="K463" s="12" t="s">
        <v>62</v>
      </c>
      <c r="L463" s="12" t="s">
        <v>175</v>
      </c>
      <c r="M463" s="12">
        <v>3</v>
      </c>
      <c r="N463" s="14">
        <v>972.29</v>
      </c>
      <c r="O463" s="15">
        <v>0.05</v>
      </c>
      <c r="P463" s="14">
        <v>2771.03</v>
      </c>
      <c r="Q463" s="14">
        <v>1303.1600000000001</v>
      </c>
      <c r="R463" s="14">
        <v>1467.87</v>
      </c>
      <c r="S463" s="12" t="s">
        <v>33</v>
      </c>
      <c r="T463" s="12" t="s">
        <v>71</v>
      </c>
      <c r="U463" s="12">
        <v>5</v>
      </c>
      <c r="V463" s="12" t="s">
        <v>84</v>
      </c>
    </row>
    <row r="464" spans="1:22" x14ac:dyDescent="0.3">
      <c r="A464" s="8" t="s">
        <v>934</v>
      </c>
      <c r="B464" s="9">
        <v>45777</v>
      </c>
      <c r="C464" s="8" t="s">
        <v>113</v>
      </c>
      <c r="D464" s="8" t="s">
        <v>114</v>
      </c>
      <c r="E464" s="8" t="s">
        <v>59</v>
      </c>
      <c r="F464" s="8" t="s">
        <v>829</v>
      </c>
      <c r="G464" s="8" t="s">
        <v>27</v>
      </c>
      <c r="H464" s="8" t="s">
        <v>94</v>
      </c>
      <c r="I464" s="8" t="s">
        <v>61</v>
      </c>
      <c r="J464" s="8" t="s">
        <v>75</v>
      </c>
      <c r="K464" s="8" t="s">
        <v>95</v>
      </c>
      <c r="L464" s="8" t="s">
        <v>77</v>
      </c>
      <c r="M464" s="8">
        <v>5</v>
      </c>
      <c r="N464" s="10">
        <v>24119.73</v>
      </c>
      <c r="O464" s="11">
        <v>0.2</v>
      </c>
      <c r="P464" s="10">
        <v>96478.92</v>
      </c>
      <c r="Q464" s="10">
        <v>89007.37</v>
      </c>
      <c r="R464" s="10">
        <v>7471.55</v>
      </c>
      <c r="S464" s="8" t="s">
        <v>83</v>
      </c>
      <c r="T464" s="8" t="s">
        <v>156</v>
      </c>
      <c r="U464" s="8">
        <v>5</v>
      </c>
      <c r="V464" s="8" t="s">
        <v>96</v>
      </c>
    </row>
    <row r="465" spans="1:22" x14ac:dyDescent="0.3">
      <c r="A465" s="12" t="s">
        <v>935</v>
      </c>
      <c r="B465" s="13">
        <v>45846</v>
      </c>
      <c r="C465" s="12" t="s">
        <v>23</v>
      </c>
      <c r="D465" s="12" t="s">
        <v>24</v>
      </c>
      <c r="E465" s="12" t="s">
        <v>25</v>
      </c>
      <c r="F465" s="12" t="s">
        <v>811</v>
      </c>
      <c r="G465" s="12" t="s">
        <v>41</v>
      </c>
      <c r="H465" s="12" t="s">
        <v>42</v>
      </c>
      <c r="I465" s="12" t="s">
        <v>29</v>
      </c>
      <c r="J465" s="12" t="s">
        <v>69</v>
      </c>
      <c r="K465" s="12" t="s">
        <v>70</v>
      </c>
      <c r="L465" s="12" t="s">
        <v>45</v>
      </c>
      <c r="M465" s="12">
        <v>3</v>
      </c>
      <c r="N465" s="14">
        <v>902.93</v>
      </c>
      <c r="O465" s="15">
        <v>0.25</v>
      </c>
      <c r="P465" s="14">
        <v>2031.59</v>
      </c>
      <c r="Q465" s="14">
        <v>1401.99</v>
      </c>
      <c r="R465" s="14">
        <v>629.6</v>
      </c>
      <c r="S465" s="12" t="s">
        <v>53</v>
      </c>
      <c r="T465" s="12" t="s">
        <v>119</v>
      </c>
      <c r="U465" s="12">
        <v>4</v>
      </c>
      <c r="V465" s="12" t="s">
        <v>120</v>
      </c>
    </row>
    <row r="466" spans="1:22" x14ac:dyDescent="0.3">
      <c r="A466" s="8" t="s">
        <v>936</v>
      </c>
      <c r="B466" s="9">
        <v>45745</v>
      </c>
      <c r="C466" s="8" t="s">
        <v>48</v>
      </c>
      <c r="D466" s="8" t="s">
        <v>49</v>
      </c>
      <c r="E466" s="8" t="s">
        <v>39</v>
      </c>
      <c r="F466" s="8" t="s">
        <v>470</v>
      </c>
      <c r="G466" s="8" t="s">
        <v>41</v>
      </c>
      <c r="H466" s="8" t="s">
        <v>94</v>
      </c>
      <c r="I466" s="8" t="s">
        <v>29</v>
      </c>
      <c r="J466" s="8" t="s">
        <v>30</v>
      </c>
      <c r="K466" s="8" t="s">
        <v>62</v>
      </c>
      <c r="L466" s="8" t="s">
        <v>32</v>
      </c>
      <c r="M466" s="8">
        <v>2</v>
      </c>
      <c r="N466" s="10">
        <v>1015.57</v>
      </c>
      <c r="O466" s="11">
        <v>0.05</v>
      </c>
      <c r="P466" s="10">
        <v>1929.58</v>
      </c>
      <c r="Q466" s="10">
        <v>895.45</v>
      </c>
      <c r="R466" s="10">
        <v>1034.1300000000001</v>
      </c>
      <c r="S466" s="8" t="s">
        <v>46</v>
      </c>
      <c r="T466" s="8" t="s">
        <v>147</v>
      </c>
      <c r="U466" s="8">
        <v>4</v>
      </c>
      <c r="V466" s="8" t="s">
        <v>55</v>
      </c>
    </row>
    <row r="467" spans="1:22" x14ac:dyDescent="0.3">
      <c r="A467" s="12" t="s">
        <v>937</v>
      </c>
      <c r="B467" s="13">
        <v>46004</v>
      </c>
      <c r="C467" s="12" t="s">
        <v>23</v>
      </c>
      <c r="D467" s="12" t="s">
        <v>24</v>
      </c>
      <c r="E467" s="12" t="s">
        <v>25</v>
      </c>
      <c r="F467" s="12" t="s">
        <v>938</v>
      </c>
      <c r="G467" s="12" t="s">
        <v>41</v>
      </c>
      <c r="H467" s="12" t="s">
        <v>81</v>
      </c>
      <c r="I467" s="12" t="s">
        <v>61</v>
      </c>
      <c r="J467" s="12" t="s">
        <v>69</v>
      </c>
      <c r="K467" s="12" t="s">
        <v>70</v>
      </c>
      <c r="L467" s="12" t="s">
        <v>77</v>
      </c>
      <c r="M467" s="12">
        <v>1</v>
      </c>
      <c r="N467" s="14">
        <v>871.94</v>
      </c>
      <c r="O467" s="15">
        <v>0.1</v>
      </c>
      <c r="P467" s="14">
        <v>784.75</v>
      </c>
      <c r="Q467" s="14">
        <v>463.88</v>
      </c>
      <c r="R467" s="14">
        <v>320.87</v>
      </c>
      <c r="S467" s="12" t="s">
        <v>83</v>
      </c>
      <c r="T467" s="12" t="s">
        <v>111</v>
      </c>
      <c r="U467" s="12">
        <v>3</v>
      </c>
      <c r="V467" s="12" t="s">
        <v>35</v>
      </c>
    </row>
    <row r="468" spans="1:22" x14ac:dyDescent="0.3">
      <c r="A468" s="8" t="s">
        <v>939</v>
      </c>
      <c r="B468" s="9">
        <v>45734</v>
      </c>
      <c r="C468" s="8" t="s">
        <v>113</v>
      </c>
      <c r="D468" s="8" t="s">
        <v>114</v>
      </c>
      <c r="E468" s="8" t="s">
        <v>59</v>
      </c>
      <c r="F468" s="8" t="s">
        <v>310</v>
      </c>
      <c r="G468" s="8" t="s">
        <v>41</v>
      </c>
      <c r="H468" s="8" t="s">
        <v>94</v>
      </c>
      <c r="I468" s="8" t="s">
        <v>61</v>
      </c>
      <c r="J468" s="8" t="s">
        <v>75</v>
      </c>
      <c r="K468" s="8" t="s">
        <v>76</v>
      </c>
      <c r="L468" s="8" t="s">
        <v>82</v>
      </c>
      <c r="M468" s="8">
        <v>4</v>
      </c>
      <c r="N468" s="10">
        <v>760.66</v>
      </c>
      <c r="O468" s="11">
        <v>0.25</v>
      </c>
      <c r="P468" s="10">
        <v>2281.98</v>
      </c>
      <c r="Q468" s="10">
        <v>1339.11</v>
      </c>
      <c r="R468" s="10">
        <v>942.87</v>
      </c>
      <c r="S468" s="8" t="s">
        <v>46</v>
      </c>
      <c r="T468" s="8" t="s">
        <v>119</v>
      </c>
      <c r="U468" s="8">
        <v>3</v>
      </c>
      <c r="V468" s="8" t="s">
        <v>55</v>
      </c>
    </row>
    <row r="469" spans="1:22" x14ac:dyDescent="0.3">
      <c r="A469" s="12" t="s">
        <v>940</v>
      </c>
      <c r="B469" s="13">
        <v>45962</v>
      </c>
      <c r="C469" s="12" t="s">
        <v>57</v>
      </c>
      <c r="D469" s="12" t="s">
        <v>58</v>
      </c>
      <c r="E469" s="12" t="s">
        <v>59</v>
      </c>
      <c r="F469" s="12" t="s">
        <v>941</v>
      </c>
      <c r="G469" s="12" t="s">
        <v>27</v>
      </c>
      <c r="H469" s="12" t="s">
        <v>28</v>
      </c>
      <c r="I469" s="12" t="s">
        <v>61</v>
      </c>
      <c r="J469" s="12" t="s">
        <v>69</v>
      </c>
      <c r="K469" s="12" t="s">
        <v>180</v>
      </c>
      <c r="L469" s="12" t="s">
        <v>82</v>
      </c>
      <c r="M469" s="12">
        <v>4</v>
      </c>
      <c r="N469" s="14">
        <v>1424.73</v>
      </c>
      <c r="O469" s="15">
        <v>0</v>
      </c>
      <c r="P469" s="14">
        <v>5698.92</v>
      </c>
      <c r="Q469" s="14">
        <v>3555.27</v>
      </c>
      <c r="R469" s="14">
        <v>2143.65</v>
      </c>
      <c r="S469" s="12" t="s">
        <v>63</v>
      </c>
      <c r="T469" s="12" t="s">
        <v>156</v>
      </c>
      <c r="U469" s="12">
        <v>4</v>
      </c>
      <c r="V469" s="12" t="s">
        <v>65</v>
      </c>
    </row>
    <row r="470" spans="1:22" x14ac:dyDescent="0.3">
      <c r="A470" s="8" t="s">
        <v>942</v>
      </c>
      <c r="B470" s="9">
        <v>45711</v>
      </c>
      <c r="C470" s="8" t="s">
        <v>37</v>
      </c>
      <c r="D470" s="8" t="s">
        <v>38</v>
      </c>
      <c r="E470" s="8" t="s">
        <v>39</v>
      </c>
      <c r="F470" s="8" t="s">
        <v>943</v>
      </c>
      <c r="G470" s="8" t="s">
        <v>27</v>
      </c>
      <c r="H470" s="8" t="s">
        <v>28</v>
      </c>
      <c r="I470" s="8" t="s">
        <v>29</v>
      </c>
      <c r="J470" s="8" t="s">
        <v>89</v>
      </c>
      <c r="K470" s="8" t="s">
        <v>90</v>
      </c>
      <c r="L470" s="8" t="s">
        <v>175</v>
      </c>
      <c r="M470" s="8">
        <v>2</v>
      </c>
      <c r="N470" s="10">
        <v>3409.98</v>
      </c>
      <c r="O470" s="11">
        <v>0.2</v>
      </c>
      <c r="P470" s="10">
        <v>5455.97</v>
      </c>
      <c r="Q470" s="10">
        <v>4219.68</v>
      </c>
      <c r="R470" s="10">
        <v>1236.29</v>
      </c>
      <c r="S470" s="8" t="s">
        <v>83</v>
      </c>
      <c r="T470" s="8" t="s">
        <v>71</v>
      </c>
      <c r="U470" s="8">
        <v>5</v>
      </c>
      <c r="V470" s="8" t="s">
        <v>105</v>
      </c>
    </row>
    <row r="471" spans="1:22" x14ac:dyDescent="0.3">
      <c r="A471" s="12" t="s">
        <v>944</v>
      </c>
      <c r="B471" s="13">
        <v>45769</v>
      </c>
      <c r="C471" s="12" t="s">
        <v>98</v>
      </c>
      <c r="D471" s="12" t="s">
        <v>99</v>
      </c>
      <c r="E471" s="12" t="s">
        <v>25</v>
      </c>
      <c r="F471" s="12" t="s">
        <v>287</v>
      </c>
      <c r="G471" s="12" t="s">
        <v>27</v>
      </c>
      <c r="H471" s="12" t="s">
        <v>94</v>
      </c>
      <c r="I471" s="12" t="s">
        <v>61</v>
      </c>
      <c r="J471" s="12" t="s">
        <v>30</v>
      </c>
      <c r="K471" s="12" t="s">
        <v>31</v>
      </c>
      <c r="L471" s="12" t="s">
        <v>77</v>
      </c>
      <c r="M471" s="12">
        <v>1</v>
      </c>
      <c r="N471" s="14">
        <v>4002.48</v>
      </c>
      <c r="O471" s="15">
        <v>0.05</v>
      </c>
      <c r="P471" s="14">
        <v>3802.36</v>
      </c>
      <c r="Q471" s="14">
        <v>2123.08</v>
      </c>
      <c r="R471" s="14">
        <v>1679.28</v>
      </c>
      <c r="S471" s="12" t="s">
        <v>53</v>
      </c>
      <c r="T471" s="12" t="s">
        <v>119</v>
      </c>
      <c r="U471" s="12">
        <v>4</v>
      </c>
      <c r="V471" s="12" t="s">
        <v>96</v>
      </c>
    </row>
    <row r="472" spans="1:22" x14ac:dyDescent="0.3">
      <c r="A472" s="8" t="s">
        <v>945</v>
      </c>
      <c r="B472" s="9">
        <v>45785</v>
      </c>
      <c r="C472" s="8" t="s">
        <v>37</v>
      </c>
      <c r="D472" s="8" t="s">
        <v>38</v>
      </c>
      <c r="E472" s="8" t="s">
        <v>39</v>
      </c>
      <c r="F472" s="8" t="s">
        <v>946</v>
      </c>
      <c r="G472" s="8" t="s">
        <v>27</v>
      </c>
      <c r="H472" s="8" t="s">
        <v>81</v>
      </c>
      <c r="I472" s="8" t="s">
        <v>61</v>
      </c>
      <c r="J472" s="8" t="s">
        <v>69</v>
      </c>
      <c r="K472" s="8" t="s">
        <v>180</v>
      </c>
      <c r="L472" s="8" t="s">
        <v>45</v>
      </c>
      <c r="M472" s="8">
        <v>1</v>
      </c>
      <c r="N472" s="10">
        <v>1486.21</v>
      </c>
      <c r="O472" s="11">
        <v>0.05</v>
      </c>
      <c r="P472" s="10">
        <v>1411.9</v>
      </c>
      <c r="Q472" s="10">
        <v>811.26</v>
      </c>
      <c r="R472" s="10">
        <v>600.64</v>
      </c>
      <c r="S472" s="8" t="s">
        <v>63</v>
      </c>
      <c r="T472" s="8" t="s">
        <v>64</v>
      </c>
      <c r="U472" s="8">
        <v>5</v>
      </c>
      <c r="V472" s="8" t="s">
        <v>134</v>
      </c>
    </row>
    <row r="473" spans="1:22" x14ac:dyDescent="0.3">
      <c r="A473" s="12" t="s">
        <v>947</v>
      </c>
      <c r="B473" s="13">
        <v>45874</v>
      </c>
      <c r="C473" s="12" t="s">
        <v>48</v>
      </c>
      <c r="D473" s="12" t="s">
        <v>49</v>
      </c>
      <c r="E473" s="12" t="s">
        <v>39</v>
      </c>
      <c r="F473" s="12" t="s">
        <v>168</v>
      </c>
      <c r="G473" s="12" t="s">
        <v>27</v>
      </c>
      <c r="H473" s="12" t="s">
        <v>81</v>
      </c>
      <c r="I473" s="12" t="s">
        <v>61</v>
      </c>
      <c r="J473" s="12" t="s">
        <v>89</v>
      </c>
      <c r="K473" s="12" t="s">
        <v>89</v>
      </c>
      <c r="L473" s="12" t="s">
        <v>103</v>
      </c>
      <c r="M473" s="12">
        <v>5</v>
      </c>
      <c r="N473" s="14">
        <v>1260.9000000000001</v>
      </c>
      <c r="O473" s="15">
        <v>0.1</v>
      </c>
      <c r="P473" s="14">
        <v>5674.05</v>
      </c>
      <c r="Q473" s="14">
        <v>3611.65</v>
      </c>
      <c r="R473" s="14">
        <v>2062.4</v>
      </c>
      <c r="S473" s="12" t="s">
        <v>33</v>
      </c>
      <c r="T473" s="12" t="s">
        <v>147</v>
      </c>
      <c r="U473" s="12">
        <v>4</v>
      </c>
      <c r="V473" s="12" t="s">
        <v>72</v>
      </c>
    </row>
    <row r="474" spans="1:22" x14ac:dyDescent="0.3">
      <c r="A474" s="8" t="s">
        <v>948</v>
      </c>
      <c r="B474" s="9">
        <v>45670</v>
      </c>
      <c r="C474" s="8" t="s">
        <v>86</v>
      </c>
      <c r="D474" s="8" t="s">
        <v>87</v>
      </c>
      <c r="E474" s="8" t="s">
        <v>59</v>
      </c>
      <c r="F474" s="8" t="s">
        <v>634</v>
      </c>
      <c r="G474" s="8" t="s">
        <v>41</v>
      </c>
      <c r="H474" s="8" t="s">
        <v>28</v>
      </c>
      <c r="I474" s="8" t="s">
        <v>68</v>
      </c>
      <c r="J474" s="8" t="s">
        <v>43</v>
      </c>
      <c r="K474" s="8" t="s">
        <v>162</v>
      </c>
      <c r="L474" s="8" t="s">
        <v>91</v>
      </c>
      <c r="M474" s="8">
        <v>1</v>
      </c>
      <c r="N474" s="10">
        <v>907.65</v>
      </c>
      <c r="O474" s="11">
        <v>0.15</v>
      </c>
      <c r="P474" s="10">
        <v>771.5</v>
      </c>
      <c r="Q474" s="10">
        <v>415.99</v>
      </c>
      <c r="R474" s="10">
        <v>355.51</v>
      </c>
      <c r="S474" s="8" t="s">
        <v>83</v>
      </c>
      <c r="T474" s="8" t="s">
        <v>71</v>
      </c>
      <c r="U474" s="8">
        <v>3</v>
      </c>
      <c r="V474" s="8" t="s">
        <v>84</v>
      </c>
    </row>
    <row r="475" spans="1:22" x14ac:dyDescent="0.3">
      <c r="A475" s="12" t="s">
        <v>949</v>
      </c>
      <c r="B475" s="13">
        <v>45902</v>
      </c>
      <c r="C475" s="12" t="s">
        <v>113</v>
      </c>
      <c r="D475" s="12" t="s">
        <v>114</v>
      </c>
      <c r="E475" s="12" t="s">
        <v>59</v>
      </c>
      <c r="F475" s="12" t="s">
        <v>950</v>
      </c>
      <c r="G475" s="12" t="s">
        <v>41</v>
      </c>
      <c r="H475" s="12" t="s">
        <v>42</v>
      </c>
      <c r="I475" s="12" t="s">
        <v>68</v>
      </c>
      <c r="J475" s="12" t="s">
        <v>30</v>
      </c>
      <c r="K475" s="12" t="s">
        <v>31</v>
      </c>
      <c r="L475" s="12" t="s">
        <v>45</v>
      </c>
      <c r="M475" s="12">
        <v>3</v>
      </c>
      <c r="N475" s="14">
        <v>4167.7</v>
      </c>
      <c r="O475" s="15">
        <v>0.05</v>
      </c>
      <c r="P475" s="14">
        <v>11877.94</v>
      </c>
      <c r="Q475" s="14">
        <v>6707.63</v>
      </c>
      <c r="R475" s="14">
        <v>5170.3100000000004</v>
      </c>
      <c r="S475" s="12" t="s">
        <v>83</v>
      </c>
      <c r="T475" s="12" t="s">
        <v>78</v>
      </c>
      <c r="U475" s="12">
        <v>3</v>
      </c>
      <c r="V475" s="12" t="s">
        <v>116</v>
      </c>
    </row>
    <row r="476" spans="1:22" x14ac:dyDescent="0.3">
      <c r="A476" s="8" t="s">
        <v>951</v>
      </c>
      <c r="B476" s="9">
        <v>45703</v>
      </c>
      <c r="C476" s="8" t="s">
        <v>131</v>
      </c>
      <c r="D476" s="8" t="s">
        <v>132</v>
      </c>
      <c r="E476" s="8" t="s">
        <v>25</v>
      </c>
      <c r="F476" s="8" t="s">
        <v>952</v>
      </c>
      <c r="G476" s="8" t="s">
        <v>27</v>
      </c>
      <c r="H476" s="8" t="s">
        <v>28</v>
      </c>
      <c r="I476" s="8" t="s">
        <v>61</v>
      </c>
      <c r="J476" s="8" t="s">
        <v>75</v>
      </c>
      <c r="K476" s="8" t="s">
        <v>76</v>
      </c>
      <c r="L476" s="8" t="s">
        <v>32</v>
      </c>
      <c r="M476" s="8">
        <v>3</v>
      </c>
      <c r="N476" s="10">
        <v>784.95</v>
      </c>
      <c r="O476" s="11">
        <v>0.05</v>
      </c>
      <c r="P476" s="10">
        <v>2237.11</v>
      </c>
      <c r="Q476" s="10">
        <v>1081.22</v>
      </c>
      <c r="R476" s="10">
        <v>1155.8900000000001</v>
      </c>
      <c r="S476" s="8" t="s">
        <v>83</v>
      </c>
      <c r="T476" s="8" t="s">
        <v>147</v>
      </c>
      <c r="U476" s="8">
        <v>3</v>
      </c>
      <c r="V476" s="8" t="s">
        <v>105</v>
      </c>
    </row>
    <row r="477" spans="1:22" x14ac:dyDescent="0.3">
      <c r="A477" s="12" t="s">
        <v>953</v>
      </c>
      <c r="B477" s="13">
        <v>45787</v>
      </c>
      <c r="C477" s="12" t="s">
        <v>86</v>
      </c>
      <c r="D477" s="12" t="s">
        <v>87</v>
      </c>
      <c r="E477" s="12" t="s">
        <v>59</v>
      </c>
      <c r="F477" s="12" t="s">
        <v>954</v>
      </c>
      <c r="G477" s="12" t="s">
        <v>27</v>
      </c>
      <c r="H477" s="12" t="s">
        <v>42</v>
      </c>
      <c r="I477" s="12" t="s">
        <v>29</v>
      </c>
      <c r="J477" s="12" t="s">
        <v>43</v>
      </c>
      <c r="K477" s="12" t="s">
        <v>44</v>
      </c>
      <c r="L477" s="12" t="s">
        <v>77</v>
      </c>
      <c r="M477" s="12">
        <v>4</v>
      </c>
      <c r="N477" s="14">
        <v>595.22</v>
      </c>
      <c r="O477" s="15">
        <v>0.1</v>
      </c>
      <c r="P477" s="14">
        <v>2142.79</v>
      </c>
      <c r="Q477" s="14">
        <v>1090.45</v>
      </c>
      <c r="R477" s="14">
        <v>1052.3399999999999</v>
      </c>
      <c r="S477" s="12" t="s">
        <v>83</v>
      </c>
      <c r="T477" s="12" t="s">
        <v>54</v>
      </c>
      <c r="U477" s="12">
        <v>3</v>
      </c>
      <c r="V477" s="12" t="s">
        <v>134</v>
      </c>
    </row>
    <row r="478" spans="1:22" x14ac:dyDescent="0.3">
      <c r="A478" s="8" t="s">
        <v>955</v>
      </c>
      <c r="B478" s="9">
        <v>46022</v>
      </c>
      <c r="C478" s="8" t="s">
        <v>86</v>
      </c>
      <c r="D478" s="8" t="s">
        <v>87</v>
      </c>
      <c r="E478" s="8" t="s">
        <v>59</v>
      </c>
      <c r="F478" s="8" t="s">
        <v>412</v>
      </c>
      <c r="G478" s="8" t="s">
        <v>41</v>
      </c>
      <c r="H478" s="8" t="s">
        <v>42</v>
      </c>
      <c r="I478" s="8" t="s">
        <v>61</v>
      </c>
      <c r="J478" s="8" t="s">
        <v>101</v>
      </c>
      <c r="K478" s="8" t="s">
        <v>217</v>
      </c>
      <c r="L478" s="8" t="s">
        <v>32</v>
      </c>
      <c r="M478" s="8">
        <v>2</v>
      </c>
      <c r="N478" s="10">
        <v>2945.45</v>
      </c>
      <c r="O478" s="11">
        <v>0.1</v>
      </c>
      <c r="P478" s="10">
        <v>5301.81</v>
      </c>
      <c r="Q478" s="10">
        <v>3369.1</v>
      </c>
      <c r="R478" s="10">
        <v>1932.71</v>
      </c>
      <c r="S478" s="8" t="s">
        <v>33</v>
      </c>
      <c r="T478" s="8" t="s">
        <v>54</v>
      </c>
      <c r="U478" s="8">
        <v>5</v>
      </c>
      <c r="V478" s="8" t="s">
        <v>35</v>
      </c>
    </row>
    <row r="479" spans="1:22" x14ac:dyDescent="0.3">
      <c r="A479" s="12" t="s">
        <v>956</v>
      </c>
      <c r="B479" s="13">
        <v>45708</v>
      </c>
      <c r="C479" s="12" t="s">
        <v>113</v>
      </c>
      <c r="D479" s="12" t="s">
        <v>114</v>
      </c>
      <c r="E479" s="12" t="s">
        <v>59</v>
      </c>
      <c r="F479" s="12" t="s">
        <v>957</v>
      </c>
      <c r="G479" s="12" t="s">
        <v>41</v>
      </c>
      <c r="H479" s="12" t="s">
        <v>81</v>
      </c>
      <c r="I479" s="12" t="s">
        <v>29</v>
      </c>
      <c r="J479" s="12" t="s">
        <v>43</v>
      </c>
      <c r="K479" s="12" t="s">
        <v>44</v>
      </c>
      <c r="L479" s="12" t="s">
        <v>52</v>
      </c>
      <c r="M479" s="12">
        <v>3</v>
      </c>
      <c r="N479" s="14">
        <v>623.16</v>
      </c>
      <c r="O479" s="15">
        <v>0.15</v>
      </c>
      <c r="P479" s="14">
        <v>1589.06</v>
      </c>
      <c r="Q479" s="14">
        <v>751.6</v>
      </c>
      <c r="R479" s="14">
        <v>837.46</v>
      </c>
      <c r="S479" s="12" t="s">
        <v>33</v>
      </c>
      <c r="T479" s="12" t="s">
        <v>104</v>
      </c>
      <c r="U479" s="12">
        <v>5</v>
      </c>
      <c r="V479" s="12" t="s">
        <v>105</v>
      </c>
    </row>
    <row r="480" spans="1:22" x14ac:dyDescent="0.3">
      <c r="A480" s="8" t="s">
        <v>958</v>
      </c>
      <c r="B480" s="9">
        <v>45980</v>
      </c>
      <c r="C480" s="8" t="s">
        <v>57</v>
      </c>
      <c r="D480" s="8" t="s">
        <v>58</v>
      </c>
      <c r="E480" s="8" t="s">
        <v>59</v>
      </c>
      <c r="F480" s="8" t="s">
        <v>959</v>
      </c>
      <c r="G480" s="8" t="s">
        <v>41</v>
      </c>
      <c r="H480" s="8" t="s">
        <v>28</v>
      </c>
      <c r="I480" s="8" t="s">
        <v>61</v>
      </c>
      <c r="J480" s="8" t="s">
        <v>43</v>
      </c>
      <c r="K480" s="8" t="s">
        <v>162</v>
      </c>
      <c r="L480" s="8" t="s">
        <v>77</v>
      </c>
      <c r="M480" s="8">
        <v>5</v>
      </c>
      <c r="N480" s="10">
        <v>925.98</v>
      </c>
      <c r="O480" s="11">
        <v>0.05</v>
      </c>
      <c r="P480" s="10">
        <v>4398.3999999999996</v>
      </c>
      <c r="Q480" s="10">
        <v>1913.71</v>
      </c>
      <c r="R480" s="10">
        <v>2484.69</v>
      </c>
      <c r="S480" s="8" t="s">
        <v>46</v>
      </c>
      <c r="T480" s="8" t="s">
        <v>111</v>
      </c>
      <c r="U480" s="8">
        <v>5</v>
      </c>
      <c r="V480" s="8" t="s">
        <v>65</v>
      </c>
    </row>
    <row r="481" spans="1:22" x14ac:dyDescent="0.3">
      <c r="A481" s="12" t="s">
        <v>960</v>
      </c>
      <c r="B481" s="13">
        <v>45714</v>
      </c>
      <c r="C481" s="12" t="s">
        <v>86</v>
      </c>
      <c r="D481" s="12" t="s">
        <v>87</v>
      </c>
      <c r="E481" s="12" t="s">
        <v>59</v>
      </c>
      <c r="F481" s="12" t="s">
        <v>261</v>
      </c>
      <c r="G481" s="12" t="s">
        <v>27</v>
      </c>
      <c r="H481" s="12" t="s">
        <v>94</v>
      </c>
      <c r="I481" s="12" t="s">
        <v>29</v>
      </c>
      <c r="J481" s="12" t="s">
        <v>75</v>
      </c>
      <c r="K481" s="12" t="s">
        <v>76</v>
      </c>
      <c r="L481" s="12" t="s">
        <v>91</v>
      </c>
      <c r="M481" s="12">
        <v>4</v>
      </c>
      <c r="N481" s="14">
        <v>805.31</v>
      </c>
      <c r="O481" s="15">
        <v>0.25</v>
      </c>
      <c r="P481" s="14">
        <v>2415.9299999999998</v>
      </c>
      <c r="Q481" s="14">
        <v>1357.24</v>
      </c>
      <c r="R481" s="14">
        <v>1058.69</v>
      </c>
      <c r="S481" s="12" t="s">
        <v>33</v>
      </c>
      <c r="T481" s="12" t="s">
        <v>54</v>
      </c>
      <c r="U481" s="12">
        <v>4</v>
      </c>
      <c r="V481" s="12" t="s">
        <v>105</v>
      </c>
    </row>
    <row r="482" spans="1:22" x14ac:dyDescent="0.3">
      <c r="A482" s="8" t="s">
        <v>961</v>
      </c>
      <c r="B482" s="9">
        <v>45835</v>
      </c>
      <c r="C482" s="8" t="s">
        <v>107</v>
      </c>
      <c r="D482" s="8" t="s">
        <v>108</v>
      </c>
      <c r="E482" s="8" t="s">
        <v>39</v>
      </c>
      <c r="F482" s="8" t="s">
        <v>962</v>
      </c>
      <c r="G482" s="8" t="s">
        <v>27</v>
      </c>
      <c r="H482" s="8" t="s">
        <v>28</v>
      </c>
      <c r="I482" s="8" t="s">
        <v>29</v>
      </c>
      <c r="J482" s="8" t="s">
        <v>89</v>
      </c>
      <c r="K482" s="8" t="s">
        <v>90</v>
      </c>
      <c r="L482" s="8" t="s">
        <v>77</v>
      </c>
      <c r="M482" s="8">
        <v>4</v>
      </c>
      <c r="N482" s="10">
        <v>3574.46</v>
      </c>
      <c r="O482" s="11">
        <v>0.25</v>
      </c>
      <c r="P482" s="10">
        <v>10723.38</v>
      </c>
      <c r="Q482" s="10">
        <v>8233.41</v>
      </c>
      <c r="R482" s="10">
        <v>2489.9699999999998</v>
      </c>
      <c r="S482" s="8" t="s">
        <v>46</v>
      </c>
      <c r="T482" s="8" t="s">
        <v>64</v>
      </c>
      <c r="U482" s="8">
        <v>5</v>
      </c>
      <c r="V482" s="8" t="s">
        <v>157</v>
      </c>
    </row>
    <row r="483" spans="1:22" x14ac:dyDescent="0.3">
      <c r="A483" s="12" t="s">
        <v>963</v>
      </c>
      <c r="B483" s="13">
        <v>45815</v>
      </c>
      <c r="C483" s="12" t="s">
        <v>23</v>
      </c>
      <c r="D483" s="12" t="s">
        <v>24</v>
      </c>
      <c r="E483" s="12" t="s">
        <v>25</v>
      </c>
      <c r="F483" s="12" t="s">
        <v>933</v>
      </c>
      <c r="G483" s="12" t="s">
        <v>27</v>
      </c>
      <c r="H483" s="12" t="s">
        <v>81</v>
      </c>
      <c r="I483" s="12" t="s">
        <v>68</v>
      </c>
      <c r="J483" s="12" t="s">
        <v>30</v>
      </c>
      <c r="K483" s="12" t="s">
        <v>62</v>
      </c>
      <c r="L483" s="12" t="s">
        <v>77</v>
      </c>
      <c r="M483" s="12">
        <v>1</v>
      </c>
      <c r="N483" s="14">
        <v>953.14</v>
      </c>
      <c r="O483" s="15">
        <v>0.1</v>
      </c>
      <c r="P483" s="14">
        <v>857.83</v>
      </c>
      <c r="Q483" s="14">
        <v>450.32</v>
      </c>
      <c r="R483" s="14">
        <v>407.51</v>
      </c>
      <c r="S483" s="12" t="s">
        <v>53</v>
      </c>
      <c r="T483" s="12" t="s">
        <v>156</v>
      </c>
      <c r="U483" s="12">
        <v>4</v>
      </c>
      <c r="V483" s="12" t="s">
        <v>157</v>
      </c>
    </row>
    <row r="484" spans="1:22" x14ac:dyDescent="0.3">
      <c r="A484" s="8" t="s">
        <v>964</v>
      </c>
      <c r="B484" s="9">
        <v>46000</v>
      </c>
      <c r="C484" s="8" t="s">
        <v>131</v>
      </c>
      <c r="D484" s="8" t="s">
        <v>132</v>
      </c>
      <c r="E484" s="8" t="s">
        <v>25</v>
      </c>
      <c r="F484" s="8" t="s">
        <v>965</v>
      </c>
      <c r="G484" s="8" t="s">
        <v>27</v>
      </c>
      <c r="H484" s="8" t="s">
        <v>42</v>
      </c>
      <c r="I484" s="8" t="s">
        <v>68</v>
      </c>
      <c r="J484" s="8" t="s">
        <v>89</v>
      </c>
      <c r="K484" s="8" t="s">
        <v>151</v>
      </c>
      <c r="L484" s="8" t="s">
        <v>175</v>
      </c>
      <c r="M484" s="8">
        <v>1</v>
      </c>
      <c r="N484" s="10">
        <v>1019.81</v>
      </c>
      <c r="O484" s="11">
        <v>0.05</v>
      </c>
      <c r="P484" s="10">
        <v>968.82</v>
      </c>
      <c r="Q484" s="10">
        <v>476.38</v>
      </c>
      <c r="R484" s="10">
        <v>492.44</v>
      </c>
      <c r="S484" s="8" t="s">
        <v>83</v>
      </c>
      <c r="T484" s="8" t="s">
        <v>156</v>
      </c>
      <c r="U484" s="8">
        <v>4</v>
      </c>
      <c r="V484" s="8" t="s">
        <v>35</v>
      </c>
    </row>
    <row r="485" spans="1:22" x14ac:dyDescent="0.3">
      <c r="A485" s="12" t="s">
        <v>966</v>
      </c>
      <c r="B485" s="13">
        <v>45724</v>
      </c>
      <c r="C485" s="12" t="s">
        <v>107</v>
      </c>
      <c r="D485" s="12" t="s">
        <v>108</v>
      </c>
      <c r="E485" s="12" t="s">
        <v>39</v>
      </c>
      <c r="F485" s="12" t="s">
        <v>967</v>
      </c>
      <c r="G485" s="12" t="s">
        <v>27</v>
      </c>
      <c r="H485" s="12" t="s">
        <v>42</v>
      </c>
      <c r="I485" s="12" t="s">
        <v>29</v>
      </c>
      <c r="J485" s="12" t="s">
        <v>75</v>
      </c>
      <c r="K485" s="12" t="s">
        <v>95</v>
      </c>
      <c r="L485" s="12" t="s">
        <v>32</v>
      </c>
      <c r="M485" s="12">
        <v>4</v>
      </c>
      <c r="N485" s="14">
        <v>24450.94</v>
      </c>
      <c r="O485" s="15">
        <v>0.2</v>
      </c>
      <c r="P485" s="14">
        <v>78243.009999999995</v>
      </c>
      <c r="Q485" s="14">
        <v>73784.39</v>
      </c>
      <c r="R485" s="14">
        <v>4458.62</v>
      </c>
      <c r="S485" s="12" t="s">
        <v>83</v>
      </c>
      <c r="T485" s="12" t="s">
        <v>119</v>
      </c>
      <c r="U485" s="12">
        <v>4</v>
      </c>
      <c r="V485" s="12" t="s">
        <v>55</v>
      </c>
    </row>
    <row r="486" spans="1:22" x14ac:dyDescent="0.3">
      <c r="A486" s="8" t="s">
        <v>968</v>
      </c>
      <c r="B486" s="9">
        <v>45988</v>
      </c>
      <c r="C486" s="8" t="s">
        <v>48</v>
      </c>
      <c r="D486" s="8" t="s">
        <v>49</v>
      </c>
      <c r="E486" s="8" t="s">
        <v>39</v>
      </c>
      <c r="F486" s="8" t="s">
        <v>428</v>
      </c>
      <c r="G486" s="8" t="s">
        <v>41</v>
      </c>
      <c r="H486" s="8" t="s">
        <v>42</v>
      </c>
      <c r="I486" s="8" t="s">
        <v>29</v>
      </c>
      <c r="J486" s="8" t="s">
        <v>43</v>
      </c>
      <c r="K486" s="8" t="s">
        <v>51</v>
      </c>
      <c r="L486" s="8" t="s">
        <v>52</v>
      </c>
      <c r="M486" s="8">
        <v>1</v>
      </c>
      <c r="N486" s="10">
        <v>1508.12</v>
      </c>
      <c r="O486" s="11">
        <v>0.05</v>
      </c>
      <c r="P486" s="10">
        <v>1432.71</v>
      </c>
      <c r="Q486" s="10">
        <v>685.07</v>
      </c>
      <c r="R486" s="10">
        <v>747.64</v>
      </c>
      <c r="S486" s="8" t="s">
        <v>53</v>
      </c>
      <c r="T486" s="8" t="s">
        <v>64</v>
      </c>
      <c r="U486" s="8">
        <v>5</v>
      </c>
      <c r="V486" s="8" t="s">
        <v>65</v>
      </c>
    </row>
    <row r="487" spans="1:22" x14ac:dyDescent="0.3">
      <c r="A487" s="12" t="s">
        <v>969</v>
      </c>
      <c r="B487" s="13">
        <v>45667</v>
      </c>
      <c r="C487" s="12" t="s">
        <v>48</v>
      </c>
      <c r="D487" s="12" t="s">
        <v>49</v>
      </c>
      <c r="E487" s="12" t="s">
        <v>39</v>
      </c>
      <c r="F487" s="12" t="s">
        <v>970</v>
      </c>
      <c r="G487" s="12" t="s">
        <v>27</v>
      </c>
      <c r="H487" s="12" t="s">
        <v>81</v>
      </c>
      <c r="I487" s="12" t="s">
        <v>29</v>
      </c>
      <c r="J487" s="12" t="s">
        <v>43</v>
      </c>
      <c r="K487" s="12" t="s">
        <v>51</v>
      </c>
      <c r="L487" s="12" t="s">
        <v>82</v>
      </c>
      <c r="M487" s="12">
        <v>2</v>
      </c>
      <c r="N487" s="14">
        <v>1472.65</v>
      </c>
      <c r="O487" s="15">
        <v>0.15</v>
      </c>
      <c r="P487" s="14">
        <v>2503.5100000000002</v>
      </c>
      <c r="Q487" s="14">
        <v>1363.56</v>
      </c>
      <c r="R487" s="14">
        <v>1139.95</v>
      </c>
      <c r="S487" s="12" t="s">
        <v>53</v>
      </c>
      <c r="T487" s="12" t="s">
        <v>147</v>
      </c>
      <c r="U487" s="12">
        <v>3</v>
      </c>
      <c r="V487" s="12" t="s">
        <v>84</v>
      </c>
    </row>
    <row r="488" spans="1:22" x14ac:dyDescent="0.3">
      <c r="A488" s="8" t="s">
        <v>971</v>
      </c>
      <c r="B488" s="9">
        <v>45917</v>
      </c>
      <c r="C488" s="8" t="s">
        <v>107</v>
      </c>
      <c r="D488" s="8" t="s">
        <v>108</v>
      </c>
      <c r="E488" s="8" t="s">
        <v>39</v>
      </c>
      <c r="F488" s="8" t="s">
        <v>972</v>
      </c>
      <c r="G488" s="8" t="s">
        <v>41</v>
      </c>
      <c r="H488" s="8" t="s">
        <v>28</v>
      </c>
      <c r="I488" s="8" t="s">
        <v>29</v>
      </c>
      <c r="J488" s="8" t="s">
        <v>75</v>
      </c>
      <c r="K488" s="8" t="s">
        <v>95</v>
      </c>
      <c r="L488" s="8" t="s">
        <v>103</v>
      </c>
      <c r="M488" s="8">
        <v>2</v>
      </c>
      <c r="N488" s="10">
        <v>24106.9</v>
      </c>
      <c r="O488" s="11">
        <v>0.1</v>
      </c>
      <c r="P488" s="10">
        <v>43392.42</v>
      </c>
      <c r="Q488" s="10">
        <v>35480.22</v>
      </c>
      <c r="R488" s="10">
        <v>7912.2</v>
      </c>
      <c r="S488" s="8" t="s">
        <v>33</v>
      </c>
      <c r="T488" s="8" t="s">
        <v>111</v>
      </c>
      <c r="U488" s="8">
        <v>3</v>
      </c>
      <c r="V488" s="8" t="s">
        <v>116</v>
      </c>
    </row>
    <row r="489" spans="1:22" x14ac:dyDescent="0.3">
      <c r="A489" s="12" t="s">
        <v>973</v>
      </c>
      <c r="B489" s="13">
        <v>45967</v>
      </c>
      <c r="C489" s="12" t="s">
        <v>98</v>
      </c>
      <c r="D489" s="12" t="s">
        <v>99</v>
      </c>
      <c r="E489" s="12" t="s">
        <v>25</v>
      </c>
      <c r="F489" s="12" t="s">
        <v>456</v>
      </c>
      <c r="G489" s="12" t="s">
        <v>41</v>
      </c>
      <c r="H489" s="12" t="s">
        <v>81</v>
      </c>
      <c r="I489" s="12" t="s">
        <v>61</v>
      </c>
      <c r="J489" s="12" t="s">
        <v>101</v>
      </c>
      <c r="K489" s="12" t="s">
        <v>217</v>
      </c>
      <c r="L489" s="12" t="s">
        <v>175</v>
      </c>
      <c r="M489" s="12">
        <v>1</v>
      </c>
      <c r="N489" s="14">
        <v>3042.64</v>
      </c>
      <c r="O489" s="15">
        <v>0</v>
      </c>
      <c r="P489" s="14">
        <v>3042.64</v>
      </c>
      <c r="Q489" s="14">
        <v>1627.23</v>
      </c>
      <c r="R489" s="14">
        <v>1415.41</v>
      </c>
      <c r="S489" s="12" t="s">
        <v>33</v>
      </c>
      <c r="T489" s="12" t="s">
        <v>119</v>
      </c>
      <c r="U489" s="12">
        <v>5</v>
      </c>
      <c r="V489" s="12" t="s">
        <v>65</v>
      </c>
    </row>
    <row r="490" spans="1:22" x14ac:dyDescent="0.3">
      <c r="A490" s="8" t="s">
        <v>974</v>
      </c>
      <c r="B490" s="9">
        <v>46011</v>
      </c>
      <c r="C490" s="8" t="s">
        <v>86</v>
      </c>
      <c r="D490" s="8" t="s">
        <v>87</v>
      </c>
      <c r="E490" s="8" t="s">
        <v>59</v>
      </c>
      <c r="F490" s="8" t="s">
        <v>975</v>
      </c>
      <c r="G490" s="8" t="s">
        <v>41</v>
      </c>
      <c r="H490" s="8" t="s">
        <v>81</v>
      </c>
      <c r="I490" s="8" t="s">
        <v>61</v>
      </c>
      <c r="J490" s="8" t="s">
        <v>75</v>
      </c>
      <c r="K490" s="8" t="s">
        <v>154</v>
      </c>
      <c r="L490" s="8" t="s">
        <v>175</v>
      </c>
      <c r="M490" s="8">
        <v>2</v>
      </c>
      <c r="N490" s="10">
        <v>2043.5</v>
      </c>
      <c r="O490" s="11">
        <v>0.1</v>
      </c>
      <c r="P490" s="10">
        <v>3678.3</v>
      </c>
      <c r="Q490" s="10">
        <v>2286.6799999999998</v>
      </c>
      <c r="R490" s="10">
        <v>1391.62</v>
      </c>
      <c r="S490" s="8" t="s">
        <v>33</v>
      </c>
      <c r="T490" s="8" t="s">
        <v>104</v>
      </c>
      <c r="U490" s="8">
        <v>4</v>
      </c>
      <c r="V490" s="8" t="s">
        <v>35</v>
      </c>
    </row>
    <row r="491" spans="1:22" x14ac:dyDescent="0.3">
      <c r="A491" s="12" t="s">
        <v>976</v>
      </c>
      <c r="B491" s="13">
        <v>45942</v>
      </c>
      <c r="C491" s="12" t="s">
        <v>113</v>
      </c>
      <c r="D491" s="12" t="s">
        <v>114</v>
      </c>
      <c r="E491" s="12" t="s">
        <v>59</v>
      </c>
      <c r="F491" s="12" t="s">
        <v>374</v>
      </c>
      <c r="G491" s="12" t="s">
        <v>41</v>
      </c>
      <c r="H491" s="12" t="s">
        <v>81</v>
      </c>
      <c r="I491" s="12" t="s">
        <v>68</v>
      </c>
      <c r="J491" s="12" t="s">
        <v>75</v>
      </c>
      <c r="K491" s="12" t="s">
        <v>154</v>
      </c>
      <c r="L491" s="12" t="s">
        <v>52</v>
      </c>
      <c r="M491" s="12">
        <v>2</v>
      </c>
      <c r="N491" s="14">
        <v>1985.38</v>
      </c>
      <c r="O491" s="15">
        <v>0.2</v>
      </c>
      <c r="P491" s="14">
        <v>3176.61</v>
      </c>
      <c r="Q491" s="14">
        <v>2213.56</v>
      </c>
      <c r="R491" s="14">
        <v>963.05</v>
      </c>
      <c r="S491" s="12" t="s">
        <v>46</v>
      </c>
      <c r="T491" s="12" t="s">
        <v>64</v>
      </c>
      <c r="U491" s="12">
        <v>4</v>
      </c>
      <c r="V491" s="12" t="s">
        <v>123</v>
      </c>
    </row>
    <row r="492" spans="1:22" x14ac:dyDescent="0.3">
      <c r="A492" s="8" t="s">
        <v>977</v>
      </c>
      <c r="B492" s="9">
        <v>46000</v>
      </c>
      <c r="C492" s="8" t="s">
        <v>98</v>
      </c>
      <c r="D492" s="8" t="s">
        <v>99</v>
      </c>
      <c r="E492" s="8" t="s">
        <v>25</v>
      </c>
      <c r="F492" s="8" t="s">
        <v>978</v>
      </c>
      <c r="G492" s="8" t="s">
        <v>41</v>
      </c>
      <c r="H492" s="8" t="s">
        <v>94</v>
      </c>
      <c r="I492" s="8" t="s">
        <v>29</v>
      </c>
      <c r="J492" s="8" t="s">
        <v>69</v>
      </c>
      <c r="K492" s="8" t="s">
        <v>70</v>
      </c>
      <c r="L492" s="8" t="s">
        <v>45</v>
      </c>
      <c r="M492" s="8">
        <v>5</v>
      </c>
      <c r="N492" s="10">
        <v>893.76</v>
      </c>
      <c r="O492" s="11">
        <v>0.05</v>
      </c>
      <c r="P492" s="10">
        <v>4245.3599999999997</v>
      </c>
      <c r="Q492" s="10">
        <v>2204.5</v>
      </c>
      <c r="R492" s="10">
        <v>2040.86</v>
      </c>
      <c r="S492" s="8" t="s">
        <v>46</v>
      </c>
      <c r="T492" s="8" t="s">
        <v>156</v>
      </c>
      <c r="U492" s="8">
        <v>5</v>
      </c>
      <c r="V492" s="8" t="s">
        <v>35</v>
      </c>
    </row>
    <row r="493" spans="1:22" x14ac:dyDescent="0.3">
      <c r="A493" s="12" t="s">
        <v>979</v>
      </c>
      <c r="B493" s="13">
        <v>45997</v>
      </c>
      <c r="C493" s="12" t="s">
        <v>23</v>
      </c>
      <c r="D493" s="12" t="s">
        <v>24</v>
      </c>
      <c r="E493" s="12" t="s">
        <v>25</v>
      </c>
      <c r="F493" s="12" t="s">
        <v>980</v>
      </c>
      <c r="G493" s="12" t="s">
        <v>41</v>
      </c>
      <c r="H493" s="12" t="s">
        <v>81</v>
      </c>
      <c r="I493" s="12" t="s">
        <v>61</v>
      </c>
      <c r="J493" s="12" t="s">
        <v>75</v>
      </c>
      <c r="K493" s="12" t="s">
        <v>154</v>
      </c>
      <c r="L493" s="12" t="s">
        <v>91</v>
      </c>
      <c r="M493" s="12">
        <v>5</v>
      </c>
      <c r="N493" s="14">
        <v>1903.32</v>
      </c>
      <c r="O493" s="15">
        <v>0.05</v>
      </c>
      <c r="P493" s="14">
        <v>9040.77</v>
      </c>
      <c r="Q493" s="14">
        <v>5263.46</v>
      </c>
      <c r="R493" s="14">
        <v>3777.31</v>
      </c>
      <c r="S493" s="12" t="s">
        <v>53</v>
      </c>
      <c r="T493" s="12" t="s">
        <v>147</v>
      </c>
      <c r="U493" s="12">
        <v>4</v>
      </c>
      <c r="V493" s="12" t="s">
        <v>35</v>
      </c>
    </row>
    <row r="494" spans="1:22" x14ac:dyDescent="0.3">
      <c r="A494" s="8" t="s">
        <v>981</v>
      </c>
      <c r="B494" s="9">
        <v>45727</v>
      </c>
      <c r="C494" s="8" t="s">
        <v>98</v>
      </c>
      <c r="D494" s="8" t="s">
        <v>99</v>
      </c>
      <c r="E494" s="8" t="s">
        <v>25</v>
      </c>
      <c r="F494" s="8" t="s">
        <v>982</v>
      </c>
      <c r="G494" s="8" t="s">
        <v>41</v>
      </c>
      <c r="H494" s="8" t="s">
        <v>94</v>
      </c>
      <c r="I494" s="8" t="s">
        <v>61</v>
      </c>
      <c r="J494" s="8" t="s">
        <v>101</v>
      </c>
      <c r="K494" s="8" t="s">
        <v>110</v>
      </c>
      <c r="L494" s="8" t="s">
        <v>175</v>
      </c>
      <c r="M494" s="8">
        <v>4</v>
      </c>
      <c r="N494" s="10">
        <v>4978.54</v>
      </c>
      <c r="O494" s="11">
        <v>0.2</v>
      </c>
      <c r="P494" s="10">
        <v>15931.33</v>
      </c>
      <c r="Q494" s="10">
        <v>12496.33</v>
      </c>
      <c r="R494" s="10">
        <v>3435</v>
      </c>
      <c r="S494" s="8" t="s">
        <v>33</v>
      </c>
      <c r="T494" s="8" t="s">
        <v>104</v>
      </c>
      <c r="U494" s="8">
        <v>4</v>
      </c>
      <c r="V494" s="8" t="s">
        <v>55</v>
      </c>
    </row>
    <row r="495" spans="1:22" x14ac:dyDescent="0.3">
      <c r="A495" s="12" t="s">
        <v>983</v>
      </c>
      <c r="B495" s="13">
        <v>45795</v>
      </c>
      <c r="C495" s="12" t="s">
        <v>131</v>
      </c>
      <c r="D495" s="12" t="s">
        <v>132</v>
      </c>
      <c r="E495" s="12" t="s">
        <v>25</v>
      </c>
      <c r="F495" s="12" t="s">
        <v>109</v>
      </c>
      <c r="G495" s="12" t="s">
        <v>41</v>
      </c>
      <c r="H495" s="12" t="s">
        <v>94</v>
      </c>
      <c r="I495" s="12" t="s">
        <v>61</v>
      </c>
      <c r="J495" s="12" t="s">
        <v>43</v>
      </c>
      <c r="K495" s="12" t="s">
        <v>44</v>
      </c>
      <c r="L495" s="12" t="s">
        <v>103</v>
      </c>
      <c r="M495" s="12">
        <v>5</v>
      </c>
      <c r="N495" s="14">
        <v>604.84</v>
      </c>
      <c r="O495" s="15">
        <v>0.3</v>
      </c>
      <c r="P495" s="14">
        <v>2116.94</v>
      </c>
      <c r="Q495" s="14">
        <v>1304.48</v>
      </c>
      <c r="R495" s="14">
        <v>812.46</v>
      </c>
      <c r="S495" s="12" t="s">
        <v>83</v>
      </c>
      <c r="T495" s="12" t="s">
        <v>71</v>
      </c>
      <c r="U495" s="12">
        <v>5</v>
      </c>
      <c r="V495" s="12" t="s">
        <v>134</v>
      </c>
    </row>
    <row r="496" spans="1:22" x14ac:dyDescent="0.3">
      <c r="A496" s="8" t="s">
        <v>984</v>
      </c>
      <c r="B496" s="9">
        <v>45985</v>
      </c>
      <c r="C496" s="8" t="s">
        <v>131</v>
      </c>
      <c r="D496" s="8" t="s">
        <v>132</v>
      </c>
      <c r="E496" s="8" t="s">
        <v>25</v>
      </c>
      <c r="F496" s="8" t="s">
        <v>985</v>
      </c>
      <c r="G496" s="8" t="s">
        <v>41</v>
      </c>
      <c r="H496" s="8" t="s">
        <v>28</v>
      </c>
      <c r="I496" s="8" t="s">
        <v>68</v>
      </c>
      <c r="J496" s="8" t="s">
        <v>30</v>
      </c>
      <c r="K496" s="8" t="s">
        <v>62</v>
      </c>
      <c r="L496" s="8" t="s">
        <v>45</v>
      </c>
      <c r="M496" s="8">
        <v>3</v>
      </c>
      <c r="N496" s="10">
        <v>1042.42</v>
      </c>
      <c r="O496" s="11">
        <v>0</v>
      </c>
      <c r="P496" s="10">
        <v>3127.26</v>
      </c>
      <c r="Q496" s="10">
        <v>1415.94</v>
      </c>
      <c r="R496" s="10">
        <v>1711.32</v>
      </c>
      <c r="S496" s="8" t="s">
        <v>63</v>
      </c>
      <c r="T496" s="8" t="s">
        <v>54</v>
      </c>
      <c r="U496" s="8">
        <v>4</v>
      </c>
      <c r="V496" s="8" t="s">
        <v>65</v>
      </c>
    </row>
    <row r="497" spans="1:22" x14ac:dyDescent="0.3">
      <c r="A497" s="12" t="s">
        <v>986</v>
      </c>
      <c r="B497" s="13">
        <v>45829</v>
      </c>
      <c r="C497" s="12" t="s">
        <v>48</v>
      </c>
      <c r="D497" s="12" t="s">
        <v>49</v>
      </c>
      <c r="E497" s="12" t="s">
        <v>39</v>
      </c>
      <c r="F497" s="12" t="s">
        <v>615</v>
      </c>
      <c r="G497" s="12" t="s">
        <v>41</v>
      </c>
      <c r="H497" s="12" t="s">
        <v>94</v>
      </c>
      <c r="I497" s="12" t="s">
        <v>68</v>
      </c>
      <c r="J497" s="12" t="s">
        <v>43</v>
      </c>
      <c r="K497" s="12" t="s">
        <v>51</v>
      </c>
      <c r="L497" s="12" t="s">
        <v>32</v>
      </c>
      <c r="M497" s="12">
        <v>2</v>
      </c>
      <c r="N497" s="14">
        <v>1569.07</v>
      </c>
      <c r="O497" s="15">
        <v>0.15</v>
      </c>
      <c r="P497" s="14">
        <v>2667.42</v>
      </c>
      <c r="Q497" s="14">
        <v>1392.65</v>
      </c>
      <c r="R497" s="14">
        <v>1274.77</v>
      </c>
      <c r="S497" s="12" t="s">
        <v>53</v>
      </c>
      <c r="T497" s="12" t="s">
        <v>64</v>
      </c>
      <c r="U497" s="12">
        <v>5</v>
      </c>
      <c r="V497" s="12" t="s">
        <v>157</v>
      </c>
    </row>
    <row r="498" spans="1:22" x14ac:dyDescent="0.3">
      <c r="A498" s="8" t="s">
        <v>987</v>
      </c>
      <c r="B498" s="9">
        <v>45763</v>
      </c>
      <c r="C498" s="8" t="s">
        <v>131</v>
      </c>
      <c r="D498" s="8" t="s">
        <v>132</v>
      </c>
      <c r="E498" s="8" t="s">
        <v>25</v>
      </c>
      <c r="F498" s="8" t="s">
        <v>988</v>
      </c>
      <c r="G498" s="8" t="s">
        <v>41</v>
      </c>
      <c r="H498" s="8" t="s">
        <v>94</v>
      </c>
      <c r="I498" s="8" t="s">
        <v>29</v>
      </c>
      <c r="J498" s="8" t="s">
        <v>75</v>
      </c>
      <c r="K498" s="8" t="s">
        <v>95</v>
      </c>
      <c r="L498" s="8" t="s">
        <v>52</v>
      </c>
      <c r="M498" s="8">
        <v>1</v>
      </c>
      <c r="N498" s="10">
        <v>25900.33</v>
      </c>
      <c r="O498" s="11">
        <v>0</v>
      </c>
      <c r="P498" s="10">
        <v>25900.33</v>
      </c>
      <c r="Q498" s="10">
        <v>18361.79</v>
      </c>
      <c r="R498" s="10">
        <v>7538.54</v>
      </c>
      <c r="S498" s="8" t="s">
        <v>83</v>
      </c>
      <c r="T498" s="8" t="s">
        <v>104</v>
      </c>
      <c r="U498" s="8">
        <v>3</v>
      </c>
      <c r="V498" s="8" t="s">
        <v>96</v>
      </c>
    </row>
    <row r="499" spans="1:22" x14ac:dyDescent="0.3">
      <c r="A499" s="12" t="s">
        <v>989</v>
      </c>
      <c r="B499" s="13">
        <v>45876</v>
      </c>
      <c r="C499" s="12" t="s">
        <v>107</v>
      </c>
      <c r="D499" s="12" t="s">
        <v>108</v>
      </c>
      <c r="E499" s="12" t="s">
        <v>39</v>
      </c>
      <c r="F499" s="12" t="s">
        <v>990</v>
      </c>
      <c r="G499" s="12" t="s">
        <v>41</v>
      </c>
      <c r="H499" s="12" t="s">
        <v>28</v>
      </c>
      <c r="I499" s="12" t="s">
        <v>29</v>
      </c>
      <c r="J499" s="12" t="s">
        <v>69</v>
      </c>
      <c r="K499" s="12" t="s">
        <v>180</v>
      </c>
      <c r="L499" s="12" t="s">
        <v>32</v>
      </c>
      <c r="M499" s="12">
        <v>3</v>
      </c>
      <c r="N499" s="14">
        <v>1436.04</v>
      </c>
      <c r="O499" s="15">
        <v>0.25</v>
      </c>
      <c r="P499" s="14">
        <v>3231.09</v>
      </c>
      <c r="Q499" s="14">
        <v>2578.4499999999998</v>
      </c>
      <c r="R499" s="14">
        <v>652.64</v>
      </c>
      <c r="S499" s="12" t="s">
        <v>53</v>
      </c>
      <c r="T499" s="12" t="s">
        <v>147</v>
      </c>
      <c r="U499" s="12">
        <v>5</v>
      </c>
      <c r="V499" s="12" t="s">
        <v>72</v>
      </c>
    </row>
    <row r="500" spans="1:22" x14ac:dyDescent="0.3">
      <c r="A500" s="8" t="s">
        <v>991</v>
      </c>
      <c r="B500" s="9">
        <v>45898</v>
      </c>
      <c r="C500" s="8" t="s">
        <v>131</v>
      </c>
      <c r="D500" s="8" t="s">
        <v>132</v>
      </c>
      <c r="E500" s="8" t="s">
        <v>25</v>
      </c>
      <c r="F500" s="8" t="s">
        <v>992</v>
      </c>
      <c r="G500" s="8" t="s">
        <v>27</v>
      </c>
      <c r="H500" s="8" t="s">
        <v>94</v>
      </c>
      <c r="I500" s="8" t="s">
        <v>29</v>
      </c>
      <c r="J500" s="8" t="s">
        <v>69</v>
      </c>
      <c r="K500" s="8" t="s">
        <v>180</v>
      </c>
      <c r="L500" s="8" t="s">
        <v>91</v>
      </c>
      <c r="M500" s="8">
        <v>1</v>
      </c>
      <c r="N500" s="10">
        <v>1484.53</v>
      </c>
      <c r="O500" s="11">
        <v>0</v>
      </c>
      <c r="P500" s="10">
        <v>1484.53</v>
      </c>
      <c r="Q500" s="10">
        <v>862.89</v>
      </c>
      <c r="R500" s="10">
        <v>621.64</v>
      </c>
      <c r="S500" s="8" t="s">
        <v>46</v>
      </c>
      <c r="T500" s="8" t="s">
        <v>104</v>
      </c>
      <c r="U500" s="8">
        <v>3</v>
      </c>
      <c r="V500" s="8" t="s">
        <v>72</v>
      </c>
    </row>
    <row r="501" spans="1:22" x14ac:dyDescent="0.3">
      <c r="A501" s="12" t="s">
        <v>993</v>
      </c>
      <c r="B501" s="13">
        <v>45810</v>
      </c>
      <c r="C501" s="12" t="s">
        <v>113</v>
      </c>
      <c r="D501" s="12" t="s">
        <v>114</v>
      </c>
      <c r="E501" s="12" t="s">
        <v>59</v>
      </c>
      <c r="F501" s="12" t="s">
        <v>326</v>
      </c>
      <c r="G501" s="12" t="s">
        <v>27</v>
      </c>
      <c r="H501" s="12" t="s">
        <v>81</v>
      </c>
      <c r="I501" s="12" t="s">
        <v>68</v>
      </c>
      <c r="J501" s="12" t="s">
        <v>75</v>
      </c>
      <c r="K501" s="12" t="s">
        <v>95</v>
      </c>
      <c r="L501" s="12" t="s">
        <v>82</v>
      </c>
      <c r="M501" s="12">
        <v>5</v>
      </c>
      <c r="N501" s="14">
        <v>25085.759999999998</v>
      </c>
      <c r="O501" s="15">
        <v>0</v>
      </c>
      <c r="P501" s="14">
        <v>125428.8</v>
      </c>
      <c r="Q501" s="14">
        <v>91396.26</v>
      </c>
      <c r="R501" s="14">
        <v>34032.54</v>
      </c>
      <c r="S501" s="12" t="s">
        <v>53</v>
      </c>
      <c r="T501" s="12" t="s">
        <v>64</v>
      </c>
      <c r="U501" s="12">
        <v>4</v>
      </c>
      <c r="V501" s="12" t="s">
        <v>157</v>
      </c>
    </row>
    <row r="502" spans="1:22" x14ac:dyDescent="0.3">
      <c r="A502" s="8" t="s">
        <v>994</v>
      </c>
      <c r="B502" s="9">
        <v>45734</v>
      </c>
      <c r="C502" s="8" t="s">
        <v>125</v>
      </c>
      <c r="D502" s="8" t="s">
        <v>126</v>
      </c>
      <c r="E502" s="8" t="s">
        <v>25</v>
      </c>
      <c r="F502" s="8" t="s">
        <v>473</v>
      </c>
      <c r="G502" s="8" t="s">
        <v>41</v>
      </c>
      <c r="H502" s="8" t="s">
        <v>42</v>
      </c>
      <c r="I502" s="8" t="s">
        <v>61</v>
      </c>
      <c r="J502" s="8" t="s">
        <v>30</v>
      </c>
      <c r="K502" s="8" t="s">
        <v>62</v>
      </c>
      <c r="L502" s="8" t="s">
        <v>91</v>
      </c>
      <c r="M502" s="8">
        <v>4</v>
      </c>
      <c r="N502" s="10">
        <v>1000.4</v>
      </c>
      <c r="O502" s="11">
        <v>0.25</v>
      </c>
      <c r="P502" s="10">
        <v>3001.2</v>
      </c>
      <c r="Q502" s="10">
        <v>1884.44</v>
      </c>
      <c r="R502" s="10">
        <v>1116.76</v>
      </c>
      <c r="S502" s="8" t="s">
        <v>63</v>
      </c>
      <c r="T502" s="8" t="s">
        <v>78</v>
      </c>
      <c r="U502" s="8">
        <v>4</v>
      </c>
      <c r="V502" s="8" t="s">
        <v>55</v>
      </c>
    </row>
    <row r="503" spans="1:22" x14ac:dyDescent="0.3">
      <c r="A503" s="12" t="s">
        <v>995</v>
      </c>
      <c r="B503" s="13">
        <v>45714</v>
      </c>
      <c r="C503" s="12" t="s">
        <v>131</v>
      </c>
      <c r="D503" s="12" t="s">
        <v>132</v>
      </c>
      <c r="E503" s="12" t="s">
        <v>25</v>
      </c>
      <c r="F503" s="12" t="s">
        <v>996</v>
      </c>
      <c r="G503" s="12" t="s">
        <v>41</v>
      </c>
      <c r="H503" s="12" t="s">
        <v>42</v>
      </c>
      <c r="I503" s="12" t="s">
        <v>68</v>
      </c>
      <c r="J503" s="12" t="s">
        <v>101</v>
      </c>
      <c r="K503" s="12" t="s">
        <v>102</v>
      </c>
      <c r="L503" s="12" t="s">
        <v>91</v>
      </c>
      <c r="M503" s="12">
        <v>4</v>
      </c>
      <c r="N503" s="14">
        <v>699.78</v>
      </c>
      <c r="O503" s="15">
        <v>0.3</v>
      </c>
      <c r="P503" s="14">
        <v>1959.38</v>
      </c>
      <c r="Q503" s="14">
        <v>1020.79</v>
      </c>
      <c r="R503" s="14">
        <v>938.59</v>
      </c>
      <c r="S503" s="12" t="s">
        <v>83</v>
      </c>
      <c r="T503" s="12" t="s">
        <v>78</v>
      </c>
      <c r="U503" s="12">
        <v>4</v>
      </c>
      <c r="V503" s="12" t="s">
        <v>105</v>
      </c>
    </row>
    <row r="504" spans="1:22" x14ac:dyDescent="0.3">
      <c r="A504" s="8" t="s">
        <v>997</v>
      </c>
      <c r="B504" s="9">
        <v>45770</v>
      </c>
      <c r="C504" s="8" t="s">
        <v>57</v>
      </c>
      <c r="D504" s="8" t="s">
        <v>58</v>
      </c>
      <c r="E504" s="8" t="s">
        <v>59</v>
      </c>
      <c r="F504" s="8" t="s">
        <v>998</v>
      </c>
      <c r="G504" s="8" t="s">
        <v>27</v>
      </c>
      <c r="H504" s="8" t="s">
        <v>28</v>
      </c>
      <c r="I504" s="8" t="s">
        <v>68</v>
      </c>
      <c r="J504" s="8" t="s">
        <v>30</v>
      </c>
      <c r="K504" s="8" t="s">
        <v>144</v>
      </c>
      <c r="L504" s="8" t="s">
        <v>175</v>
      </c>
      <c r="M504" s="8">
        <v>5</v>
      </c>
      <c r="N504" s="10">
        <v>2398.34</v>
      </c>
      <c r="O504" s="11">
        <v>0.1</v>
      </c>
      <c r="P504" s="10">
        <v>10792.53</v>
      </c>
      <c r="Q504" s="10">
        <v>7339.9</v>
      </c>
      <c r="R504" s="10">
        <v>3452.63</v>
      </c>
      <c r="S504" s="8" t="s">
        <v>83</v>
      </c>
      <c r="T504" s="8" t="s">
        <v>104</v>
      </c>
      <c r="U504" s="8">
        <v>3</v>
      </c>
      <c r="V504" s="8" t="s">
        <v>96</v>
      </c>
    </row>
    <row r="505" spans="1:22" x14ac:dyDescent="0.3">
      <c r="A505" s="12" t="s">
        <v>999</v>
      </c>
      <c r="B505" s="13">
        <v>45764</v>
      </c>
      <c r="C505" s="12" t="s">
        <v>131</v>
      </c>
      <c r="D505" s="12" t="s">
        <v>132</v>
      </c>
      <c r="E505" s="12" t="s">
        <v>25</v>
      </c>
      <c r="F505" s="12" t="s">
        <v>598</v>
      </c>
      <c r="G505" s="12" t="s">
        <v>41</v>
      </c>
      <c r="H505" s="12" t="s">
        <v>81</v>
      </c>
      <c r="I505" s="12" t="s">
        <v>68</v>
      </c>
      <c r="J505" s="12" t="s">
        <v>89</v>
      </c>
      <c r="K505" s="12" t="s">
        <v>90</v>
      </c>
      <c r="L505" s="12" t="s">
        <v>82</v>
      </c>
      <c r="M505" s="12">
        <v>4</v>
      </c>
      <c r="N505" s="14">
        <v>3625.99</v>
      </c>
      <c r="O505" s="15">
        <v>0.05</v>
      </c>
      <c r="P505" s="14">
        <v>13778.76</v>
      </c>
      <c r="Q505" s="14">
        <v>8814.65</v>
      </c>
      <c r="R505" s="14">
        <v>4964.1099999999997</v>
      </c>
      <c r="S505" s="12" t="s">
        <v>63</v>
      </c>
      <c r="T505" s="12" t="s">
        <v>54</v>
      </c>
      <c r="U505" s="12">
        <v>4</v>
      </c>
      <c r="V505" s="12" t="s">
        <v>96</v>
      </c>
    </row>
    <row r="506" spans="1:22" x14ac:dyDescent="0.3">
      <c r="A506" s="8" t="s">
        <v>1000</v>
      </c>
      <c r="B506" s="9">
        <v>45970</v>
      </c>
      <c r="C506" s="8" t="s">
        <v>125</v>
      </c>
      <c r="D506" s="8" t="s">
        <v>126</v>
      </c>
      <c r="E506" s="8" t="s">
        <v>25</v>
      </c>
      <c r="F506" s="8" t="s">
        <v>1001</v>
      </c>
      <c r="G506" s="8" t="s">
        <v>41</v>
      </c>
      <c r="H506" s="8" t="s">
        <v>28</v>
      </c>
      <c r="I506" s="8" t="s">
        <v>61</v>
      </c>
      <c r="J506" s="8" t="s">
        <v>75</v>
      </c>
      <c r="K506" s="8" t="s">
        <v>76</v>
      </c>
      <c r="L506" s="8" t="s">
        <v>91</v>
      </c>
      <c r="M506" s="8">
        <v>5</v>
      </c>
      <c r="N506" s="10">
        <v>778.57</v>
      </c>
      <c r="O506" s="11">
        <v>0.2</v>
      </c>
      <c r="P506" s="10">
        <v>3114.28</v>
      </c>
      <c r="Q506" s="10">
        <v>1747.38</v>
      </c>
      <c r="R506" s="10">
        <v>1366.9</v>
      </c>
      <c r="S506" s="8" t="s">
        <v>33</v>
      </c>
      <c r="T506" s="8" t="s">
        <v>71</v>
      </c>
      <c r="U506" s="8">
        <v>4</v>
      </c>
      <c r="V506" s="8" t="s">
        <v>65</v>
      </c>
    </row>
    <row r="507" spans="1:22" x14ac:dyDescent="0.3">
      <c r="A507" s="12" t="s">
        <v>1002</v>
      </c>
      <c r="B507" s="13">
        <v>46003</v>
      </c>
      <c r="C507" s="12" t="s">
        <v>131</v>
      </c>
      <c r="D507" s="12" t="s">
        <v>132</v>
      </c>
      <c r="E507" s="12" t="s">
        <v>25</v>
      </c>
      <c r="F507" s="12" t="s">
        <v>1003</v>
      </c>
      <c r="G507" s="12" t="s">
        <v>41</v>
      </c>
      <c r="H507" s="12" t="s">
        <v>28</v>
      </c>
      <c r="I507" s="12" t="s">
        <v>61</v>
      </c>
      <c r="J507" s="12" t="s">
        <v>101</v>
      </c>
      <c r="K507" s="12" t="s">
        <v>217</v>
      </c>
      <c r="L507" s="12" t="s">
        <v>32</v>
      </c>
      <c r="M507" s="12">
        <v>3</v>
      </c>
      <c r="N507" s="14">
        <v>3120.76</v>
      </c>
      <c r="O507" s="15">
        <v>0.15</v>
      </c>
      <c r="P507" s="14">
        <v>7957.94</v>
      </c>
      <c r="Q507" s="14">
        <v>5070.4399999999996</v>
      </c>
      <c r="R507" s="14">
        <v>2887.5</v>
      </c>
      <c r="S507" s="12" t="s">
        <v>63</v>
      </c>
      <c r="T507" s="12" t="s">
        <v>78</v>
      </c>
      <c r="U507" s="12">
        <v>4</v>
      </c>
      <c r="V507" s="12" t="s">
        <v>35</v>
      </c>
    </row>
    <row r="508" spans="1:22" x14ac:dyDescent="0.3">
      <c r="A508" s="8" t="s">
        <v>1004</v>
      </c>
      <c r="B508" s="9">
        <v>45702</v>
      </c>
      <c r="C508" s="8" t="s">
        <v>98</v>
      </c>
      <c r="D508" s="8" t="s">
        <v>99</v>
      </c>
      <c r="E508" s="8" t="s">
        <v>25</v>
      </c>
      <c r="F508" s="8" t="s">
        <v>159</v>
      </c>
      <c r="G508" s="8" t="s">
        <v>27</v>
      </c>
      <c r="H508" s="8" t="s">
        <v>42</v>
      </c>
      <c r="I508" s="8" t="s">
        <v>68</v>
      </c>
      <c r="J508" s="8" t="s">
        <v>101</v>
      </c>
      <c r="K508" s="8" t="s">
        <v>102</v>
      </c>
      <c r="L508" s="8" t="s">
        <v>45</v>
      </c>
      <c r="M508" s="8">
        <v>3</v>
      </c>
      <c r="N508" s="10">
        <v>680.39</v>
      </c>
      <c r="O508" s="11">
        <v>0.1</v>
      </c>
      <c r="P508" s="10">
        <v>1837.05</v>
      </c>
      <c r="Q508" s="10">
        <v>714.57</v>
      </c>
      <c r="R508" s="10">
        <v>1122.48</v>
      </c>
      <c r="S508" s="8" t="s">
        <v>33</v>
      </c>
      <c r="T508" s="8" t="s">
        <v>147</v>
      </c>
      <c r="U508" s="8">
        <v>4</v>
      </c>
      <c r="V508" s="8" t="s">
        <v>105</v>
      </c>
    </row>
    <row r="509" spans="1:22" x14ac:dyDescent="0.3">
      <c r="A509" s="12" t="s">
        <v>1005</v>
      </c>
      <c r="B509" s="13">
        <v>45776</v>
      </c>
      <c r="C509" s="12" t="s">
        <v>86</v>
      </c>
      <c r="D509" s="12" t="s">
        <v>87</v>
      </c>
      <c r="E509" s="12" t="s">
        <v>59</v>
      </c>
      <c r="F509" s="12" t="s">
        <v>560</v>
      </c>
      <c r="G509" s="12" t="s">
        <v>41</v>
      </c>
      <c r="H509" s="12" t="s">
        <v>94</v>
      </c>
      <c r="I509" s="12" t="s">
        <v>61</v>
      </c>
      <c r="J509" s="12" t="s">
        <v>89</v>
      </c>
      <c r="K509" s="12" t="s">
        <v>89</v>
      </c>
      <c r="L509" s="12" t="s">
        <v>52</v>
      </c>
      <c r="M509" s="12">
        <v>2</v>
      </c>
      <c r="N509" s="14">
        <v>1350.61</v>
      </c>
      <c r="O509" s="15">
        <v>0.05</v>
      </c>
      <c r="P509" s="14">
        <v>2566.16</v>
      </c>
      <c r="Q509" s="14">
        <v>1455.59</v>
      </c>
      <c r="R509" s="14">
        <v>1110.57</v>
      </c>
      <c r="S509" s="12" t="s">
        <v>33</v>
      </c>
      <c r="T509" s="12" t="s">
        <v>78</v>
      </c>
      <c r="U509" s="12">
        <v>5</v>
      </c>
      <c r="V509" s="12" t="s">
        <v>96</v>
      </c>
    </row>
    <row r="510" spans="1:22" x14ac:dyDescent="0.3">
      <c r="A510" s="8" t="s">
        <v>1006</v>
      </c>
      <c r="B510" s="9">
        <v>45794</v>
      </c>
      <c r="C510" s="8" t="s">
        <v>131</v>
      </c>
      <c r="D510" s="8" t="s">
        <v>132</v>
      </c>
      <c r="E510" s="8" t="s">
        <v>25</v>
      </c>
      <c r="F510" s="8" t="s">
        <v>853</v>
      </c>
      <c r="G510" s="8" t="s">
        <v>27</v>
      </c>
      <c r="H510" s="8" t="s">
        <v>42</v>
      </c>
      <c r="I510" s="8" t="s">
        <v>61</v>
      </c>
      <c r="J510" s="8" t="s">
        <v>30</v>
      </c>
      <c r="K510" s="8" t="s">
        <v>31</v>
      </c>
      <c r="L510" s="8" t="s">
        <v>52</v>
      </c>
      <c r="M510" s="8">
        <v>4</v>
      </c>
      <c r="N510" s="10">
        <v>3835.34</v>
      </c>
      <c r="O510" s="11">
        <v>0.25</v>
      </c>
      <c r="P510" s="10">
        <v>11506.02</v>
      </c>
      <c r="Q510" s="10">
        <v>8861.44</v>
      </c>
      <c r="R510" s="10">
        <v>2644.58</v>
      </c>
      <c r="S510" s="8" t="s">
        <v>46</v>
      </c>
      <c r="T510" s="8" t="s">
        <v>111</v>
      </c>
      <c r="U510" s="8">
        <v>5</v>
      </c>
      <c r="V510" s="8" t="s">
        <v>134</v>
      </c>
    </row>
    <row r="511" spans="1:22" x14ac:dyDescent="0.3">
      <c r="A511" s="12" t="s">
        <v>1007</v>
      </c>
      <c r="B511" s="13">
        <v>45849</v>
      </c>
      <c r="C511" s="12" t="s">
        <v>48</v>
      </c>
      <c r="D511" s="12" t="s">
        <v>49</v>
      </c>
      <c r="E511" s="12" t="s">
        <v>39</v>
      </c>
      <c r="F511" s="12" t="s">
        <v>521</v>
      </c>
      <c r="G511" s="12" t="s">
        <v>27</v>
      </c>
      <c r="H511" s="12" t="s">
        <v>42</v>
      </c>
      <c r="I511" s="12" t="s">
        <v>68</v>
      </c>
      <c r="J511" s="12" t="s">
        <v>43</v>
      </c>
      <c r="K511" s="12" t="s">
        <v>51</v>
      </c>
      <c r="L511" s="12" t="s">
        <v>52</v>
      </c>
      <c r="M511" s="12">
        <v>5</v>
      </c>
      <c r="N511" s="14">
        <v>1540.58</v>
      </c>
      <c r="O511" s="15">
        <v>0.3</v>
      </c>
      <c r="P511" s="14">
        <v>5392.03</v>
      </c>
      <c r="Q511" s="14">
        <v>3341.67</v>
      </c>
      <c r="R511" s="14">
        <v>2050.36</v>
      </c>
      <c r="S511" s="12" t="s">
        <v>83</v>
      </c>
      <c r="T511" s="12" t="s">
        <v>78</v>
      </c>
      <c r="U511" s="12">
        <v>5</v>
      </c>
      <c r="V511" s="12" t="s">
        <v>120</v>
      </c>
    </row>
    <row r="512" spans="1:22" x14ac:dyDescent="0.3">
      <c r="A512" s="8" t="s">
        <v>1008</v>
      </c>
      <c r="B512" s="9">
        <v>45927</v>
      </c>
      <c r="C512" s="8" t="s">
        <v>23</v>
      </c>
      <c r="D512" s="8" t="s">
        <v>24</v>
      </c>
      <c r="E512" s="8" t="s">
        <v>25</v>
      </c>
      <c r="F512" s="8" t="s">
        <v>875</v>
      </c>
      <c r="G512" s="8" t="s">
        <v>41</v>
      </c>
      <c r="H512" s="8" t="s">
        <v>81</v>
      </c>
      <c r="I512" s="8" t="s">
        <v>29</v>
      </c>
      <c r="J512" s="8" t="s">
        <v>69</v>
      </c>
      <c r="K512" s="8" t="s">
        <v>180</v>
      </c>
      <c r="L512" s="8" t="s">
        <v>77</v>
      </c>
      <c r="M512" s="8">
        <v>5</v>
      </c>
      <c r="N512" s="10">
        <v>1550.84</v>
      </c>
      <c r="O512" s="11">
        <v>0.1</v>
      </c>
      <c r="P512" s="10">
        <v>6978.78</v>
      </c>
      <c r="Q512" s="10">
        <v>4061.37</v>
      </c>
      <c r="R512" s="10">
        <v>2917.41</v>
      </c>
      <c r="S512" s="8" t="s">
        <v>83</v>
      </c>
      <c r="T512" s="8" t="s">
        <v>156</v>
      </c>
      <c r="U512" s="8">
        <v>5</v>
      </c>
      <c r="V512" s="8" t="s">
        <v>116</v>
      </c>
    </row>
    <row r="513" spans="1:22" x14ac:dyDescent="0.3">
      <c r="A513" s="12" t="s">
        <v>1009</v>
      </c>
      <c r="B513" s="13">
        <v>45913</v>
      </c>
      <c r="C513" s="12" t="s">
        <v>23</v>
      </c>
      <c r="D513" s="12" t="s">
        <v>24</v>
      </c>
      <c r="E513" s="12" t="s">
        <v>25</v>
      </c>
      <c r="F513" s="12" t="s">
        <v>1010</v>
      </c>
      <c r="G513" s="12" t="s">
        <v>27</v>
      </c>
      <c r="H513" s="12" t="s">
        <v>81</v>
      </c>
      <c r="I513" s="12" t="s">
        <v>68</v>
      </c>
      <c r="J513" s="12" t="s">
        <v>75</v>
      </c>
      <c r="K513" s="12" t="s">
        <v>95</v>
      </c>
      <c r="L513" s="12" t="s">
        <v>103</v>
      </c>
      <c r="M513" s="12">
        <v>3</v>
      </c>
      <c r="N513" s="14">
        <v>25621.39</v>
      </c>
      <c r="O513" s="15">
        <v>0.1</v>
      </c>
      <c r="P513" s="14">
        <v>69177.75</v>
      </c>
      <c r="Q513" s="14">
        <v>51610.96</v>
      </c>
      <c r="R513" s="14">
        <v>17566.79</v>
      </c>
      <c r="S513" s="12" t="s">
        <v>33</v>
      </c>
      <c r="T513" s="12" t="s">
        <v>156</v>
      </c>
      <c r="U513" s="12">
        <v>4</v>
      </c>
      <c r="V513" s="12" t="s">
        <v>116</v>
      </c>
    </row>
    <row r="514" spans="1:22" x14ac:dyDescent="0.3">
      <c r="A514" s="8" t="s">
        <v>1011</v>
      </c>
      <c r="B514" s="9">
        <v>46011</v>
      </c>
      <c r="C514" s="8" t="s">
        <v>86</v>
      </c>
      <c r="D514" s="8" t="s">
        <v>87</v>
      </c>
      <c r="E514" s="8" t="s">
        <v>59</v>
      </c>
      <c r="F514" s="8" t="s">
        <v>688</v>
      </c>
      <c r="G514" s="8" t="s">
        <v>41</v>
      </c>
      <c r="H514" s="8" t="s">
        <v>81</v>
      </c>
      <c r="I514" s="8" t="s">
        <v>29</v>
      </c>
      <c r="J514" s="8" t="s">
        <v>43</v>
      </c>
      <c r="K514" s="8" t="s">
        <v>51</v>
      </c>
      <c r="L514" s="8" t="s">
        <v>175</v>
      </c>
      <c r="M514" s="8">
        <v>4</v>
      </c>
      <c r="N514" s="10">
        <v>1488.06</v>
      </c>
      <c r="O514" s="11">
        <v>0.15</v>
      </c>
      <c r="P514" s="10">
        <v>5059.3999999999996</v>
      </c>
      <c r="Q514" s="10">
        <v>2665.22</v>
      </c>
      <c r="R514" s="10">
        <v>2394.1799999999998</v>
      </c>
      <c r="S514" s="8" t="s">
        <v>53</v>
      </c>
      <c r="T514" s="8" t="s">
        <v>54</v>
      </c>
      <c r="U514" s="8">
        <v>4</v>
      </c>
      <c r="V514" s="8" t="s">
        <v>35</v>
      </c>
    </row>
    <row r="515" spans="1:22" x14ac:dyDescent="0.3">
      <c r="A515" s="12" t="s">
        <v>1012</v>
      </c>
      <c r="B515" s="13">
        <v>45787</v>
      </c>
      <c r="C515" s="12" t="s">
        <v>131</v>
      </c>
      <c r="D515" s="12" t="s">
        <v>132</v>
      </c>
      <c r="E515" s="12" t="s">
        <v>25</v>
      </c>
      <c r="F515" s="12" t="s">
        <v>1013</v>
      </c>
      <c r="G515" s="12" t="s">
        <v>27</v>
      </c>
      <c r="H515" s="12" t="s">
        <v>42</v>
      </c>
      <c r="I515" s="12" t="s">
        <v>29</v>
      </c>
      <c r="J515" s="12" t="s">
        <v>30</v>
      </c>
      <c r="K515" s="12" t="s">
        <v>62</v>
      </c>
      <c r="L515" s="12" t="s">
        <v>77</v>
      </c>
      <c r="M515" s="12">
        <v>5</v>
      </c>
      <c r="N515" s="14">
        <v>1016.94</v>
      </c>
      <c r="O515" s="15">
        <v>0</v>
      </c>
      <c r="P515" s="14">
        <v>5084.7</v>
      </c>
      <c r="Q515" s="14">
        <v>2256.23</v>
      </c>
      <c r="R515" s="14">
        <v>2828.47</v>
      </c>
      <c r="S515" s="12" t="s">
        <v>63</v>
      </c>
      <c r="T515" s="12" t="s">
        <v>104</v>
      </c>
      <c r="U515" s="12">
        <v>4</v>
      </c>
      <c r="V515" s="12" t="s">
        <v>134</v>
      </c>
    </row>
    <row r="516" spans="1:22" x14ac:dyDescent="0.3">
      <c r="A516" s="8" t="s">
        <v>1014</v>
      </c>
      <c r="B516" s="9">
        <v>45749</v>
      </c>
      <c r="C516" s="8" t="s">
        <v>131</v>
      </c>
      <c r="D516" s="8" t="s">
        <v>132</v>
      </c>
      <c r="E516" s="8" t="s">
        <v>25</v>
      </c>
      <c r="F516" s="8" t="s">
        <v>1015</v>
      </c>
      <c r="G516" s="8" t="s">
        <v>41</v>
      </c>
      <c r="H516" s="8" t="s">
        <v>28</v>
      </c>
      <c r="I516" s="8" t="s">
        <v>68</v>
      </c>
      <c r="J516" s="8" t="s">
        <v>69</v>
      </c>
      <c r="K516" s="8" t="s">
        <v>137</v>
      </c>
      <c r="L516" s="8" t="s">
        <v>45</v>
      </c>
      <c r="M516" s="8">
        <v>1</v>
      </c>
      <c r="N516" s="10">
        <v>475.74</v>
      </c>
      <c r="O516" s="11">
        <v>0.2</v>
      </c>
      <c r="P516" s="10">
        <v>380.59</v>
      </c>
      <c r="Q516" s="10">
        <v>209.27</v>
      </c>
      <c r="R516" s="10">
        <v>171.32</v>
      </c>
      <c r="S516" s="8" t="s">
        <v>46</v>
      </c>
      <c r="T516" s="8" t="s">
        <v>54</v>
      </c>
      <c r="U516" s="8">
        <v>4</v>
      </c>
      <c r="V516" s="8" t="s">
        <v>96</v>
      </c>
    </row>
    <row r="517" spans="1:22" x14ac:dyDescent="0.3">
      <c r="A517" s="12" t="s">
        <v>1016</v>
      </c>
      <c r="B517" s="13">
        <v>45665</v>
      </c>
      <c r="C517" s="12" t="s">
        <v>57</v>
      </c>
      <c r="D517" s="12" t="s">
        <v>58</v>
      </c>
      <c r="E517" s="12" t="s">
        <v>59</v>
      </c>
      <c r="F517" s="12" t="s">
        <v>1017</v>
      </c>
      <c r="G517" s="12" t="s">
        <v>27</v>
      </c>
      <c r="H517" s="12" t="s">
        <v>81</v>
      </c>
      <c r="I517" s="12" t="s">
        <v>68</v>
      </c>
      <c r="J517" s="12" t="s">
        <v>69</v>
      </c>
      <c r="K517" s="12" t="s">
        <v>70</v>
      </c>
      <c r="L517" s="12" t="s">
        <v>175</v>
      </c>
      <c r="M517" s="12">
        <v>3</v>
      </c>
      <c r="N517" s="14">
        <v>873.81</v>
      </c>
      <c r="O517" s="15">
        <v>0.1</v>
      </c>
      <c r="P517" s="14">
        <v>2359.29</v>
      </c>
      <c r="Q517" s="14">
        <v>1410.52</v>
      </c>
      <c r="R517" s="14">
        <v>948.77</v>
      </c>
      <c r="S517" s="12" t="s">
        <v>53</v>
      </c>
      <c r="T517" s="12" t="s">
        <v>54</v>
      </c>
      <c r="U517" s="12">
        <v>3</v>
      </c>
      <c r="V517" s="12" t="s">
        <v>84</v>
      </c>
    </row>
    <row r="518" spans="1:22" x14ac:dyDescent="0.3">
      <c r="A518" s="8" t="s">
        <v>1018</v>
      </c>
      <c r="B518" s="9">
        <v>45734</v>
      </c>
      <c r="C518" s="8" t="s">
        <v>107</v>
      </c>
      <c r="D518" s="8" t="s">
        <v>108</v>
      </c>
      <c r="E518" s="8" t="s">
        <v>39</v>
      </c>
      <c r="F518" s="8" t="s">
        <v>454</v>
      </c>
      <c r="G518" s="8" t="s">
        <v>27</v>
      </c>
      <c r="H518" s="8" t="s">
        <v>42</v>
      </c>
      <c r="I518" s="8" t="s">
        <v>61</v>
      </c>
      <c r="J518" s="8" t="s">
        <v>30</v>
      </c>
      <c r="K518" s="8" t="s">
        <v>31</v>
      </c>
      <c r="L518" s="8" t="s">
        <v>82</v>
      </c>
      <c r="M518" s="8">
        <v>4</v>
      </c>
      <c r="N518" s="10">
        <v>4126.7299999999996</v>
      </c>
      <c r="O518" s="11">
        <v>0.1</v>
      </c>
      <c r="P518" s="10">
        <v>14856.23</v>
      </c>
      <c r="Q518" s="10">
        <v>8620.15</v>
      </c>
      <c r="R518" s="10">
        <v>6236.08</v>
      </c>
      <c r="S518" s="8" t="s">
        <v>83</v>
      </c>
      <c r="T518" s="8" t="s">
        <v>147</v>
      </c>
      <c r="U518" s="8">
        <v>4</v>
      </c>
      <c r="V518" s="8" t="s">
        <v>55</v>
      </c>
    </row>
    <row r="519" spans="1:22" x14ac:dyDescent="0.3">
      <c r="A519" s="12" t="s">
        <v>1019</v>
      </c>
      <c r="B519" s="13">
        <v>45996</v>
      </c>
      <c r="C519" s="12" t="s">
        <v>86</v>
      </c>
      <c r="D519" s="12" t="s">
        <v>87</v>
      </c>
      <c r="E519" s="12" t="s">
        <v>59</v>
      </c>
      <c r="F519" s="12" t="s">
        <v>1020</v>
      </c>
      <c r="G519" s="12" t="s">
        <v>27</v>
      </c>
      <c r="H519" s="12" t="s">
        <v>42</v>
      </c>
      <c r="I519" s="12" t="s">
        <v>68</v>
      </c>
      <c r="J519" s="12" t="s">
        <v>30</v>
      </c>
      <c r="K519" s="12" t="s">
        <v>31</v>
      </c>
      <c r="L519" s="12" t="s">
        <v>103</v>
      </c>
      <c r="M519" s="12">
        <v>3</v>
      </c>
      <c r="N519" s="14">
        <v>3971.29</v>
      </c>
      <c r="O519" s="15">
        <v>0.05</v>
      </c>
      <c r="P519" s="14">
        <v>11318.18</v>
      </c>
      <c r="Q519" s="14">
        <v>6398.68</v>
      </c>
      <c r="R519" s="14">
        <v>4919.5</v>
      </c>
      <c r="S519" s="12" t="s">
        <v>83</v>
      </c>
      <c r="T519" s="12" t="s">
        <v>54</v>
      </c>
      <c r="U519" s="12">
        <v>5</v>
      </c>
      <c r="V519" s="12" t="s">
        <v>35</v>
      </c>
    </row>
    <row r="520" spans="1:22" x14ac:dyDescent="0.3">
      <c r="A520" s="8" t="s">
        <v>1021</v>
      </c>
      <c r="B520" s="9">
        <v>45964</v>
      </c>
      <c r="C520" s="8" t="s">
        <v>107</v>
      </c>
      <c r="D520" s="8" t="s">
        <v>108</v>
      </c>
      <c r="E520" s="8" t="s">
        <v>39</v>
      </c>
      <c r="F520" s="8" t="s">
        <v>1022</v>
      </c>
      <c r="G520" s="8" t="s">
        <v>41</v>
      </c>
      <c r="H520" s="8" t="s">
        <v>81</v>
      </c>
      <c r="I520" s="8" t="s">
        <v>61</v>
      </c>
      <c r="J520" s="8" t="s">
        <v>30</v>
      </c>
      <c r="K520" s="8" t="s">
        <v>31</v>
      </c>
      <c r="L520" s="8" t="s">
        <v>32</v>
      </c>
      <c r="M520" s="8">
        <v>3</v>
      </c>
      <c r="N520" s="10">
        <v>3824.67</v>
      </c>
      <c r="O520" s="11">
        <v>0.05</v>
      </c>
      <c r="P520" s="10">
        <v>10900.31</v>
      </c>
      <c r="Q520" s="10">
        <v>6667.44</v>
      </c>
      <c r="R520" s="10">
        <v>4232.87</v>
      </c>
      <c r="S520" s="8" t="s">
        <v>46</v>
      </c>
      <c r="T520" s="8" t="s">
        <v>34</v>
      </c>
      <c r="U520" s="8">
        <v>3</v>
      </c>
      <c r="V520" s="8" t="s">
        <v>65</v>
      </c>
    </row>
    <row r="521" spans="1:22" x14ac:dyDescent="0.3">
      <c r="A521" s="12" t="s">
        <v>1023</v>
      </c>
      <c r="B521" s="13">
        <v>45970</v>
      </c>
      <c r="C521" s="12" t="s">
        <v>107</v>
      </c>
      <c r="D521" s="12" t="s">
        <v>108</v>
      </c>
      <c r="E521" s="12" t="s">
        <v>39</v>
      </c>
      <c r="F521" s="12" t="s">
        <v>320</v>
      </c>
      <c r="G521" s="12" t="s">
        <v>41</v>
      </c>
      <c r="H521" s="12" t="s">
        <v>81</v>
      </c>
      <c r="I521" s="12" t="s">
        <v>61</v>
      </c>
      <c r="J521" s="12" t="s">
        <v>101</v>
      </c>
      <c r="K521" s="12" t="s">
        <v>217</v>
      </c>
      <c r="L521" s="12" t="s">
        <v>32</v>
      </c>
      <c r="M521" s="12">
        <v>5</v>
      </c>
      <c r="N521" s="14">
        <v>3004.84</v>
      </c>
      <c r="O521" s="15">
        <v>0.1</v>
      </c>
      <c r="P521" s="14">
        <v>13521.78</v>
      </c>
      <c r="Q521" s="14">
        <v>8547.39</v>
      </c>
      <c r="R521" s="14">
        <v>4974.3900000000003</v>
      </c>
      <c r="S521" s="12" t="s">
        <v>46</v>
      </c>
      <c r="T521" s="12" t="s">
        <v>64</v>
      </c>
      <c r="U521" s="12">
        <v>3</v>
      </c>
      <c r="V521" s="12" t="s">
        <v>65</v>
      </c>
    </row>
    <row r="522" spans="1:22" x14ac:dyDescent="0.3">
      <c r="A522" s="8" t="s">
        <v>1024</v>
      </c>
      <c r="B522" s="9">
        <v>45903</v>
      </c>
      <c r="C522" s="8" t="s">
        <v>113</v>
      </c>
      <c r="D522" s="8" t="s">
        <v>114</v>
      </c>
      <c r="E522" s="8" t="s">
        <v>59</v>
      </c>
      <c r="F522" s="8" t="s">
        <v>426</v>
      </c>
      <c r="G522" s="8" t="s">
        <v>41</v>
      </c>
      <c r="H522" s="8" t="s">
        <v>81</v>
      </c>
      <c r="I522" s="8" t="s">
        <v>29</v>
      </c>
      <c r="J522" s="8" t="s">
        <v>69</v>
      </c>
      <c r="K522" s="8" t="s">
        <v>70</v>
      </c>
      <c r="L522" s="8" t="s">
        <v>82</v>
      </c>
      <c r="M522" s="8">
        <v>3</v>
      </c>
      <c r="N522" s="10">
        <v>883.73</v>
      </c>
      <c r="O522" s="11">
        <v>0.05</v>
      </c>
      <c r="P522" s="10">
        <v>2518.63</v>
      </c>
      <c r="Q522" s="10">
        <v>1334.36</v>
      </c>
      <c r="R522" s="10">
        <v>1184.27</v>
      </c>
      <c r="S522" s="8" t="s">
        <v>46</v>
      </c>
      <c r="T522" s="8" t="s">
        <v>71</v>
      </c>
      <c r="U522" s="8">
        <v>4</v>
      </c>
      <c r="V522" s="8" t="s">
        <v>116</v>
      </c>
    </row>
    <row r="523" spans="1:22" x14ac:dyDescent="0.3">
      <c r="A523" s="12" t="s">
        <v>1025</v>
      </c>
      <c r="B523" s="13">
        <v>45881</v>
      </c>
      <c r="C523" s="12" t="s">
        <v>131</v>
      </c>
      <c r="D523" s="12" t="s">
        <v>132</v>
      </c>
      <c r="E523" s="12" t="s">
        <v>25</v>
      </c>
      <c r="F523" s="12" t="s">
        <v>1026</v>
      </c>
      <c r="G523" s="12" t="s">
        <v>41</v>
      </c>
      <c r="H523" s="12" t="s">
        <v>94</v>
      </c>
      <c r="I523" s="12" t="s">
        <v>61</v>
      </c>
      <c r="J523" s="12" t="s">
        <v>101</v>
      </c>
      <c r="K523" s="12" t="s">
        <v>110</v>
      </c>
      <c r="L523" s="12" t="s">
        <v>52</v>
      </c>
      <c r="M523" s="12">
        <v>1</v>
      </c>
      <c r="N523" s="14">
        <v>5221.91</v>
      </c>
      <c r="O523" s="15">
        <v>0.3</v>
      </c>
      <c r="P523" s="14">
        <v>3655.34</v>
      </c>
      <c r="Q523" s="14">
        <v>3085.17</v>
      </c>
      <c r="R523" s="14">
        <v>570.16999999999996</v>
      </c>
      <c r="S523" s="12" t="s">
        <v>53</v>
      </c>
      <c r="T523" s="12" t="s">
        <v>71</v>
      </c>
      <c r="U523" s="12">
        <v>3</v>
      </c>
      <c r="V523" s="12" t="s">
        <v>72</v>
      </c>
    </row>
    <row r="524" spans="1:22" x14ac:dyDescent="0.3">
      <c r="A524" s="8" t="s">
        <v>1027</v>
      </c>
      <c r="B524" s="9">
        <v>45696</v>
      </c>
      <c r="C524" s="8" t="s">
        <v>86</v>
      </c>
      <c r="D524" s="8" t="s">
        <v>87</v>
      </c>
      <c r="E524" s="8" t="s">
        <v>59</v>
      </c>
      <c r="F524" s="8" t="s">
        <v>1028</v>
      </c>
      <c r="G524" s="8" t="s">
        <v>27</v>
      </c>
      <c r="H524" s="8" t="s">
        <v>94</v>
      </c>
      <c r="I524" s="8" t="s">
        <v>61</v>
      </c>
      <c r="J524" s="8" t="s">
        <v>69</v>
      </c>
      <c r="K524" s="8" t="s">
        <v>180</v>
      </c>
      <c r="L524" s="8" t="s">
        <v>77</v>
      </c>
      <c r="M524" s="8">
        <v>2</v>
      </c>
      <c r="N524" s="10">
        <v>1510.91</v>
      </c>
      <c r="O524" s="11">
        <v>0.15</v>
      </c>
      <c r="P524" s="10">
        <v>2568.5500000000002</v>
      </c>
      <c r="Q524" s="10">
        <v>1617.58</v>
      </c>
      <c r="R524" s="10">
        <v>950.97</v>
      </c>
      <c r="S524" s="8" t="s">
        <v>83</v>
      </c>
      <c r="T524" s="8" t="s">
        <v>147</v>
      </c>
      <c r="U524" s="8">
        <v>5</v>
      </c>
      <c r="V524" s="8" t="s">
        <v>105</v>
      </c>
    </row>
    <row r="525" spans="1:22" x14ac:dyDescent="0.3">
      <c r="A525" s="12" t="s">
        <v>1029</v>
      </c>
      <c r="B525" s="13">
        <v>45894</v>
      </c>
      <c r="C525" s="12" t="s">
        <v>37</v>
      </c>
      <c r="D525" s="12" t="s">
        <v>38</v>
      </c>
      <c r="E525" s="12" t="s">
        <v>39</v>
      </c>
      <c r="F525" s="12" t="s">
        <v>1030</v>
      </c>
      <c r="G525" s="12" t="s">
        <v>41</v>
      </c>
      <c r="H525" s="12" t="s">
        <v>28</v>
      </c>
      <c r="I525" s="12" t="s">
        <v>29</v>
      </c>
      <c r="J525" s="12" t="s">
        <v>75</v>
      </c>
      <c r="K525" s="12" t="s">
        <v>76</v>
      </c>
      <c r="L525" s="12" t="s">
        <v>103</v>
      </c>
      <c r="M525" s="12">
        <v>2</v>
      </c>
      <c r="N525" s="14">
        <v>837.8</v>
      </c>
      <c r="O525" s="15">
        <v>0.3</v>
      </c>
      <c r="P525" s="14">
        <v>1172.92</v>
      </c>
      <c r="Q525" s="14">
        <v>683.28</v>
      </c>
      <c r="R525" s="14">
        <v>489.64</v>
      </c>
      <c r="S525" s="12" t="s">
        <v>63</v>
      </c>
      <c r="T525" s="12" t="s">
        <v>104</v>
      </c>
      <c r="U525" s="12">
        <v>3</v>
      </c>
      <c r="V525" s="12" t="s">
        <v>72</v>
      </c>
    </row>
    <row r="526" spans="1:22" x14ac:dyDescent="0.3">
      <c r="A526" s="8" t="s">
        <v>1031</v>
      </c>
      <c r="B526" s="9">
        <v>45779</v>
      </c>
      <c r="C526" s="8" t="s">
        <v>113</v>
      </c>
      <c r="D526" s="8" t="s">
        <v>114</v>
      </c>
      <c r="E526" s="8" t="s">
        <v>59</v>
      </c>
      <c r="F526" s="8" t="s">
        <v>187</v>
      </c>
      <c r="G526" s="8" t="s">
        <v>41</v>
      </c>
      <c r="H526" s="8" t="s">
        <v>81</v>
      </c>
      <c r="I526" s="8" t="s">
        <v>29</v>
      </c>
      <c r="J526" s="8" t="s">
        <v>89</v>
      </c>
      <c r="K526" s="8" t="s">
        <v>90</v>
      </c>
      <c r="L526" s="8" t="s">
        <v>77</v>
      </c>
      <c r="M526" s="8">
        <v>3</v>
      </c>
      <c r="N526" s="10">
        <v>3405.92</v>
      </c>
      <c r="O526" s="11">
        <v>0.2</v>
      </c>
      <c r="P526" s="10">
        <v>8174.21</v>
      </c>
      <c r="Q526" s="10">
        <v>6598.22</v>
      </c>
      <c r="R526" s="10">
        <v>1575.99</v>
      </c>
      <c r="S526" s="8" t="s">
        <v>33</v>
      </c>
      <c r="T526" s="8" t="s">
        <v>71</v>
      </c>
      <c r="U526" s="8">
        <v>4</v>
      </c>
      <c r="V526" s="8" t="s">
        <v>134</v>
      </c>
    </row>
    <row r="527" spans="1:22" x14ac:dyDescent="0.3">
      <c r="A527" s="12" t="s">
        <v>1032</v>
      </c>
      <c r="B527" s="13">
        <v>45784</v>
      </c>
      <c r="C527" s="12" t="s">
        <v>86</v>
      </c>
      <c r="D527" s="12" t="s">
        <v>87</v>
      </c>
      <c r="E527" s="12" t="s">
        <v>59</v>
      </c>
      <c r="F527" s="12" t="s">
        <v>1033</v>
      </c>
      <c r="G527" s="12" t="s">
        <v>41</v>
      </c>
      <c r="H527" s="12" t="s">
        <v>42</v>
      </c>
      <c r="I527" s="12" t="s">
        <v>29</v>
      </c>
      <c r="J527" s="12" t="s">
        <v>75</v>
      </c>
      <c r="K527" s="12" t="s">
        <v>154</v>
      </c>
      <c r="L527" s="12" t="s">
        <v>45</v>
      </c>
      <c r="M527" s="12">
        <v>5</v>
      </c>
      <c r="N527" s="14">
        <v>1899.89</v>
      </c>
      <c r="O527" s="15">
        <v>0.05</v>
      </c>
      <c r="P527" s="14">
        <v>9024.48</v>
      </c>
      <c r="Q527" s="14">
        <v>5712.69</v>
      </c>
      <c r="R527" s="14">
        <v>3311.79</v>
      </c>
      <c r="S527" s="12" t="s">
        <v>63</v>
      </c>
      <c r="T527" s="12" t="s">
        <v>54</v>
      </c>
      <c r="U527" s="12">
        <v>4</v>
      </c>
      <c r="V527" s="12" t="s">
        <v>134</v>
      </c>
    </row>
    <row r="528" spans="1:22" x14ac:dyDescent="0.3">
      <c r="A528" s="8" t="s">
        <v>1034</v>
      </c>
      <c r="B528" s="9">
        <v>45956</v>
      </c>
      <c r="C528" s="8" t="s">
        <v>107</v>
      </c>
      <c r="D528" s="8" t="s">
        <v>108</v>
      </c>
      <c r="E528" s="8" t="s">
        <v>39</v>
      </c>
      <c r="F528" s="8" t="s">
        <v>269</v>
      </c>
      <c r="G528" s="8" t="s">
        <v>27</v>
      </c>
      <c r="H528" s="8" t="s">
        <v>94</v>
      </c>
      <c r="I528" s="8" t="s">
        <v>61</v>
      </c>
      <c r="J528" s="8" t="s">
        <v>89</v>
      </c>
      <c r="K528" s="8" t="s">
        <v>90</v>
      </c>
      <c r="L528" s="8" t="s">
        <v>32</v>
      </c>
      <c r="M528" s="8">
        <v>2</v>
      </c>
      <c r="N528" s="10">
        <v>3445.49</v>
      </c>
      <c r="O528" s="11">
        <v>0.1</v>
      </c>
      <c r="P528" s="10">
        <v>6201.88</v>
      </c>
      <c r="Q528" s="10">
        <v>4368.3599999999997</v>
      </c>
      <c r="R528" s="10">
        <v>1833.52</v>
      </c>
      <c r="S528" s="8" t="s">
        <v>53</v>
      </c>
      <c r="T528" s="8" t="s">
        <v>71</v>
      </c>
      <c r="U528" s="8">
        <v>3</v>
      </c>
      <c r="V528" s="8" t="s">
        <v>123</v>
      </c>
    </row>
    <row r="529" spans="1:22" x14ac:dyDescent="0.3">
      <c r="A529" s="12" t="s">
        <v>1035</v>
      </c>
      <c r="B529" s="13">
        <v>45727</v>
      </c>
      <c r="C529" s="12" t="s">
        <v>131</v>
      </c>
      <c r="D529" s="12" t="s">
        <v>132</v>
      </c>
      <c r="E529" s="12" t="s">
        <v>25</v>
      </c>
      <c r="F529" s="12" t="s">
        <v>1036</v>
      </c>
      <c r="G529" s="12" t="s">
        <v>27</v>
      </c>
      <c r="H529" s="12" t="s">
        <v>81</v>
      </c>
      <c r="I529" s="12" t="s">
        <v>29</v>
      </c>
      <c r="J529" s="12" t="s">
        <v>69</v>
      </c>
      <c r="K529" s="12" t="s">
        <v>70</v>
      </c>
      <c r="L529" s="12" t="s">
        <v>91</v>
      </c>
      <c r="M529" s="12">
        <v>1</v>
      </c>
      <c r="N529" s="14">
        <v>867.31</v>
      </c>
      <c r="O529" s="15">
        <v>0.3</v>
      </c>
      <c r="P529" s="14">
        <v>607.12</v>
      </c>
      <c r="Q529" s="14">
        <v>469.77</v>
      </c>
      <c r="R529" s="14">
        <v>137.35</v>
      </c>
      <c r="S529" s="12" t="s">
        <v>53</v>
      </c>
      <c r="T529" s="12" t="s">
        <v>64</v>
      </c>
      <c r="U529" s="12">
        <v>4</v>
      </c>
      <c r="V529" s="12" t="s">
        <v>55</v>
      </c>
    </row>
    <row r="530" spans="1:22" x14ac:dyDescent="0.3">
      <c r="A530" s="8" t="s">
        <v>1037</v>
      </c>
      <c r="B530" s="9">
        <v>45988</v>
      </c>
      <c r="C530" s="8" t="s">
        <v>98</v>
      </c>
      <c r="D530" s="8" t="s">
        <v>99</v>
      </c>
      <c r="E530" s="8" t="s">
        <v>25</v>
      </c>
      <c r="F530" s="8" t="s">
        <v>1038</v>
      </c>
      <c r="G530" s="8" t="s">
        <v>27</v>
      </c>
      <c r="H530" s="8" t="s">
        <v>42</v>
      </c>
      <c r="I530" s="8" t="s">
        <v>61</v>
      </c>
      <c r="J530" s="8" t="s">
        <v>69</v>
      </c>
      <c r="K530" s="8" t="s">
        <v>180</v>
      </c>
      <c r="L530" s="8" t="s">
        <v>175</v>
      </c>
      <c r="M530" s="8">
        <v>5</v>
      </c>
      <c r="N530" s="10">
        <v>1488.5</v>
      </c>
      <c r="O530" s="11">
        <v>0.3</v>
      </c>
      <c r="P530" s="10">
        <v>5209.75</v>
      </c>
      <c r="Q530" s="10">
        <v>4239.7299999999996</v>
      </c>
      <c r="R530" s="10">
        <v>970.02</v>
      </c>
      <c r="S530" s="8" t="s">
        <v>63</v>
      </c>
      <c r="T530" s="8" t="s">
        <v>78</v>
      </c>
      <c r="U530" s="8">
        <v>4</v>
      </c>
      <c r="V530" s="8" t="s">
        <v>65</v>
      </c>
    </row>
    <row r="531" spans="1:22" x14ac:dyDescent="0.3">
      <c r="A531" s="12" t="s">
        <v>1039</v>
      </c>
      <c r="B531" s="13">
        <v>46008</v>
      </c>
      <c r="C531" s="12" t="s">
        <v>48</v>
      </c>
      <c r="D531" s="12" t="s">
        <v>49</v>
      </c>
      <c r="E531" s="12" t="s">
        <v>39</v>
      </c>
      <c r="F531" s="12" t="s">
        <v>1040</v>
      </c>
      <c r="G531" s="12" t="s">
        <v>41</v>
      </c>
      <c r="H531" s="12" t="s">
        <v>28</v>
      </c>
      <c r="I531" s="12" t="s">
        <v>29</v>
      </c>
      <c r="J531" s="12" t="s">
        <v>30</v>
      </c>
      <c r="K531" s="12" t="s">
        <v>62</v>
      </c>
      <c r="L531" s="12" t="s">
        <v>32</v>
      </c>
      <c r="M531" s="12">
        <v>1</v>
      </c>
      <c r="N531" s="14">
        <v>976.78</v>
      </c>
      <c r="O531" s="15">
        <v>0.2</v>
      </c>
      <c r="P531" s="14">
        <v>781.42</v>
      </c>
      <c r="Q531" s="14">
        <v>432.52</v>
      </c>
      <c r="R531" s="14">
        <v>348.9</v>
      </c>
      <c r="S531" s="12" t="s">
        <v>53</v>
      </c>
      <c r="T531" s="12" t="s">
        <v>104</v>
      </c>
      <c r="U531" s="12">
        <v>4</v>
      </c>
      <c r="V531" s="12" t="s">
        <v>35</v>
      </c>
    </row>
    <row r="532" spans="1:22" x14ac:dyDescent="0.3">
      <c r="A532" s="8" t="s">
        <v>1041</v>
      </c>
      <c r="B532" s="9">
        <v>45872</v>
      </c>
      <c r="C532" s="8" t="s">
        <v>48</v>
      </c>
      <c r="D532" s="8" t="s">
        <v>49</v>
      </c>
      <c r="E532" s="8" t="s">
        <v>39</v>
      </c>
      <c r="F532" s="8" t="s">
        <v>1042</v>
      </c>
      <c r="G532" s="8" t="s">
        <v>41</v>
      </c>
      <c r="H532" s="8" t="s">
        <v>94</v>
      </c>
      <c r="I532" s="8" t="s">
        <v>68</v>
      </c>
      <c r="J532" s="8" t="s">
        <v>30</v>
      </c>
      <c r="K532" s="8" t="s">
        <v>62</v>
      </c>
      <c r="L532" s="8" t="s">
        <v>91</v>
      </c>
      <c r="M532" s="8">
        <v>1</v>
      </c>
      <c r="N532" s="10">
        <v>1033.6099999999999</v>
      </c>
      <c r="O532" s="11">
        <v>0.25</v>
      </c>
      <c r="P532" s="10">
        <v>775.21</v>
      </c>
      <c r="Q532" s="10">
        <v>429.99</v>
      </c>
      <c r="R532" s="10">
        <v>345.22</v>
      </c>
      <c r="S532" s="8" t="s">
        <v>53</v>
      </c>
      <c r="T532" s="8" t="s">
        <v>54</v>
      </c>
      <c r="U532" s="8">
        <v>3</v>
      </c>
      <c r="V532" s="8" t="s">
        <v>72</v>
      </c>
    </row>
    <row r="533" spans="1:22" x14ac:dyDescent="0.3">
      <c r="A533" s="12" t="s">
        <v>1043</v>
      </c>
      <c r="B533" s="13">
        <v>45765</v>
      </c>
      <c r="C533" s="12" t="s">
        <v>107</v>
      </c>
      <c r="D533" s="12" t="s">
        <v>108</v>
      </c>
      <c r="E533" s="12" t="s">
        <v>39</v>
      </c>
      <c r="F533" s="12" t="s">
        <v>856</v>
      </c>
      <c r="G533" s="12" t="s">
        <v>27</v>
      </c>
      <c r="H533" s="12" t="s">
        <v>28</v>
      </c>
      <c r="I533" s="12" t="s">
        <v>68</v>
      </c>
      <c r="J533" s="12" t="s">
        <v>101</v>
      </c>
      <c r="K533" s="12" t="s">
        <v>102</v>
      </c>
      <c r="L533" s="12" t="s">
        <v>77</v>
      </c>
      <c r="M533" s="12">
        <v>4</v>
      </c>
      <c r="N533" s="14">
        <v>720.96</v>
      </c>
      <c r="O533" s="15">
        <v>0.2</v>
      </c>
      <c r="P533" s="14">
        <v>2307.0700000000002</v>
      </c>
      <c r="Q533" s="14">
        <v>1046.52</v>
      </c>
      <c r="R533" s="14">
        <v>1260.55</v>
      </c>
      <c r="S533" s="12" t="s">
        <v>46</v>
      </c>
      <c r="T533" s="12" t="s">
        <v>64</v>
      </c>
      <c r="U533" s="12">
        <v>4</v>
      </c>
      <c r="V533" s="12" t="s">
        <v>96</v>
      </c>
    </row>
    <row r="534" spans="1:22" x14ac:dyDescent="0.3">
      <c r="A534" s="8" t="s">
        <v>1044</v>
      </c>
      <c r="B534" s="9">
        <v>45723</v>
      </c>
      <c r="C534" s="8" t="s">
        <v>113</v>
      </c>
      <c r="D534" s="8" t="s">
        <v>114</v>
      </c>
      <c r="E534" s="8" t="s">
        <v>59</v>
      </c>
      <c r="F534" s="8" t="s">
        <v>370</v>
      </c>
      <c r="G534" s="8" t="s">
        <v>27</v>
      </c>
      <c r="H534" s="8" t="s">
        <v>42</v>
      </c>
      <c r="I534" s="8" t="s">
        <v>61</v>
      </c>
      <c r="J534" s="8" t="s">
        <v>101</v>
      </c>
      <c r="K534" s="8" t="s">
        <v>217</v>
      </c>
      <c r="L534" s="8" t="s">
        <v>32</v>
      </c>
      <c r="M534" s="8">
        <v>4</v>
      </c>
      <c r="N534" s="10">
        <v>3034.2</v>
      </c>
      <c r="O534" s="11">
        <v>0.25</v>
      </c>
      <c r="P534" s="10">
        <v>9102.6</v>
      </c>
      <c r="Q534" s="10">
        <v>6712.08</v>
      </c>
      <c r="R534" s="10">
        <v>2390.52</v>
      </c>
      <c r="S534" s="8" t="s">
        <v>33</v>
      </c>
      <c r="T534" s="8" t="s">
        <v>54</v>
      </c>
      <c r="U534" s="8">
        <v>5</v>
      </c>
      <c r="V534" s="8" t="s">
        <v>55</v>
      </c>
    </row>
    <row r="535" spans="1:22" x14ac:dyDescent="0.3">
      <c r="A535" s="12" t="s">
        <v>1045</v>
      </c>
      <c r="B535" s="13">
        <v>45679</v>
      </c>
      <c r="C535" s="12" t="s">
        <v>113</v>
      </c>
      <c r="D535" s="12" t="s">
        <v>114</v>
      </c>
      <c r="E535" s="12" t="s">
        <v>59</v>
      </c>
      <c r="F535" s="12" t="s">
        <v>279</v>
      </c>
      <c r="G535" s="12" t="s">
        <v>41</v>
      </c>
      <c r="H535" s="12" t="s">
        <v>28</v>
      </c>
      <c r="I535" s="12" t="s">
        <v>61</v>
      </c>
      <c r="J535" s="12" t="s">
        <v>69</v>
      </c>
      <c r="K535" s="12" t="s">
        <v>70</v>
      </c>
      <c r="L535" s="12" t="s">
        <v>91</v>
      </c>
      <c r="M535" s="12">
        <v>1</v>
      </c>
      <c r="N535" s="14">
        <v>889.37</v>
      </c>
      <c r="O535" s="15">
        <v>0.15</v>
      </c>
      <c r="P535" s="14">
        <v>755.96</v>
      </c>
      <c r="Q535" s="14">
        <v>442.58</v>
      </c>
      <c r="R535" s="14">
        <v>313.38</v>
      </c>
      <c r="S535" s="12" t="s">
        <v>63</v>
      </c>
      <c r="T535" s="12" t="s">
        <v>104</v>
      </c>
      <c r="U535" s="12">
        <v>5</v>
      </c>
      <c r="V535" s="12" t="s">
        <v>84</v>
      </c>
    </row>
    <row r="536" spans="1:22" x14ac:dyDescent="0.3">
      <c r="A536" s="8" t="s">
        <v>1046</v>
      </c>
      <c r="B536" s="9">
        <v>45784</v>
      </c>
      <c r="C536" s="8" t="s">
        <v>131</v>
      </c>
      <c r="D536" s="8" t="s">
        <v>132</v>
      </c>
      <c r="E536" s="8" t="s">
        <v>25</v>
      </c>
      <c r="F536" s="8" t="s">
        <v>782</v>
      </c>
      <c r="G536" s="8" t="s">
        <v>41</v>
      </c>
      <c r="H536" s="8" t="s">
        <v>94</v>
      </c>
      <c r="I536" s="8" t="s">
        <v>68</v>
      </c>
      <c r="J536" s="8" t="s">
        <v>101</v>
      </c>
      <c r="K536" s="8" t="s">
        <v>110</v>
      </c>
      <c r="L536" s="8" t="s">
        <v>103</v>
      </c>
      <c r="M536" s="8">
        <v>3</v>
      </c>
      <c r="N536" s="10">
        <v>5000.0600000000004</v>
      </c>
      <c r="O536" s="11">
        <v>0.25</v>
      </c>
      <c r="P536" s="10">
        <v>11250.14</v>
      </c>
      <c r="Q536" s="10">
        <v>9260.32</v>
      </c>
      <c r="R536" s="10">
        <v>1989.82</v>
      </c>
      <c r="S536" s="8" t="s">
        <v>63</v>
      </c>
      <c r="T536" s="8" t="s">
        <v>34</v>
      </c>
      <c r="U536" s="8">
        <v>5</v>
      </c>
      <c r="V536" s="8" t="s">
        <v>134</v>
      </c>
    </row>
    <row r="537" spans="1:22" x14ac:dyDescent="0.3">
      <c r="A537" s="12" t="s">
        <v>1047</v>
      </c>
      <c r="B537" s="13">
        <v>45947</v>
      </c>
      <c r="C537" s="12" t="s">
        <v>86</v>
      </c>
      <c r="D537" s="12" t="s">
        <v>87</v>
      </c>
      <c r="E537" s="12" t="s">
        <v>59</v>
      </c>
      <c r="F537" s="12" t="s">
        <v>1048</v>
      </c>
      <c r="G537" s="12" t="s">
        <v>41</v>
      </c>
      <c r="H537" s="12" t="s">
        <v>28</v>
      </c>
      <c r="I537" s="12" t="s">
        <v>29</v>
      </c>
      <c r="J537" s="12" t="s">
        <v>30</v>
      </c>
      <c r="K537" s="12" t="s">
        <v>144</v>
      </c>
      <c r="L537" s="12" t="s">
        <v>82</v>
      </c>
      <c r="M537" s="12">
        <v>1</v>
      </c>
      <c r="N537" s="14">
        <v>2512.35</v>
      </c>
      <c r="O537" s="15">
        <v>0.1</v>
      </c>
      <c r="P537" s="14">
        <v>2261.11</v>
      </c>
      <c r="Q537" s="14">
        <v>1463.1</v>
      </c>
      <c r="R537" s="14">
        <v>798.01</v>
      </c>
      <c r="S537" s="12" t="s">
        <v>46</v>
      </c>
      <c r="T537" s="12" t="s">
        <v>147</v>
      </c>
      <c r="U537" s="12">
        <v>3</v>
      </c>
      <c r="V537" s="12" t="s">
        <v>123</v>
      </c>
    </row>
    <row r="538" spans="1:22" x14ac:dyDescent="0.3">
      <c r="A538" s="8" t="s">
        <v>1049</v>
      </c>
      <c r="B538" s="9">
        <v>45920</v>
      </c>
      <c r="C538" s="8" t="s">
        <v>131</v>
      </c>
      <c r="D538" s="8" t="s">
        <v>132</v>
      </c>
      <c r="E538" s="8" t="s">
        <v>25</v>
      </c>
      <c r="F538" s="8" t="s">
        <v>1050</v>
      </c>
      <c r="G538" s="8" t="s">
        <v>41</v>
      </c>
      <c r="H538" s="8" t="s">
        <v>28</v>
      </c>
      <c r="I538" s="8" t="s">
        <v>61</v>
      </c>
      <c r="J538" s="8" t="s">
        <v>69</v>
      </c>
      <c r="K538" s="8" t="s">
        <v>180</v>
      </c>
      <c r="L538" s="8" t="s">
        <v>175</v>
      </c>
      <c r="M538" s="8">
        <v>5</v>
      </c>
      <c r="N538" s="10">
        <v>1503.59</v>
      </c>
      <c r="O538" s="11">
        <v>0.1</v>
      </c>
      <c r="P538" s="10">
        <v>6766.15</v>
      </c>
      <c r="Q538" s="10">
        <v>4117.6499999999996</v>
      </c>
      <c r="R538" s="10">
        <v>2648.5</v>
      </c>
      <c r="S538" s="8" t="s">
        <v>83</v>
      </c>
      <c r="T538" s="8" t="s">
        <v>71</v>
      </c>
      <c r="U538" s="8">
        <v>4</v>
      </c>
      <c r="V538" s="8" t="s">
        <v>116</v>
      </c>
    </row>
    <row r="539" spans="1:22" x14ac:dyDescent="0.3">
      <c r="A539" s="12" t="s">
        <v>1051</v>
      </c>
      <c r="B539" s="13">
        <v>45715</v>
      </c>
      <c r="C539" s="12" t="s">
        <v>107</v>
      </c>
      <c r="D539" s="12" t="s">
        <v>108</v>
      </c>
      <c r="E539" s="12" t="s">
        <v>39</v>
      </c>
      <c r="F539" s="12" t="s">
        <v>408</v>
      </c>
      <c r="G539" s="12" t="s">
        <v>27</v>
      </c>
      <c r="H539" s="12" t="s">
        <v>42</v>
      </c>
      <c r="I539" s="12" t="s">
        <v>29</v>
      </c>
      <c r="J539" s="12" t="s">
        <v>89</v>
      </c>
      <c r="K539" s="12" t="s">
        <v>151</v>
      </c>
      <c r="L539" s="12" t="s">
        <v>91</v>
      </c>
      <c r="M539" s="12">
        <v>1</v>
      </c>
      <c r="N539" s="14">
        <v>971.95</v>
      </c>
      <c r="O539" s="15">
        <v>0.15</v>
      </c>
      <c r="P539" s="14">
        <v>826.16</v>
      </c>
      <c r="Q539" s="14">
        <v>504.1</v>
      </c>
      <c r="R539" s="14">
        <v>322.06</v>
      </c>
      <c r="S539" s="12" t="s">
        <v>53</v>
      </c>
      <c r="T539" s="12" t="s">
        <v>104</v>
      </c>
      <c r="U539" s="12">
        <v>3</v>
      </c>
      <c r="V539" s="12" t="s">
        <v>105</v>
      </c>
    </row>
    <row r="540" spans="1:22" x14ac:dyDescent="0.3">
      <c r="A540" s="8" t="s">
        <v>1052</v>
      </c>
      <c r="B540" s="9">
        <v>45737</v>
      </c>
      <c r="C540" s="8" t="s">
        <v>37</v>
      </c>
      <c r="D540" s="8" t="s">
        <v>38</v>
      </c>
      <c r="E540" s="8" t="s">
        <v>39</v>
      </c>
      <c r="F540" s="8" t="s">
        <v>959</v>
      </c>
      <c r="G540" s="8" t="s">
        <v>27</v>
      </c>
      <c r="H540" s="8" t="s">
        <v>94</v>
      </c>
      <c r="I540" s="8" t="s">
        <v>29</v>
      </c>
      <c r="J540" s="8" t="s">
        <v>75</v>
      </c>
      <c r="K540" s="8" t="s">
        <v>154</v>
      </c>
      <c r="L540" s="8" t="s">
        <v>45</v>
      </c>
      <c r="M540" s="8">
        <v>1</v>
      </c>
      <c r="N540" s="10">
        <v>1978.55</v>
      </c>
      <c r="O540" s="11">
        <v>0.05</v>
      </c>
      <c r="P540" s="10">
        <v>1879.62</v>
      </c>
      <c r="Q540" s="10">
        <v>1099.68</v>
      </c>
      <c r="R540" s="10">
        <v>779.94</v>
      </c>
      <c r="S540" s="8" t="s">
        <v>46</v>
      </c>
      <c r="T540" s="8" t="s">
        <v>78</v>
      </c>
      <c r="U540" s="8">
        <v>4</v>
      </c>
      <c r="V540" s="8" t="s">
        <v>55</v>
      </c>
    </row>
    <row r="541" spans="1:22" x14ac:dyDescent="0.3">
      <c r="A541" s="12" t="s">
        <v>1053</v>
      </c>
      <c r="B541" s="13">
        <v>45802</v>
      </c>
      <c r="C541" s="12" t="s">
        <v>48</v>
      </c>
      <c r="D541" s="12" t="s">
        <v>49</v>
      </c>
      <c r="E541" s="12" t="s">
        <v>39</v>
      </c>
      <c r="F541" s="12" t="s">
        <v>381</v>
      </c>
      <c r="G541" s="12" t="s">
        <v>27</v>
      </c>
      <c r="H541" s="12" t="s">
        <v>94</v>
      </c>
      <c r="I541" s="12" t="s">
        <v>29</v>
      </c>
      <c r="J541" s="12" t="s">
        <v>30</v>
      </c>
      <c r="K541" s="12" t="s">
        <v>31</v>
      </c>
      <c r="L541" s="12" t="s">
        <v>103</v>
      </c>
      <c r="M541" s="12">
        <v>4</v>
      </c>
      <c r="N541" s="14">
        <v>3825.83</v>
      </c>
      <c r="O541" s="15">
        <v>0.15</v>
      </c>
      <c r="P541" s="14">
        <v>13007.82</v>
      </c>
      <c r="Q541" s="14">
        <v>9232.65</v>
      </c>
      <c r="R541" s="14">
        <v>3775.17</v>
      </c>
      <c r="S541" s="12" t="s">
        <v>46</v>
      </c>
      <c r="T541" s="12" t="s">
        <v>111</v>
      </c>
      <c r="U541" s="12">
        <v>5</v>
      </c>
      <c r="V541" s="12" t="s">
        <v>134</v>
      </c>
    </row>
    <row r="542" spans="1:22" x14ac:dyDescent="0.3">
      <c r="A542" s="8" t="s">
        <v>1054</v>
      </c>
      <c r="B542" s="9">
        <v>45686</v>
      </c>
      <c r="C542" s="8" t="s">
        <v>107</v>
      </c>
      <c r="D542" s="8" t="s">
        <v>108</v>
      </c>
      <c r="E542" s="8" t="s">
        <v>39</v>
      </c>
      <c r="F542" s="8" t="s">
        <v>523</v>
      </c>
      <c r="G542" s="8" t="s">
        <v>27</v>
      </c>
      <c r="H542" s="8" t="s">
        <v>28</v>
      </c>
      <c r="I542" s="8" t="s">
        <v>29</v>
      </c>
      <c r="J542" s="8" t="s">
        <v>43</v>
      </c>
      <c r="K542" s="8" t="s">
        <v>162</v>
      </c>
      <c r="L542" s="8" t="s">
        <v>103</v>
      </c>
      <c r="M542" s="8">
        <v>1</v>
      </c>
      <c r="N542" s="10">
        <v>876.09</v>
      </c>
      <c r="O542" s="11">
        <v>0</v>
      </c>
      <c r="P542" s="10">
        <v>876.09</v>
      </c>
      <c r="Q542" s="10">
        <v>409.7</v>
      </c>
      <c r="R542" s="10">
        <v>466.39</v>
      </c>
      <c r="S542" s="8" t="s">
        <v>53</v>
      </c>
      <c r="T542" s="8" t="s">
        <v>71</v>
      </c>
      <c r="U542" s="8">
        <v>4</v>
      </c>
      <c r="V542" s="8" t="s">
        <v>84</v>
      </c>
    </row>
    <row r="543" spans="1:22" x14ac:dyDescent="0.3">
      <c r="A543" s="12" t="s">
        <v>1055</v>
      </c>
      <c r="B543" s="13">
        <v>45883</v>
      </c>
      <c r="C543" s="12" t="s">
        <v>37</v>
      </c>
      <c r="D543" s="12" t="s">
        <v>38</v>
      </c>
      <c r="E543" s="12" t="s">
        <v>39</v>
      </c>
      <c r="F543" s="12" t="s">
        <v>978</v>
      </c>
      <c r="G543" s="12" t="s">
        <v>41</v>
      </c>
      <c r="H543" s="12" t="s">
        <v>94</v>
      </c>
      <c r="I543" s="12" t="s">
        <v>61</v>
      </c>
      <c r="J543" s="12" t="s">
        <v>43</v>
      </c>
      <c r="K543" s="12" t="s">
        <v>162</v>
      </c>
      <c r="L543" s="12" t="s">
        <v>82</v>
      </c>
      <c r="M543" s="12">
        <v>2</v>
      </c>
      <c r="N543" s="14">
        <v>872.1</v>
      </c>
      <c r="O543" s="15">
        <v>0.2</v>
      </c>
      <c r="P543" s="14">
        <v>1395.36</v>
      </c>
      <c r="Q543" s="14">
        <v>776.03</v>
      </c>
      <c r="R543" s="14">
        <v>619.33000000000004</v>
      </c>
      <c r="S543" s="12" t="s">
        <v>46</v>
      </c>
      <c r="T543" s="12" t="s">
        <v>111</v>
      </c>
      <c r="U543" s="12">
        <v>3</v>
      </c>
      <c r="V543" s="12" t="s">
        <v>72</v>
      </c>
    </row>
    <row r="544" spans="1:22" x14ac:dyDescent="0.3">
      <c r="A544" s="8" t="s">
        <v>1056</v>
      </c>
      <c r="B544" s="9">
        <v>45686</v>
      </c>
      <c r="C544" s="8" t="s">
        <v>57</v>
      </c>
      <c r="D544" s="8" t="s">
        <v>58</v>
      </c>
      <c r="E544" s="8" t="s">
        <v>59</v>
      </c>
      <c r="F544" s="8" t="s">
        <v>183</v>
      </c>
      <c r="G544" s="8" t="s">
        <v>27</v>
      </c>
      <c r="H544" s="8" t="s">
        <v>28</v>
      </c>
      <c r="I544" s="8" t="s">
        <v>29</v>
      </c>
      <c r="J544" s="8" t="s">
        <v>101</v>
      </c>
      <c r="K544" s="8" t="s">
        <v>217</v>
      </c>
      <c r="L544" s="8" t="s">
        <v>103</v>
      </c>
      <c r="M544" s="8">
        <v>5</v>
      </c>
      <c r="N544" s="10">
        <v>2954.48</v>
      </c>
      <c r="O544" s="11">
        <v>0.15</v>
      </c>
      <c r="P544" s="10">
        <v>12556.54</v>
      </c>
      <c r="Q544" s="10">
        <v>8730.94</v>
      </c>
      <c r="R544" s="10">
        <v>3825.6</v>
      </c>
      <c r="S544" s="8" t="s">
        <v>63</v>
      </c>
      <c r="T544" s="8" t="s">
        <v>64</v>
      </c>
      <c r="U544" s="8">
        <v>4</v>
      </c>
      <c r="V544" s="8" t="s">
        <v>84</v>
      </c>
    </row>
    <row r="545" spans="1:22" x14ac:dyDescent="0.3">
      <c r="A545" s="12" t="s">
        <v>1057</v>
      </c>
      <c r="B545" s="13">
        <v>45927</v>
      </c>
      <c r="C545" s="12" t="s">
        <v>23</v>
      </c>
      <c r="D545" s="12" t="s">
        <v>24</v>
      </c>
      <c r="E545" s="12" t="s">
        <v>25</v>
      </c>
      <c r="F545" s="12" t="s">
        <v>658</v>
      </c>
      <c r="G545" s="12" t="s">
        <v>27</v>
      </c>
      <c r="H545" s="12" t="s">
        <v>28</v>
      </c>
      <c r="I545" s="12" t="s">
        <v>61</v>
      </c>
      <c r="J545" s="12" t="s">
        <v>43</v>
      </c>
      <c r="K545" s="12" t="s">
        <v>51</v>
      </c>
      <c r="L545" s="12" t="s">
        <v>77</v>
      </c>
      <c r="M545" s="12">
        <v>4</v>
      </c>
      <c r="N545" s="14">
        <v>1443.79</v>
      </c>
      <c r="O545" s="15">
        <v>0.05</v>
      </c>
      <c r="P545" s="14">
        <v>5486.4</v>
      </c>
      <c r="Q545" s="14">
        <v>2896.53</v>
      </c>
      <c r="R545" s="14">
        <v>2589.87</v>
      </c>
      <c r="S545" s="12" t="s">
        <v>33</v>
      </c>
      <c r="T545" s="12" t="s">
        <v>34</v>
      </c>
      <c r="U545" s="12">
        <v>3</v>
      </c>
      <c r="V545" s="12" t="s">
        <v>116</v>
      </c>
    </row>
    <row r="546" spans="1:22" x14ac:dyDescent="0.3">
      <c r="A546" s="8" t="s">
        <v>1058</v>
      </c>
      <c r="B546" s="9">
        <v>45756</v>
      </c>
      <c r="C546" s="8" t="s">
        <v>86</v>
      </c>
      <c r="D546" s="8" t="s">
        <v>87</v>
      </c>
      <c r="E546" s="8" t="s">
        <v>59</v>
      </c>
      <c r="F546" s="8" t="s">
        <v>1059</v>
      </c>
      <c r="G546" s="8" t="s">
        <v>27</v>
      </c>
      <c r="H546" s="8" t="s">
        <v>42</v>
      </c>
      <c r="I546" s="8" t="s">
        <v>61</v>
      </c>
      <c r="J546" s="8" t="s">
        <v>101</v>
      </c>
      <c r="K546" s="8" t="s">
        <v>110</v>
      </c>
      <c r="L546" s="8" t="s">
        <v>52</v>
      </c>
      <c r="M546" s="8">
        <v>5</v>
      </c>
      <c r="N546" s="10">
        <v>5112.2</v>
      </c>
      <c r="O546" s="11">
        <v>0.25</v>
      </c>
      <c r="P546" s="10">
        <v>19170.75</v>
      </c>
      <c r="Q546" s="10">
        <v>15711.5</v>
      </c>
      <c r="R546" s="10">
        <v>3459.25</v>
      </c>
      <c r="S546" s="8" t="s">
        <v>63</v>
      </c>
      <c r="T546" s="8" t="s">
        <v>34</v>
      </c>
      <c r="U546" s="8">
        <v>4</v>
      </c>
      <c r="V546" s="8" t="s">
        <v>96</v>
      </c>
    </row>
    <row r="547" spans="1:22" x14ac:dyDescent="0.3">
      <c r="A547" s="12" t="s">
        <v>1060</v>
      </c>
      <c r="B547" s="13">
        <v>45918</v>
      </c>
      <c r="C547" s="12" t="s">
        <v>23</v>
      </c>
      <c r="D547" s="12" t="s">
        <v>24</v>
      </c>
      <c r="E547" s="12" t="s">
        <v>25</v>
      </c>
      <c r="F547" s="12" t="s">
        <v>1061</v>
      </c>
      <c r="G547" s="12" t="s">
        <v>41</v>
      </c>
      <c r="H547" s="12" t="s">
        <v>81</v>
      </c>
      <c r="I547" s="12" t="s">
        <v>29</v>
      </c>
      <c r="J547" s="12" t="s">
        <v>101</v>
      </c>
      <c r="K547" s="12" t="s">
        <v>217</v>
      </c>
      <c r="L547" s="12" t="s">
        <v>52</v>
      </c>
      <c r="M547" s="12">
        <v>1</v>
      </c>
      <c r="N547" s="14">
        <v>3058.54</v>
      </c>
      <c r="O547" s="15">
        <v>0.2</v>
      </c>
      <c r="P547" s="14">
        <v>2446.83</v>
      </c>
      <c r="Q547" s="14">
        <v>1643.84</v>
      </c>
      <c r="R547" s="14">
        <v>802.99</v>
      </c>
      <c r="S547" s="12" t="s">
        <v>63</v>
      </c>
      <c r="T547" s="12" t="s">
        <v>147</v>
      </c>
      <c r="U547" s="12">
        <v>5</v>
      </c>
      <c r="V547" s="12" t="s">
        <v>116</v>
      </c>
    </row>
    <row r="548" spans="1:22" x14ac:dyDescent="0.3">
      <c r="A548" s="8" t="s">
        <v>1062</v>
      </c>
      <c r="B548" s="9">
        <v>45770</v>
      </c>
      <c r="C548" s="8" t="s">
        <v>98</v>
      </c>
      <c r="D548" s="8" t="s">
        <v>99</v>
      </c>
      <c r="E548" s="8" t="s">
        <v>25</v>
      </c>
      <c r="F548" s="8" t="s">
        <v>1063</v>
      </c>
      <c r="G548" s="8" t="s">
        <v>41</v>
      </c>
      <c r="H548" s="8" t="s">
        <v>28</v>
      </c>
      <c r="I548" s="8" t="s">
        <v>61</v>
      </c>
      <c r="J548" s="8" t="s">
        <v>69</v>
      </c>
      <c r="K548" s="8" t="s">
        <v>137</v>
      </c>
      <c r="L548" s="8" t="s">
        <v>175</v>
      </c>
      <c r="M548" s="8">
        <v>4</v>
      </c>
      <c r="N548" s="10">
        <v>492.45</v>
      </c>
      <c r="O548" s="11">
        <v>0</v>
      </c>
      <c r="P548" s="10">
        <v>1969.8</v>
      </c>
      <c r="Q548" s="10">
        <v>870.86</v>
      </c>
      <c r="R548" s="10">
        <v>1098.94</v>
      </c>
      <c r="S548" s="8" t="s">
        <v>46</v>
      </c>
      <c r="T548" s="8" t="s">
        <v>147</v>
      </c>
      <c r="U548" s="8">
        <v>5</v>
      </c>
      <c r="V548" s="8" t="s">
        <v>96</v>
      </c>
    </row>
    <row r="549" spans="1:22" x14ac:dyDescent="0.3">
      <c r="A549" s="12" t="s">
        <v>1064</v>
      </c>
      <c r="B549" s="13">
        <v>45774</v>
      </c>
      <c r="C549" s="12" t="s">
        <v>113</v>
      </c>
      <c r="D549" s="12" t="s">
        <v>114</v>
      </c>
      <c r="E549" s="12" t="s">
        <v>59</v>
      </c>
      <c r="F549" s="12" t="s">
        <v>1065</v>
      </c>
      <c r="G549" s="12" t="s">
        <v>27</v>
      </c>
      <c r="H549" s="12" t="s">
        <v>81</v>
      </c>
      <c r="I549" s="12" t="s">
        <v>68</v>
      </c>
      <c r="J549" s="12" t="s">
        <v>75</v>
      </c>
      <c r="K549" s="12" t="s">
        <v>76</v>
      </c>
      <c r="L549" s="12" t="s">
        <v>91</v>
      </c>
      <c r="M549" s="12">
        <v>2</v>
      </c>
      <c r="N549" s="14">
        <v>767.73</v>
      </c>
      <c r="O549" s="15">
        <v>0.2</v>
      </c>
      <c r="P549" s="14">
        <v>1228.3699999999999</v>
      </c>
      <c r="Q549" s="14">
        <v>684.01</v>
      </c>
      <c r="R549" s="14">
        <v>544.36</v>
      </c>
      <c r="S549" s="12" t="s">
        <v>83</v>
      </c>
      <c r="T549" s="12" t="s">
        <v>54</v>
      </c>
      <c r="U549" s="12">
        <v>5</v>
      </c>
      <c r="V549" s="12" t="s">
        <v>96</v>
      </c>
    </row>
    <row r="550" spans="1:22" x14ac:dyDescent="0.3">
      <c r="A550" s="8" t="s">
        <v>1066</v>
      </c>
      <c r="B550" s="9">
        <v>45930</v>
      </c>
      <c r="C550" s="8" t="s">
        <v>113</v>
      </c>
      <c r="D550" s="8" t="s">
        <v>114</v>
      </c>
      <c r="E550" s="8" t="s">
        <v>59</v>
      </c>
      <c r="F550" s="8" t="s">
        <v>1067</v>
      </c>
      <c r="G550" s="8" t="s">
        <v>41</v>
      </c>
      <c r="H550" s="8" t="s">
        <v>94</v>
      </c>
      <c r="I550" s="8" t="s">
        <v>29</v>
      </c>
      <c r="J550" s="8" t="s">
        <v>101</v>
      </c>
      <c r="K550" s="8" t="s">
        <v>102</v>
      </c>
      <c r="L550" s="8" t="s">
        <v>103</v>
      </c>
      <c r="M550" s="8">
        <v>5</v>
      </c>
      <c r="N550" s="10">
        <v>688.35</v>
      </c>
      <c r="O550" s="11">
        <v>0.2</v>
      </c>
      <c r="P550" s="10">
        <v>2753.4</v>
      </c>
      <c r="Q550" s="10">
        <v>1274.23</v>
      </c>
      <c r="R550" s="10">
        <v>1479.17</v>
      </c>
      <c r="S550" s="8" t="s">
        <v>53</v>
      </c>
      <c r="T550" s="8" t="s">
        <v>156</v>
      </c>
      <c r="U550" s="8">
        <v>5</v>
      </c>
      <c r="V550" s="8" t="s">
        <v>116</v>
      </c>
    </row>
    <row r="551" spans="1:22" x14ac:dyDescent="0.3">
      <c r="A551" s="12" t="s">
        <v>1068</v>
      </c>
      <c r="B551" s="13">
        <v>45773</v>
      </c>
      <c r="C551" s="12" t="s">
        <v>98</v>
      </c>
      <c r="D551" s="12" t="s">
        <v>99</v>
      </c>
      <c r="E551" s="12" t="s">
        <v>25</v>
      </c>
      <c r="F551" s="12" t="s">
        <v>1069</v>
      </c>
      <c r="G551" s="12" t="s">
        <v>27</v>
      </c>
      <c r="H551" s="12" t="s">
        <v>94</v>
      </c>
      <c r="I551" s="12" t="s">
        <v>68</v>
      </c>
      <c r="J551" s="12" t="s">
        <v>89</v>
      </c>
      <c r="K551" s="12" t="s">
        <v>90</v>
      </c>
      <c r="L551" s="12" t="s">
        <v>32</v>
      </c>
      <c r="M551" s="12">
        <v>3</v>
      </c>
      <c r="N551" s="14">
        <v>3350.86</v>
      </c>
      <c r="O551" s="15">
        <v>0.25</v>
      </c>
      <c r="P551" s="14">
        <v>7539.43</v>
      </c>
      <c r="Q551" s="14">
        <v>6477.56</v>
      </c>
      <c r="R551" s="14">
        <v>1061.8699999999999</v>
      </c>
      <c r="S551" s="12" t="s">
        <v>46</v>
      </c>
      <c r="T551" s="12" t="s">
        <v>111</v>
      </c>
      <c r="U551" s="12">
        <v>5</v>
      </c>
      <c r="V551" s="12" t="s">
        <v>96</v>
      </c>
    </row>
    <row r="552" spans="1:22" x14ac:dyDescent="0.3">
      <c r="A552" s="8" t="s">
        <v>1070</v>
      </c>
      <c r="B552" s="9">
        <v>45963</v>
      </c>
      <c r="C552" s="8" t="s">
        <v>37</v>
      </c>
      <c r="D552" s="8" t="s">
        <v>38</v>
      </c>
      <c r="E552" s="8" t="s">
        <v>39</v>
      </c>
      <c r="F552" s="8" t="s">
        <v>1071</v>
      </c>
      <c r="G552" s="8" t="s">
        <v>27</v>
      </c>
      <c r="H552" s="8" t="s">
        <v>94</v>
      </c>
      <c r="I552" s="8" t="s">
        <v>29</v>
      </c>
      <c r="J552" s="8" t="s">
        <v>75</v>
      </c>
      <c r="K552" s="8" t="s">
        <v>154</v>
      </c>
      <c r="L552" s="8" t="s">
        <v>103</v>
      </c>
      <c r="M552" s="8">
        <v>5</v>
      </c>
      <c r="N552" s="10">
        <v>2038.82</v>
      </c>
      <c r="O552" s="11">
        <v>0.15</v>
      </c>
      <c r="P552" s="10">
        <v>8664.99</v>
      </c>
      <c r="Q552" s="10">
        <v>5684.76</v>
      </c>
      <c r="R552" s="10">
        <v>2980.23</v>
      </c>
      <c r="S552" s="8" t="s">
        <v>63</v>
      </c>
      <c r="T552" s="8" t="s">
        <v>119</v>
      </c>
      <c r="U552" s="8">
        <v>4</v>
      </c>
      <c r="V552" s="8" t="s">
        <v>65</v>
      </c>
    </row>
    <row r="553" spans="1:22" x14ac:dyDescent="0.3">
      <c r="A553" s="12" t="s">
        <v>1072</v>
      </c>
      <c r="B553" s="13">
        <v>45850</v>
      </c>
      <c r="C553" s="12" t="s">
        <v>125</v>
      </c>
      <c r="D553" s="12" t="s">
        <v>126</v>
      </c>
      <c r="E553" s="12" t="s">
        <v>25</v>
      </c>
      <c r="F553" s="12" t="s">
        <v>596</v>
      </c>
      <c r="G553" s="12" t="s">
        <v>27</v>
      </c>
      <c r="H553" s="12" t="s">
        <v>28</v>
      </c>
      <c r="I553" s="12" t="s">
        <v>68</v>
      </c>
      <c r="J553" s="12" t="s">
        <v>43</v>
      </c>
      <c r="K553" s="12" t="s">
        <v>44</v>
      </c>
      <c r="L553" s="12" t="s">
        <v>91</v>
      </c>
      <c r="M553" s="12">
        <v>4</v>
      </c>
      <c r="N553" s="14">
        <v>621.23</v>
      </c>
      <c r="O553" s="15">
        <v>0.3</v>
      </c>
      <c r="P553" s="14">
        <v>1739.44</v>
      </c>
      <c r="Q553" s="14">
        <v>1049.01</v>
      </c>
      <c r="R553" s="14">
        <v>690.43</v>
      </c>
      <c r="S553" s="12" t="s">
        <v>33</v>
      </c>
      <c r="T553" s="12" t="s">
        <v>78</v>
      </c>
      <c r="U553" s="12">
        <v>3</v>
      </c>
      <c r="V553" s="12" t="s">
        <v>120</v>
      </c>
    </row>
    <row r="554" spans="1:22" x14ac:dyDescent="0.3">
      <c r="A554" s="8" t="s">
        <v>1073</v>
      </c>
      <c r="B554" s="9">
        <v>45799</v>
      </c>
      <c r="C554" s="8" t="s">
        <v>37</v>
      </c>
      <c r="D554" s="8" t="s">
        <v>38</v>
      </c>
      <c r="E554" s="8" t="s">
        <v>39</v>
      </c>
      <c r="F554" s="8" t="s">
        <v>1074</v>
      </c>
      <c r="G554" s="8" t="s">
        <v>27</v>
      </c>
      <c r="H554" s="8" t="s">
        <v>81</v>
      </c>
      <c r="I554" s="8" t="s">
        <v>61</v>
      </c>
      <c r="J554" s="8" t="s">
        <v>30</v>
      </c>
      <c r="K554" s="8" t="s">
        <v>144</v>
      </c>
      <c r="L554" s="8" t="s">
        <v>32</v>
      </c>
      <c r="M554" s="8">
        <v>2</v>
      </c>
      <c r="N554" s="10">
        <v>2498.35</v>
      </c>
      <c r="O554" s="11">
        <v>0.15</v>
      </c>
      <c r="P554" s="10">
        <v>4247.1899999999996</v>
      </c>
      <c r="Q554" s="10">
        <v>2972.86</v>
      </c>
      <c r="R554" s="10">
        <v>1274.33</v>
      </c>
      <c r="S554" s="8" t="s">
        <v>53</v>
      </c>
      <c r="T554" s="8" t="s">
        <v>111</v>
      </c>
      <c r="U554" s="8">
        <v>5</v>
      </c>
      <c r="V554" s="8" t="s">
        <v>134</v>
      </c>
    </row>
    <row r="555" spans="1:22" x14ac:dyDescent="0.3">
      <c r="A555" s="12" t="s">
        <v>1075</v>
      </c>
      <c r="B555" s="13">
        <v>45991</v>
      </c>
      <c r="C555" s="12" t="s">
        <v>86</v>
      </c>
      <c r="D555" s="12" t="s">
        <v>87</v>
      </c>
      <c r="E555" s="12" t="s">
        <v>59</v>
      </c>
      <c r="F555" s="12" t="s">
        <v>640</v>
      </c>
      <c r="G555" s="12" t="s">
        <v>41</v>
      </c>
      <c r="H555" s="12" t="s">
        <v>42</v>
      </c>
      <c r="I555" s="12" t="s">
        <v>29</v>
      </c>
      <c r="J555" s="12" t="s">
        <v>69</v>
      </c>
      <c r="K555" s="12" t="s">
        <v>70</v>
      </c>
      <c r="L555" s="12" t="s">
        <v>32</v>
      </c>
      <c r="M555" s="12">
        <v>1</v>
      </c>
      <c r="N555" s="14">
        <v>857.26</v>
      </c>
      <c r="O555" s="15">
        <v>0.1</v>
      </c>
      <c r="P555" s="14">
        <v>771.53</v>
      </c>
      <c r="Q555" s="14">
        <v>446.1</v>
      </c>
      <c r="R555" s="14">
        <v>325.43</v>
      </c>
      <c r="S555" s="12" t="s">
        <v>33</v>
      </c>
      <c r="T555" s="12" t="s">
        <v>119</v>
      </c>
      <c r="U555" s="12">
        <v>5</v>
      </c>
      <c r="V555" s="12" t="s">
        <v>65</v>
      </c>
    </row>
    <row r="556" spans="1:22" x14ac:dyDescent="0.3">
      <c r="A556" s="8" t="s">
        <v>1076</v>
      </c>
      <c r="B556" s="9">
        <v>45967</v>
      </c>
      <c r="C556" s="8" t="s">
        <v>107</v>
      </c>
      <c r="D556" s="8" t="s">
        <v>108</v>
      </c>
      <c r="E556" s="8" t="s">
        <v>39</v>
      </c>
      <c r="F556" s="8" t="s">
        <v>1077</v>
      </c>
      <c r="G556" s="8" t="s">
        <v>41</v>
      </c>
      <c r="H556" s="8" t="s">
        <v>42</v>
      </c>
      <c r="I556" s="8" t="s">
        <v>61</v>
      </c>
      <c r="J556" s="8" t="s">
        <v>43</v>
      </c>
      <c r="K556" s="8" t="s">
        <v>162</v>
      </c>
      <c r="L556" s="8" t="s">
        <v>52</v>
      </c>
      <c r="M556" s="8">
        <v>4</v>
      </c>
      <c r="N556" s="10">
        <v>941.96</v>
      </c>
      <c r="O556" s="11">
        <v>0.1</v>
      </c>
      <c r="P556" s="10">
        <v>3391.06</v>
      </c>
      <c r="Q556" s="10">
        <v>1613.35</v>
      </c>
      <c r="R556" s="10">
        <v>1777.71</v>
      </c>
      <c r="S556" s="8" t="s">
        <v>63</v>
      </c>
      <c r="T556" s="8" t="s">
        <v>71</v>
      </c>
      <c r="U556" s="8">
        <v>3</v>
      </c>
      <c r="V556" s="8" t="s">
        <v>65</v>
      </c>
    </row>
    <row r="557" spans="1:22" x14ac:dyDescent="0.3">
      <c r="A557" s="12" t="s">
        <v>1078</v>
      </c>
      <c r="B557" s="13">
        <v>45691</v>
      </c>
      <c r="C557" s="12" t="s">
        <v>125</v>
      </c>
      <c r="D557" s="12" t="s">
        <v>126</v>
      </c>
      <c r="E557" s="12" t="s">
        <v>25</v>
      </c>
      <c r="F557" s="12" t="s">
        <v>998</v>
      </c>
      <c r="G557" s="12" t="s">
        <v>27</v>
      </c>
      <c r="H557" s="12" t="s">
        <v>94</v>
      </c>
      <c r="I557" s="12" t="s">
        <v>61</v>
      </c>
      <c r="J557" s="12" t="s">
        <v>30</v>
      </c>
      <c r="K557" s="12" t="s">
        <v>62</v>
      </c>
      <c r="L557" s="12" t="s">
        <v>175</v>
      </c>
      <c r="M557" s="12">
        <v>1</v>
      </c>
      <c r="N557" s="14">
        <v>959.4</v>
      </c>
      <c r="O557" s="15">
        <v>0.2</v>
      </c>
      <c r="P557" s="14">
        <v>767.52</v>
      </c>
      <c r="Q557" s="14">
        <v>453.31</v>
      </c>
      <c r="R557" s="14">
        <v>314.20999999999998</v>
      </c>
      <c r="S557" s="12" t="s">
        <v>46</v>
      </c>
      <c r="T557" s="12" t="s">
        <v>54</v>
      </c>
      <c r="U557" s="12">
        <v>4</v>
      </c>
      <c r="V557" s="12" t="s">
        <v>105</v>
      </c>
    </row>
    <row r="558" spans="1:22" x14ac:dyDescent="0.3">
      <c r="A558" s="8" t="s">
        <v>1079</v>
      </c>
      <c r="B558" s="9">
        <v>45859</v>
      </c>
      <c r="C558" s="8" t="s">
        <v>23</v>
      </c>
      <c r="D558" s="8" t="s">
        <v>24</v>
      </c>
      <c r="E558" s="8" t="s">
        <v>25</v>
      </c>
      <c r="F558" s="8" t="s">
        <v>1080</v>
      </c>
      <c r="G558" s="8" t="s">
        <v>41</v>
      </c>
      <c r="H558" s="8" t="s">
        <v>28</v>
      </c>
      <c r="I558" s="8" t="s">
        <v>29</v>
      </c>
      <c r="J558" s="8" t="s">
        <v>69</v>
      </c>
      <c r="K558" s="8" t="s">
        <v>137</v>
      </c>
      <c r="L558" s="8" t="s">
        <v>77</v>
      </c>
      <c r="M558" s="8">
        <v>4</v>
      </c>
      <c r="N558" s="10">
        <v>508.77</v>
      </c>
      <c r="O558" s="11">
        <v>0.3</v>
      </c>
      <c r="P558" s="10">
        <v>1424.56</v>
      </c>
      <c r="Q558" s="10">
        <v>874.88</v>
      </c>
      <c r="R558" s="10">
        <v>549.67999999999995</v>
      </c>
      <c r="S558" s="8" t="s">
        <v>46</v>
      </c>
      <c r="T558" s="8" t="s">
        <v>34</v>
      </c>
      <c r="U558" s="8">
        <v>4</v>
      </c>
      <c r="V558" s="8" t="s">
        <v>120</v>
      </c>
    </row>
    <row r="559" spans="1:22" x14ac:dyDescent="0.3">
      <c r="A559" s="12" t="s">
        <v>1081</v>
      </c>
      <c r="B559" s="13">
        <v>45966</v>
      </c>
      <c r="C559" s="12" t="s">
        <v>37</v>
      </c>
      <c r="D559" s="12" t="s">
        <v>38</v>
      </c>
      <c r="E559" s="12" t="s">
        <v>39</v>
      </c>
      <c r="F559" s="12" t="s">
        <v>1082</v>
      </c>
      <c r="G559" s="12" t="s">
        <v>27</v>
      </c>
      <c r="H559" s="12" t="s">
        <v>94</v>
      </c>
      <c r="I559" s="12" t="s">
        <v>68</v>
      </c>
      <c r="J559" s="12" t="s">
        <v>69</v>
      </c>
      <c r="K559" s="12" t="s">
        <v>137</v>
      </c>
      <c r="L559" s="12" t="s">
        <v>77</v>
      </c>
      <c r="M559" s="12">
        <v>3</v>
      </c>
      <c r="N559" s="14">
        <v>496.53</v>
      </c>
      <c r="O559" s="15">
        <v>0.2</v>
      </c>
      <c r="P559" s="14">
        <v>1191.67</v>
      </c>
      <c r="Q559" s="14">
        <v>632.65</v>
      </c>
      <c r="R559" s="14">
        <v>559.02</v>
      </c>
      <c r="S559" s="12" t="s">
        <v>46</v>
      </c>
      <c r="T559" s="12" t="s">
        <v>147</v>
      </c>
      <c r="U559" s="12">
        <v>4</v>
      </c>
      <c r="V559" s="12" t="s">
        <v>65</v>
      </c>
    </row>
    <row r="560" spans="1:22" x14ac:dyDescent="0.3">
      <c r="A560" s="8" t="s">
        <v>1083</v>
      </c>
      <c r="B560" s="9">
        <v>45981</v>
      </c>
      <c r="C560" s="8" t="s">
        <v>57</v>
      </c>
      <c r="D560" s="8" t="s">
        <v>58</v>
      </c>
      <c r="E560" s="8" t="s">
        <v>59</v>
      </c>
      <c r="F560" s="8" t="s">
        <v>1084</v>
      </c>
      <c r="G560" s="8" t="s">
        <v>27</v>
      </c>
      <c r="H560" s="8" t="s">
        <v>42</v>
      </c>
      <c r="I560" s="8" t="s">
        <v>61</v>
      </c>
      <c r="J560" s="8" t="s">
        <v>69</v>
      </c>
      <c r="K560" s="8" t="s">
        <v>137</v>
      </c>
      <c r="L560" s="8" t="s">
        <v>91</v>
      </c>
      <c r="M560" s="8">
        <v>4</v>
      </c>
      <c r="N560" s="10">
        <v>512.61</v>
      </c>
      <c r="O560" s="11">
        <v>0.05</v>
      </c>
      <c r="P560" s="10">
        <v>1947.92</v>
      </c>
      <c r="Q560" s="10">
        <v>875.07</v>
      </c>
      <c r="R560" s="10">
        <v>1072.8499999999999</v>
      </c>
      <c r="S560" s="8" t="s">
        <v>53</v>
      </c>
      <c r="T560" s="8" t="s">
        <v>34</v>
      </c>
      <c r="U560" s="8">
        <v>4</v>
      </c>
      <c r="V560" s="8" t="s">
        <v>65</v>
      </c>
    </row>
    <row r="561" spans="1:22" x14ac:dyDescent="0.3">
      <c r="A561" s="12" t="s">
        <v>1085</v>
      </c>
      <c r="B561" s="13">
        <v>45843</v>
      </c>
      <c r="C561" s="12" t="s">
        <v>131</v>
      </c>
      <c r="D561" s="12" t="s">
        <v>132</v>
      </c>
      <c r="E561" s="12" t="s">
        <v>25</v>
      </c>
      <c r="F561" s="12" t="s">
        <v>1086</v>
      </c>
      <c r="G561" s="12" t="s">
        <v>27</v>
      </c>
      <c r="H561" s="12" t="s">
        <v>81</v>
      </c>
      <c r="I561" s="12" t="s">
        <v>68</v>
      </c>
      <c r="J561" s="12" t="s">
        <v>101</v>
      </c>
      <c r="K561" s="12" t="s">
        <v>217</v>
      </c>
      <c r="L561" s="12" t="s">
        <v>52</v>
      </c>
      <c r="M561" s="12">
        <v>3</v>
      </c>
      <c r="N561" s="14">
        <v>2953.2</v>
      </c>
      <c r="O561" s="15">
        <v>0.15</v>
      </c>
      <c r="P561" s="14">
        <v>7530.66</v>
      </c>
      <c r="Q561" s="14">
        <v>5155.66</v>
      </c>
      <c r="R561" s="14">
        <v>2375</v>
      </c>
      <c r="S561" s="12" t="s">
        <v>63</v>
      </c>
      <c r="T561" s="12" t="s">
        <v>34</v>
      </c>
      <c r="U561" s="12">
        <v>5</v>
      </c>
      <c r="V561" s="12" t="s">
        <v>120</v>
      </c>
    </row>
    <row r="562" spans="1:22" x14ac:dyDescent="0.3">
      <c r="A562" s="8" t="s">
        <v>1087</v>
      </c>
      <c r="B562" s="9">
        <v>45709</v>
      </c>
      <c r="C562" s="8" t="s">
        <v>125</v>
      </c>
      <c r="D562" s="8" t="s">
        <v>126</v>
      </c>
      <c r="E562" s="8" t="s">
        <v>25</v>
      </c>
      <c r="F562" s="8" t="s">
        <v>1088</v>
      </c>
      <c r="G562" s="8" t="s">
        <v>27</v>
      </c>
      <c r="H562" s="8" t="s">
        <v>81</v>
      </c>
      <c r="I562" s="8" t="s">
        <v>61</v>
      </c>
      <c r="J562" s="8" t="s">
        <v>89</v>
      </c>
      <c r="K562" s="8" t="s">
        <v>90</v>
      </c>
      <c r="L562" s="8" t="s">
        <v>175</v>
      </c>
      <c r="M562" s="8">
        <v>1</v>
      </c>
      <c r="N562" s="10">
        <v>3673.15</v>
      </c>
      <c r="O562" s="11">
        <v>0.25</v>
      </c>
      <c r="P562" s="10">
        <v>2754.86</v>
      </c>
      <c r="Q562" s="10">
        <v>2048.67</v>
      </c>
      <c r="R562" s="10">
        <v>706.19</v>
      </c>
      <c r="S562" s="8" t="s">
        <v>33</v>
      </c>
      <c r="T562" s="8" t="s">
        <v>34</v>
      </c>
      <c r="U562" s="8">
        <v>5</v>
      </c>
      <c r="V562" s="8" t="s">
        <v>105</v>
      </c>
    </row>
    <row r="563" spans="1:22" x14ac:dyDescent="0.3">
      <c r="A563" s="12" t="s">
        <v>1089</v>
      </c>
      <c r="B563" s="13">
        <v>45995</v>
      </c>
      <c r="C563" s="12" t="s">
        <v>98</v>
      </c>
      <c r="D563" s="12" t="s">
        <v>99</v>
      </c>
      <c r="E563" s="12" t="s">
        <v>25</v>
      </c>
      <c r="F563" s="12" t="s">
        <v>1090</v>
      </c>
      <c r="G563" s="12" t="s">
        <v>41</v>
      </c>
      <c r="H563" s="12" t="s">
        <v>94</v>
      </c>
      <c r="I563" s="12" t="s">
        <v>29</v>
      </c>
      <c r="J563" s="12" t="s">
        <v>101</v>
      </c>
      <c r="K563" s="12" t="s">
        <v>217</v>
      </c>
      <c r="L563" s="12" t="s">
        <v>52</v>
      </c>
      <c r="M563" s="12">
        <v>2</v>
      </c>
      <c r="N563" s="14">
        <v>3103.73</v>
      </c>
      <c r="O563" s="15">
        <v>0.25</v>
      </c>
      <c r="P563" s="14">
        <v>4655.6000000000004</v>
      </c>
      <c r="Q563" s="14">
        <v>3320.01</v>
      </c>
      <c r="R563" s="14">
        <v>1335.59</v>
      </c>
      <c r="S563" s="12" t="s">
        <v>46</v>
      </c>
      <c r="T563" s="12" t="s">
        <v>64</v>
      </c>
      <c r="U563" s="12">
        <v>3</v>
      </c>
      <c r="V563" s="12" t="s">
        <v>35</v>
      </c>
    </row>
    <row r="564" spans="1:22" x14ac:dyDescent="0.3">
      <c r="A564" s="8" t="s">
        <v>1091</v>
      </c>
      <c r="B564" s="9">
        <v>45813</v>
      </c>
      <c r="C564" s="8" t="s">
        <v>37</v>
      </c>
      <c r="D564" s="8" t="s">
        <v>38</v>
      </c>
      <c r="E564" s="8" t="s">
        <v>39</v>
      </c>
      <c r="F564" s="8" t="s">
        <v>1092</v>
      </c>
      <c r="G564" s="8" t="s">
        <v>41</v>
      </c>
      <c r="H564" s="8" t="s">
        <v>28</v>
      </c>
      <c r="I564" s="8" t="s">
        <v>68</v>
      </c>
      <c r="J564" s="8" t="s">
        <v>30</v>
      </c>
      <c r="K564" s="8" t="s">
        <v>62</v>
      </c>
      <c r="L564" s="8" t="s">
        <v>77</v>
      </c>
      <c r="M564" s="8">
        <v>1</v>
      </c>
      <c r="N564" s="10">
        <v>1009.87</v>
      </c>
      <c r="O564" s="11">
        <v>0.15</v>
      </c>
      <c r="P564" s="10">
        <v>858.39</v>
      </c>
      <c r="Q564" s="10">
        <v>456.7</v>
      </c>
      <c r="R564" s="10">
        <v>401.69</v>
      </c>
      <c r="S564" s="8" t="s">
        <v>63</v>
      </c>
      <c r="T564" s="8" t="s">
        <v>147</v>
      </c>
      <c r="U564" s="8">
        <v>3</v>
      </c>
      <c r="V564" s="8" t="s">
        <v>157</v>
      </c>
    </row>
    <row r="565" spans="1:22" x14ac:dyDescent="0.3">
      <c r="A565" s="12" t="s">
        <v>1093</v>
      </c>
      <c r="B565" s="13">
        <v>45808</v>
      </c>
      <c r="C565" s="12" t="s">
        <v>23</v>
      </c>
      <c r="D565" s="12" t="s">
        <v>24</v>
      </c>
      <c r="E565" s="12" t="s">
        <v>25</v>
      </c>
      <c r="F565" s="12" t="s">
        <v>1094</v>
      </c>
      <c r="G565" s="12" t="s">
        <v>27</v>
      </c>
      <c r="H565" s="12" t="s">
        <v>94</v>
      </c>
      <c r="I565" s="12" t="s">
        <v>68</v>
      </c>
      <c r="J565" s="12" t="s">
        <v>101</v>
      </c>
      <c r="K565" s="12" t="s">
        <v>102</v>
      </c>
      <c r="L565" s="12" t="s">
        <v>52</v>
      </c>
      <c r="M565" s="12">
        <v>2</v>
      </c>
      <c r="N565" s="14">
        <v>732.33</v>
      </c>
      <c r="O565" s="15">
        <v>0.15</v>
      </c>
      <c r="P565" s="14">
        <v>1244.96</v>
      </c>
      <c r="Q565" s="14">
        <v>481.01</v>
      </c>
      <c r="R565" s="14">
        <v>763.95</v>
      </c>
      <c r="S565" s="12" t="s">
        <v>83</v>
      </c>
      <c r="T565" s="12" t="s">
        <v>104</v>
      </c>
      <c r="U565" s="12">
        <v>5</v>
      </c>
      <c r="V565" s="12" t="s">
        <v>134</v>
      </c>
    </row>
    <row r="566" spans="1:22" x14ac:dyDescent="0.3">
      <c r="A566" s="8" t="s">
        <v>1095</v>
      </c>
      <c r="B566" s="9">
        <v>45813</v>
      </c>
      <c r="C566" s="8" t="s">
        <v>23</v>
      </c>
      <c r="D566" s="8" t="s">
        <v>24</v>
      </c>
      <c r="E566" s="8" t="s">
        <v>25</v>
      </c>
      <c r="F566" s="8" t="s">
        <v>1096</v>
      </c>
      <c r="G566" s="8" t="s">
        <v>27</v>
      </c>
      <c r="H566" s="8" t="s">
        <v>42</v>
      </c>
      <c r="I566" s="8" t="s">
        <v>68</v>
      </c>
      <c r="J566" s="8" t="s">
        <v>75</v>
      </c>
      <c r="K566" s="8" t="s">
        <v>95</v>
      </c>
      <c r="L566" s="8" t="s">
        <v>103</v>
      </c>
      <c r="M566" s="8">
        <v>5</v>
      </c>
      <c r="N566" s="10">
        <v>24883.88</v>
      </c>
      <c r="O566" s="11">
        <v>0.25</v>
      </c>
      <c r="P566" s="10">
        <v>93314.55</v>
      </c>
      <c r="Q566" s="10">
        <v>88022.13</v>
      </c>
      <c r="R566" s="10">
        <v>5292.42</v>
      </c>
      <c r="S566" s="8" t="s">
        <v>83</v>
      </c>
      <c r="T566" s="8" t="s">
        <v>104</v>
      </c>
      <c r="U566" s="8">
        <v>4</v>
      </c>
      <c r="V566" s="8" t="s">
        <v>157</v>
      </c>
    </row>
    <row r="567" spans="1:22" x14ac:dyDescent="0.3">
      <c r="A567" s="12" t="s">
        <v>1097</v>
      </c>
      <c r="B567" s="13">
        <v>45825</v>
      </c>
      <c r="C567" s="12" t="s">
        <v>98</v>
      </c>
      <c r="D567" s="12" t="s">
        <v>99</v>
      </c>
      <c r="E567" s="12" t="s">
        <v>25</v>
      </c>
      <c r="F567" s="12" t="s">
        <v>613</v>
      </c>
      <c r="G567" s="12" t="s">
        <v>27</v>
      </c>
      <c r="H567" s="12" t="s">
        <v>42</v>
      </c>
      <c r="I567" s="12" t="s">
        <v>29</v>
      </c>
      <c r="J567" s="12" t="s">
        <v>101</v>
      </c>
      <c r="K567" s="12" t="s">
        <v>102</v>
      </c>
      <c r="L567" s="12" t="s">
        <v>82</v>
      </c>
      <c r="M567" s="12">
        <v>2</v>
      </c>
      <c r="N567" s="14">
        <v>702.06</v>
      </c>
      <c r="O567" s="15">
        <v>0.25</v>
      </c>
      <c r="P567" s="14">
        <v>1053.0899999999999</v>
      </c>
      <c r="Q567" s="14">
        <v>486.24</v>
      </c>
      <c r="R567" s="14">
        <v>566.85</v>
      </c>
      <c r="S567" s="12" t="s">
        <v>83</v>
      </c>
      <c r="T567" s="12" t="s">
        <v>104</v>
      </c>
      <c r="U567" s="12">
        <v>5</v>
      </c>
      <c r="V567" s="12" t="s">
        <v>157</v>
      </c>
    </row>
    <row r="568" spans="1:22" x14ac:dyDescent="0.3">
      <c r="A568" s="8" t="s">
        <v>1098</v>
      </c>
      <c r="B568" s="9">
        <v>45796</v>
      </c>
      <c r="C568" s="8" t="s">
        <v>98</v>
      </c>
      <c r="D568" s="8" t="s">
        <v>99</v>
      </c>
      <c r="E568" s="8" t="s">
        <v>25</v>
      </c>
      <c r="F568" s="8" t="s">
        <v>1099</v>
      </c>
      <c r="G568" s="8" t="s">
        <v>41</v>
      </c>
      <c r="H568" s="8" t="s">
        <v>42</v>
      </c>
      <c r="I568" s="8" t="s">
        <v>29</v>
      </c>
      <c r="J568" s="8" t="s">
        <v>69</v>
      </c>
      <c r="K568" s="8" t="s">
        <v>70</v>
      </c>
      <c r="L568" s="8" t="s">
        <v>32</v>
      </c>
      <c r="M568" s="8">
        <v>1</v>
      </c>
      <c r="N568" s="10">
        <v>886.81</v>
      </c>
      <c r="O568" s="11">
        <v>0.1</v>
      </c>
      <c r="P568" s="10">
        <v>798.13</v>
      </c>
      <c r="Q568" s="10">
        <v>461.52</v>
      </c>
      <c r="R568" s="10">
        <v>336.61</v>
      </c>
      <c r="S568" s="8" t="s">
        <v>46</v>
      </c>
      <c r="T568" s="8" t="s">
        <v>156</v>
      </c>
      <c r="U568" s="8">
        <v>5</v>
      </c>
      <c r="V568" s="8" t="s">
        <v>134</v>
      </c>
    </row>
    <row r="569" spans="1:22" x14ac:dyDescent="0.3">
      <c r="A569" s="12" t="s">
        <v>1100</v>
      </c>
      <c r="B569" s="13">
        <v>45897</v>
      </c>
      <c r="C569" s="12" t="s">
        <v>23</v>
      </c>
      <c r="D569" s="12" t="s">
        <v>24</v>
      </c>
      <c r="E569" s="12" t="s">
        <v>25</v>
      </c>
      <c r="F569" s="12" t="s">
        <v>356</v>
      </c>
      <c r="G569" s="12" t="s">
        <v>27</v>
      </c>
      <c r="H569" s="12" t="s">
        <v>28</v>
      </c>
      <c r="I569" s="12" t="s">
        <v>29</v>
      </c>
      <c r="J569" s="12" t="s">
        <v>30</v>
      </c>
      <c r="K569" s="12" t="s">
        <v>62</v>
      </c>
      <c r="L569" s="12" t="s">
        <v>77</v>
      </c>
      <c r="M569" s="12">
        <v>1</v>
      </c>
      <c r="N569" s="14">
        <v>1004.62</v>
      </c>
      <c r="O569" s="15">
        <v>0.3</v>
      </c>
      <c r="P569" s="14">
        <v>703.23</v>
      </c>
      <c r="Q569" s="14">
        <v>448.42</v>
      </c>
      <c r="R569" s="14">
        <v>254.81</v>
      </c>
      <c r="S569" s="12" t="s">
        <v>53</v>
      </c>
      <c r="T569" s="12" t="s">
        <v>71</v>
      </c>
      <c r="U569" s="12">
        <v>3</v>
      </c>
      <c r="V569" s="12" t="s">
        <v>72</v>
      </c>
    </row>
    <row r="570" spans="1:22" x14ac:dyDescent="0.3">
      <c r="A570" s="8" t="s">
        <v>1101</v>
      </c>
      <c r="B570" s="9">
        <v>45798</v>
      </c>
      <c r="C570" s="8" t="s">
        <v>86</v>
      </c>
      <c r="D570" s="8" t="s">
        <v>87</v>
      </c>
      <c r="E570" s="8" t="s">
        <v>59</v>
      </c>
      <c r="F570" s="8" t="s">
        <v>1102</v>
      </c>
      <c r="G570" s="8" t="s">
        <v>27</v>
      </c>
      <c r="H570" s="8" t="s">
        <v>81</v>
      </c>
      <c r="I570" s="8" t="s">
        <v>29</v>
      </c>
      <c r="J570" s="8" t="s">
        <v>75</v>
      </c>
      <c r="K570" s="8" t="s">
        <v>154</v>
      </c>
      <c r="L570" s="8" t="s">
        <v>77</v>
      </c>
      <c r="M570" s="8">
        <v>1</v>
      </c>
      <c r="N570" s="10">
        <v>2040.25</v>
      </c>
      <c r="O570" s="11">
        <v>0.3</v>
      </c>
      <c r="P570" s="10">
        <v>1428.17</v>
      </c>
      <c r="Q570" s="10">
        <v>1065.68</v>
      </c>
      <c r="R570" s="10">
        <v>362.49</v>
      </c>
      <c r="S570" s="8" t="s">
        <v>46</v>
      </c>
      <c r="T570" s="8" t="s">
        <v>71</v>
      </c>
      <c r="U570" s="8">
        <v>5</v>
      </c>
      <c r="V570" s="8" t="s">
        <v>134</v>
      </c>
    </row>
    <row r="571" spans="1:22" x14ac:dyDescent="0.3">
      <c r="A571" s="12" t="s">
        <v>1103</v>
      </c>
      <c r="B571" s="13">
        <v>45970</v>
      </c>
      <c r="C571" s="12" t="s">
        <v>48</v>
      </c>
      <c r="D571" s="12" t="s">
        <v>49</v>
      </c>
      <c r="E571" s="12" t="s">
        <v>39</v>
      </c>
      <c r="F571" s="12" t="s">
        <v>269</v>
      </c>
      <c r="G571" s="12" t="s">
        <v>27</v>
      </c>
      <c r="H571" s="12" t="s">
        <v>81</v>
      </c>
      <c r="I571" s="12" t="s">
        <v>61</v>
      </c>
      <c r="J571" s="12" t="s">
        <v>30</v>
      </c>
      <c r="K571" s="12" t="s">
        <v>144</v>
      </c>
      <c r="L571" s="12" t="s">
        <v>32</v>
      </c>
      <c r="M571" s="12">
        <v>3</v>
      </c>
      <c r="N571" s="14">
        <v>2544.06</v>
      </c>
      <c r="O571" s="15">
        <v>0.25</v>
      </c>
      <c r="P571" s="14">
        <v>5724.14</v>
      </c>
      <c r="Q571" s="14">
        <v>4541.3100000000004</v>
      </c>
      <c r="R571" s="14">
        <v>1182.83</v>
      </c>
      <c r="S571" s="12" t="s">
        <v>63</v>
      </c>
      <c r="T571" s="12" t="s">
        <v>147</v>
      </c>
      <c r="U571" s="12">
        <v>3</v>
      </c>
      <c r="V571" s="12" t="s">
        <v>65</v>
      </c>
    </row>
    <row r="572" spans="1:22" x14ac:dyDescent="0.3">
      <c r="A572" s="8" t="s">
        <v>1104</v>
      </c>
      <c r="B572" s="9">
        <v>45839</v>
      </c>
      <c r="C572" s="8" t="s">
        <v>98</v>
      </c>
      <c r="D572" s="8" t="s">
        <v>99</v>
      </c>
      <c r="E572" s="8" t="s">
        <v>25</v>
      </c>
      <c r="F572" s="8" t="s">
        <v>1105</v>
      </c>
      <c r="G572" s="8" t="s">
        <v>27</v>
      </c>
      <c r="H572" s="8" t="s">
        <v>81</v>
      </c>
      <c r="I572" s="8" t="s">
        <v>61</v>
      </c>
      <c r="J572" s="8" t="s">
        <v>69</v>
      </c>
      <c r="K572" s="8" t="s">
        <v>180</v>
      </c>
      <c r="L572" s="8" t="s">
        <v>91</v>
      </c>
      <c r="M572" s="8">
        <v>3</v>
      </c>
      <c r="N572" s="10">
        <v>1513.5</v>
      </c>
      <c r="O572" s="11">
        <v>0.25</v>
      </c>
      <c r="P572" s="10">
        <v>3405.38</v>
      </c>
      <c r="Q572" s="10">
        <v>2536.7399999999998</v>
      </c>
      <c r="R572" s="10">
        <v>868.64</v>
      </c>
      <c r="S572" s="8" t="s">
        <v>53</v>
      </c>
      <c r="T572" s="8" t="s">
        <v>78</v>
      </c>
      <c r="U572" s="8">
        <v>5</v>
      </c>
      <c r="V572" s="8" t="s">
        <v>120</v>
      </c>
    </row>
    <row r="573" spans="1:22" x14ac:dyDescent="0.3">
      <c r="A573" s="12" t="s">
        <v>1106</v>
      </c>
      <c r="B573" s="13">
        <v>45674</v>
      </c>
      <c r="C573" s="12" t="s">
        <v>86</v>
      </c>
      <c r="D573" s="12" t="s">
        <v>87</v>
      </c>
      <c r="E573" s="12" t="s">
        <v>59</v>
      </c>
      <c r="F573" s="12" t="s">
        <v>1107</v>
      </c>
      <c r="G573" s="12" t="s">
        <v>27</v>
      </c>
      <c r="H573" s="12" t="s">
        <v>94</v>
      </c>
      <c r="I573" s="12" t="s">
        <v>29</v>
      </c>
      <c r="J573" s="12" t="s">
        <v>43</v>
      </c>
      <c r="K573" s="12" t="s">
        <v>51</v>
      </c>
      <c r="L573" s="12" t="s">
        <v>175</v>
      </c>
      <c r="M573" s="12">
        <v>2</v>
      </c>
      <c r="N573" s="14">
        <v>1469.67</v>
      </c>
      <c r="O573" s="15">
        <v>0.25</v>
      </c>
      <c r="P573" s="14">
        <v>2204.5100000000002</v>
      </c>
      <c r="Q573" s="14">
        <v>1377.51</v>
      </c>
      <c r="R573" s="14">
        <v>827</v>
      </c>
      <c r="S573" s="12" t="s">
        <v>46</v>
      </c>
      <c r="T573" s="12" t="s">
        <v>111</v>
      </c>
      <c r="U573" s="12">
        <v>3</v>
      </c>
      <c r="V573" s="12" t="s">
        <v>84</v>
      </c>
    </row>
    <row r="574" spans="1:22" x14ac:dyDescent="0.3">
      <c r="A574" s="8" t="s">
        <v>1108</v>
      </c>
      <c r="B574" s="9">
        <v>45918</v>
      </c>
      <c r="C574" s="8" t="s">
        <v>131</v>
      </c>
      <c r="D574" s="8" t="s">
        <v>132</v>
      </c>
      <c r="E574" s="8" t="s">
        <v>25</v>
      </c>
      <c r="F574" s="8" t="s">
        <v>712</v>
      </c>
      <c r="G574" s="8" t="s">
        <v>27</v>
      </c>
      <c r="H574" s="8" t="s">
        <v>28</v>
      </c>
      <c r="I574" s="8" t="s">
        <v>68</v>
      </c>
      <c r="J574" s="8" t="s">
        <v>101</v>
      </c>
      <c r="K574" s="8" t="s">
        <v>102</v>
      </c>
      <c r="L574" s="8" t="s">
        <v>91</v>
      </c>
      <c r="M574" s="8">
        <v>5</v>
      </c>
      <c r="N574" s="10">
        <v>700.25</v>
      </c>
      <c r="O574" s="11">
        <v>0.25</v>
      </c>
      <c r="P574" s="10">
        <v>2625.94</v>
      </c>
      <c r="Q574" s="10">
        <v>1264.6099999999999</v>
      </c>
      <c r="R574" s="10">
        <v>1361.33</v>
      </c>
      <c r="S574" s="8" t="s">
        <v>46</v>
      </c>
      <c r="T574" s="8" t="s">
        <v>64</v>
      </c>
      <c r="U574" s="8">
        <v>4</v>
      </c>
      <c r="V574" s="8" t="s">
        <v>116</v>
      </c>
    </row>
    <row r="575" spans="1:22" x14ac:dyDescent="0.3">
      <c r="A575" s="12" t="s">
        <v>1109</v>
      </c>
      <c r="B575" s="13">
        <v>45913</v>
      </c>
      <c r="C575" s="12" t="s">
        <v>131</v>
      </c>
      <c r="D575" s="12" t="s">
        <v>132</v>
      </c>
      <c r="E575" s="12" t="s">
        <v>25</v>
      </c>
      <c r="F575" s="12" t="s">
        <v>1033</v>
      </c>
      <c r="G575" s="12" t="s">
        <v>41</v>
      </c>
      <c r="H575" s="12" t="s">
        <v>94</v>
      </c>
      <c r="I575" s="12" t="s">
        <v>68</v>
      </c>
      <c r="J575" s="12" t="s">
        <v>101</v>
      </c>
      <c r="K575" s="12" t="s">
        <v>110</v>
      </c>
      <c r="L575" s="12" t="s">
        <v>103</v>
      </c>
      <c r="M575" s="12">
        <v>5</v>
      </c>
      <c r="N575" s="14">
        <v>5177.78</v>
      </c>
      <c r="O575" s="15">
        <v>0.2</v>
      </c>
      <c r="P575" s="14">
        <v>20711.12</v>
      </c>
      <c r="Q575" s="14">
        <v>15871.51</v>
      </c>
      <c r="R575" s="14">
        <v>4839.6099999999997</v>
      </c>
      <c r="S575" s="12" t="s">
        <v>46</v>
      </c>
      <c r="T575" s="12" t="s">
        <v>54</v>
      </c>
      <c r="U575" s="12">
        <v>4</v>
      </c>
      <c r="V575" s="12" t="s">
        <v>116</v>
      </c>
    </row>
    <row r="576" spans="1:22" x14ac:dyDescent="0.3">
      <c r="A576" s="8" t="s">
        <v>1110</v>
      </c>
      <c r="B576" s="9">
        <v>45704</v>
      </c>
      <c r="C576" s="8" t="s">
        <v>86</v>
      </c>
      <c r="D576" s="8" t="s">
        <v>87</v>
      </c>
      <c r="E576" s="8" t="s">
        <v>59</v>
      </c>
      <c r="F576" s="8" t="s">
        <v>1111</v>
      </c>
      <c r="G576" s="8" t="s">
        <v>27</v>
      </c>
      <c r="H576" s="8" t="s">
        <v>81</v>
      </c>
      <c r="I576" s="8" t="s">
        <v>29</v>
      </c>
      <c r="J576" s="8" t="s">
        <v>89</v>
      </c>
      <c r="K576" s="8" t="s">
        <v>90</v>
      </c>
      <c r="L576" s="8" t="s">
        <v>45</v>
      </c>
      <c r="M576" s="8">
        <v>5</v>
      </c>
      <c r="N576" s="10">
        <v>3532.74</v>
      </c>
      <c r="O576" s="11">
        <v>0.2</v>
      </c>
      <c r="P576" s="10">
        <v>14130.96</v>
      </c>
      <c r="Q576" s="10">
        <v>10256.040000000001</v>
      </c>
      <c r="R576" s="10">
        <v>3874.92</v>
      </c>
      <c r="S576" s="8" t="s">
        <v>53</v>
      </c>
      <c r="T576" s="8" t="s">
        <v>78</v>
      </c>
      <c r="U576" s="8">
        <v>5</v>
      </c>
      <c r="V576" s="8" t="s">
        <v>105</v>
      </c>
    </row>
    <row r="577" spans="1:22" x14ac:dyDescent="0.3">
      <c r="A577" s="12" t="s">
        <v>1112</v>
      </c>
      <c r="B577" s="13">
        <v>45803</v>
      </c>
      <c r="C577" s="12" t="s">
        <v>107</v>
      </c>
      <c r="D577" s="12" t="s">
        <v>108</v>
      </c>
      <c r="E577" s="12" t="s">
        <v>39</v>
      </c>
      <c r="F577" s="12" t="s">
        <v>422</v>
      </c>
      <c r="G577" s="12" t="s">
        <v>27</v>
      </c>
      <c r="H577" s="12" t="s">
        <v>81</v>
      </c>
      <c r="I577" s="12" t="s">
        <v>61</v>
      </c>
      <c r="J577" s="12" t="s">
        <v>30</v>
      </c>
      <c r="K577" s="12" t="s">
        <v>144</v>
      </c>
      <c r="L577" s="12" t="s">
        <v>45</v>
      </c>
      <c r="M577" s="12">
        <v>1</v>
      </c>
      <c r="N577" s="14">
        <v>2525.94</v>
      </c>
      <c r="O577" s="15">
        <v>0.15</v>
      </c>
      <c r="P577" s="14">
        <v>2147.0500000000002</v>
      </c>
      <c r="Q577" s="14">
        <v>1555.33</v>
      </c>
      <c r="R577" s="14">
        <v>591.72</v>
      </c>
      <c r="S577" s="12" t="s">
        <v>83</v>
      </c>
      <c r="T577" s="12" t="s">
        <v>104</v>
      </c>
      <c r="U577" s="12">
        <v>4</v>
      </c>
      <c r="V577" s="12" t="s">
        <v>134</v>
      </c>
    </row>
    <row r="578" spans="1:22" x14ac:dyDescent="0.3">
      <c r="A578" s="8" t="s">
        <v>1113</v>
      </c>
      <c r="B578" s="9">
        <v>45716</v>
      </c>
      <c r="C578" s="8" t="s">
        <v>98</v>
      </c>
      <c r="D578" s="8" t="s">
        <v>99</v>
      </c>
      <c r="E578" s="8" t="s">
        <v>25</v>
      </c>
      <c r="F578" s="8" t="s">
        <v>1114</v>
      </c>
      <c r="G578" s="8" t="s">
        <v>41</v>
      </c>
      <c r="H578" s="8" t="s">
        <v>28</v>
      </c>
      <c r="I578" s="8" t="s">
        <v>29</v>
      </c>
      <c r="J578" s="8" t="s">
        <v>43</v>
      </c>
      <c r="K578" s="8" t="s">
        <v>162</v>
      </c>
      <c r="L578" s="8" t="s">
        <v>32</v>
      </c>
      <c r="M578" s="8">
        <v>1</v>
      </c>
      <c r="N578" s="10">
        <v>859.76</v>
      </c>
      <c r="O578" s="11">
        <v>0.2</v>
      </c>
      <c r="P578" s="10">
        <v>687.81</v>
      </c>
      <c r="Q578" s="10">
        <v>384.21</v>
      </c>
      <c r="R578" s="10">
        <v>303.60000000000002</v>
      </c>
      <c r="S578" s="8" t="s">
        <v>46</v>
      </c>
      <c r="T578" s="8" t="s">
        <v>156</v>
      </c>
      <c r="U578" s="8">
        <v>4</v>
      </c>
      <c r="V578" s="8" t="s">
        <v>105</v>
      </c>
    </row>
    <row r="579" spans="1:22" x14ac:dyDescent="0.3">
      <c r="A579" s="12" t="s">
        <v>1115</v>
      </c>
      <c r="B579" s="13">
        <v>45743</v>
      </c>
      <c r="C579" s="12" t="s">
        <v>48</v>
      </c>
      <c r="D579" s="12" t="s">
        <v>49</v>
      </c>
      <c r="E579" s="12" t="s">
        <v>39</v>
      </c>
      <c r="F579" s="12" t="s">
        <v>275</v>
      </c>
      <c r="G579" s="12" t="s">
        <v>41</v>
      </c>
      <c r="H579" s="12" t="s">
        <v>28</v>
      </c>
      <c r="I579" s="12" t="s">
        <v>29</v>
      </c>
      <c r="J579" s="12" t="s">
        <v>43</v>
      </c>
      <c r="K579" s="12" t="s">
        <v>44</v>
      </c>
      <c r="L579" s="12" t="s">
        <v>52</v>
      </c>
      <c r="M579" s="12">
        <v>2</v>
      </c>
      <c r="N579" s="14">
        <v>584.54</v>
      </c>
      <c r="O579" s="15">
        <v>0</v>
      </c>
      <c r="P579" s="14">
        <v>1169.08</v>
      </c>
      <c r="Q579" s="14">
        <v>517.09</v>
      </c>
      <c r="R579" s="14">
        <v>651.99</v>
      </c>
      <c r="S579" s="12" t="s">
        <v>33</v>
      </c>
      <c r="T579" s="12" t="s">
        <v>78</v>
      </c>
      <c r="U579" s="12">
        <v>3</v>
      </c>
      <c r="V579" s="12" t="s">
        <v>55</v>
      </c>
    </row>
    <row r="580" spans="1:22" x14ac:dyDescent="0.3">
      <c r="A580" s="8" t="s">
        <v>1116</v>
      </c>
      <c r="B580" s="9">
        <v>45734</v>
      </c>
      <c r="C580" s="8" t="s">
        <v>86</v>
      </c>
      <c r="D580" s="8" t="s">
        <v>87</v>
      </c>
      <c r="E580" s="8" t="s">
        <v>59</v>
      </c>
      <c r="F580" s="8" t="s">
        <v>257</v>
      </c>
      <c r="G580" s="8" t="s">
        <v>41</v>
      </c>
      <c r="H580" s="8" t="s">
        <v>81</v>
      </c>
      <c r="I580" s="8" t="s">
        <v>68</v>
      </c>
      <c r="J580" s="8" t="s">
        <v>89</v>
      </c>
      <c r="K580" s="8" t="s">
        <v>151</v>
      </c>
      <c r="L580" s="8" t="s">
        <v>103</v>
      </c>
      <c r="M580" s="8">
        <v>5</v>
      </c>
      <c r="N580" s="10">
        <v>1037.51</v>
      </c>
      <c r="O580" s="11">
        <v>0.25</v>
      </c>
      <c r="P580" s="10">
        <v>3890.66</v>
      </c>
      <c r="Q580" s="10">
        <v>2429.3200000000002</v>
      </c>
      <c r="R580" s="10">
        <v>1461.34</v>
      </c>
      <c r="S580" s="8" t="s">
        <v>53</v>
      </c>
      <c r="T580" s="8" t="s">
        <v>64</v>
      </c>
      <c r="U580" s="8">
        <v>5</v>
      </c>
      <c r="V580" s="8" t="s">
        <v>55</v>
      </c>
    </row>
    <row r="581" spans="1:22" x14ac:dyDescent="0.3">
      <c r="A581" s="12" t="s">
        <v>1117</v>
      </c>
      <c r="B581" s="13">
        <v>45925</v>
      </c>
      <c r="C581" s="12" t="s">
        <v>48</v>
      </c>
      <c r="D581" s="12" t="s">
        <v>49</v>
      </c>
      <c r="E581" s="12" t="s">
        <v>39</v>
      </c>
      <c r="F581" s="12" t="s">
        <v>74</v>
      </c>
      <c r="G581" s="12" t="s">
        <v>41</v>
      </c>
      <c r="H581" s="12" t="s">
        <v>42</v>
      </c>
      <c r="I581" s="12" t="s">
        <v>29</v>
      </c>
      <c r="J581" s="12" t="s">
        <v>43</v>
      </c>
      <c r="K581" s="12" t="s">
        <v>162</v>
      </c>
      <c r="L581" s="12" t="s">
        <v>45</v>
      </c>
      <c r="M581" s="12">
        <v>4</v>
      </c>
      <c r="N581" s="14">
        <v>864.35</v>
      </c>
      <c r="O581" s="15">
        <v>0.1</v>
      </c>
      <c r="P581" s="14">
        <v>3111.66</v>
      </c>
      <c r="Q581" s="14">
        <v>1620.62</v>
      </c>
      <c r="R581" s="14">
        <v>1491.04</v>
      </c>
      <c r="S581" s="12" t="s">
        <v>33</v>
      </c>
      <c r="T581" s="12" t="s">
        <v>104</v>
      </c>
      <c r="U581" s="12">
        <v>4</v>
      </c>
      <c r="V581" s="12" t="s">
        <v>116</v>
      </c>
    </row>
    <row r="582" spans="1:22" x14ac:dyDescent="0.3">
      <c r="A582" s="8" t="s">
        <v>1118</v>
      </c>
      <c r="B582" s="9">
        <v>45869</v>
      </c>
      <c r="C582" s="8" t="s">
        <v>98</v>
      </c>
      <c r="D582" s="8" t="s">
        <v>99</v>
      </c>
      <c r="E582" s="8" t="s">
        <v>25</v>
      </c>
      <c r="F582" s="8" t="s">
        <v>484</v>
      </c>
      <c r="G582" s="8" t="s">
        <v>41</v>
      </c>
      <c r="H582" s="8" t="s">
        <v>81</v>
      </c>
      <c r="I582" s="8" t="s">
        <v>61</v>
      </c>
      <c r="J582" s="8" t="s">
        <v>89</v>
      </c>
      <c r="K582" s="8" t="s">
        <v>89</v>
      </c>
      <c r="L582" s="8" t="s">
        <v>52</v>
      </c>
      <c r="M582" s="8">
        <v>2</v>
      </c>
      <c r="N582" s="10">
        <v>1280.75</v>
      </c>
      <c r="O582" s="11">
        <v>0.25</v>
      </c>
      <c r="P582" s="10">
        <v>1921.12</v>
      </c>
      <c r="Q582" s="10">
        <v>1383.64</v>
      </c>
      <c r="R582" s="10">
        <v>537.48</v>
      </c>
      <c r="S582" s="8" t="s">
        <v>63</v>
      </c>
      <c r="T582" s="8" t="s">
        <v>104</v>
      </c>
      <c r="U582" s="8">
        <v>5</v>
      </c>
      <c r="V582" s="8" t="s">
        <v>120</v>
      </c>
    </row>
    <row r="583" spans="1:22" x14ac:dyDescent="0.3">
      <c r="A583" s="12" t="s">
        <v>1119</v>
      </c>
      <c r="B583" s="13">
        <v>45884</v>
      </c>
      <c r="C583" s="12" t="s">
        <v>86</v>
      </c>
      <c r="D583" s="12" t="s">
        <v>87</v>
      </c>
      <c r="E583" s="12" t="s">
        <v>59</v>
      </c>
      <c r="F583" s="12" t="s">
        <v>1120</v>
      </c>
      <c r="G583" s="12" t="s">
        <v>27</v>
      </c>
      <c r="H583" s="12" t="s">
        <v>28</v>
      </c>
      <c r="I583" s="12" t="s">
        <v>68</v>
      </c>
      <c r="J583" s="12" t="s">
        <v>69</v>
      </c>
      <c r="K583" s="12" t="s">
        <v>137</v>
      </c>
      <c r="L583" s="12" t="s">
        <v>45</v>
      </c>
      <c r="M583" s="12">
        <v>3</v>
      </c>
      <c r="N583" s="14">
        <v>489.07</v>
      </c>
      <c r="O583" s="15">
        <v>0.1</v>
      </c>
      <c r="P583" s="14">
        <v>1320.49</v>
      </c>
      <c r="Q583" s="14">
        <v>644.87</v>
      </c>
      <c r="R583" s="14">
        <v>675.62</v>
      </c>
      <c r="S583" s="12" t="s">
        <v>53</v>
      </c>
      <c r="T583" s="12" t="s">
        <v>111</v>
      </c>
      <c r="U583" s="12">
        <v>4</v>
      </c>
      <c r="V583" s="12" t="s">
        <v>72</v>
      </c>
    </row>
    <row r="584" spans="1:22" x14ac:dyDescent="0.3">
      <c r="A584" s="8" t="s">
        <v>1121</v>
      </c>
      <c r="B584" s="9">
        <v>45849</v>
      </c>
      <c r="C584" s="8" t="s">
        <v>107</v>
      </c>
      <c r="D584" s="8" t="s">
        <v>108</v>
      </c>
      <c r="E584" s="8" t="s">
        <v>39</v>
      </c>
      <c r="F584" s="8" t="s">
        <v>1122</v>
      </c>
      <c r="G584" s="8" t="s">
        <v>27</v>
      </c>
      <c r="H584" s="8" t="s">
        <v>81</v>
      </c>
      <c r="I584" s="8" t="s">
        <v>68</v>
      </c>
      <c r="J584" s="8" t="s">
        <v>101</v>
      </c>
      <c r="K584" s="8" t="s">
        <v>217</v>
      </c>
      <c r="L584" s="8" t="s">
        <v>82</v>
      </c>
      <c r="M584" s="8">
        <v>2</v>
      </c>
      <c r="N584" s="10">
        <v>2958.87</v>
      </c>
      <c r="O584" s="11">
        <v>0.15</v>
      </c>
      <c r="P584" s="10">
        <v>5030.08</v>
      </c>
      <c r="Q584" s="10">
        <v>3460.78</v>
      </c>
      <c r="R584" s="10">
        <v>1569.3</v>
      </c>
      <c r="S584" s="8" t="s">
        <v>46</v>
      </c>
      <c r="T584" s="8" t="s">
        <v>54</v>
      </c>
      <c r="U584" s="8">
        <v>4</v>
      </c>
      <c r="V584" s="8" t="s">
        <v>120</v>
      </c>
    </row>
    <row r="585" spans="1:22" x14ac:dyDescent="0.3">
      <c r="A585" s="12" t="s">
        <v>1123</v>
      </c>
      <c r="B585" s="13">
        <v>45771</v>
      </c>
      <c r="C585" s="12" t="s">
        <v>48</v>
      </c>
      <c r="D585" s="12" t="s">
        <v>49</v>
      </c>
      <c r="E585" s="12" t="s">
        <v>39</v>
      </c>
      <c r="F585" s="12" t="s">
        <v>843</v>
      </c>
      <c r="G585" s="12" t="s">
        <v>41</v>
      </c>
      <c r="H585" s="12" t="s">
        <v>81</v>
      </c>
      <c r="I585" s="12" t="s">
        <v>68</v>
      </c>
      <c r="J585" s="12" t="s">
        <v>43</v>
      </c>
      <c r="K585" s="12" t="s">
        <v>162</v>
      </c>
      <c r="L585" s="12" t="s">
        <v>52</v>
      </c>
      <c r="M585" s="12">
        <v>5</v>
      </c>
      <c r="N585" s="14">
        <v>883.32</v>
      </c>
      <c r="O585" s="15">
        <v>0.2</v>
      </c>
      <c r="P585" s="14">
        <v>3533.28</v>
      </c>
      <c r="Q585" s="14">
        <v>2016.88</v>
      </c>
      <c r="R585" s="14">
        <v>1516.4</v>
      </c>
      <c r="S585" s="12" t="s">
        <v>33</v>
      </c>
      <c r="T585" s="12" t="s">
        <v>78</v>
      </c>
      <c r="U585" s="12">
        <v>4</v>
      </c>
      <c r="V585" s="12" t="s">
        <v>96</v>
      </c>
    </row>
    <row r="586" spans="1:22" x14ac:dyDescent="0.3">
      <c r="A586" s="8" t="s">
        <v>1124</v>
      </c>
      <c r="B586" s="9">
        <v>45811</v>
      </c>
      <c r="C586" s="8" t="s">
        <v>48</v>
      </c>
      <c r="D586" s="8" t="s">
        <v>49</v>
      </c>
      <c r="E586" s="8" t="s">
        <v>39</v>
      </c>
      <c r="F586" s="8" t="s">
        <v>1125</v>
      </c>
      <c r="G586" s="8" t="s">
        <v>41</v>
      </c>
      <c r="H586" s="8" t="s">
        <v>81</v>
      </c>
      <c r="I586" s="8" t="s">
        <v>61</v>
      </c>
      <c r="J586" s="8" t="s">
        <v>101</v>
      </c>
      <c r="K586" s="8" t="s">
        <v>102</v>
      </c>
      <c r="L586" s="8" t="s">
        <v>52</v>
      </c>
      <c r="M586" s="8">
        <v>1</v>
      </c>
      <c r="N586" s="10">
        <v>667.5</v>
      </c>
      <c r="O586" s="11">
        <v>0</v>
      </c>
      <c r="P586" s="10">
        <v>667.5</v>
      </c>
      <c r="Q586" s="10">
        <v>261.5</v>
      </c>
      <c r="R586" s="10">
        <v>406</v>
      </c>
      <c r="S586" s="8" t="s">
        <v>33</v>
      </c>
      <c r="T586" s="8" t="s">
        <v>111</v>
      </c>
      <c r="U586" s="8">
        <v>4</v>
      </c>
      <c r="V586" s="8" t="s">
        <v>157</v>
      </c>
    </row>
    <row r="587" spans="1:22" x14ac:dyDescent="0.3">
      <c r="A587" s="12" t="s">
        <v>1126</v>
      </c>
      <c r="B587" s="13">
        <v>45815</v>
      </c>
      <c r="C587" s="12" t="s">
        <v>23</v>
      </c>
      <c r="D587" s="12" t="s">
        <v>24</v>
      </c>
      <c r="E587" s="12" t="s">
        <v>25</v>
      </c>
      <c r="F587" s="12" t="s">
        <v>1080</v>
      </c>
      <c r="G587" s="12" t="s">
        <v>41</v>
      </c>
      <c r="H587" s="12" t="s">
        <v>94</v>
      </c>
      <c r="I587" s="12" t="s">
        <v>61</v>
      </c>
      <c r="J587" s="12" t="s">
        <v>43</v>
      </c>
      <c r="K587" s="12" t="s">
        <v>51</v>
      </c>
      <c r="L587" s="12" t="s">
        <v>32</v>
      </c>
      <c r="M587" s="12">
        <v>1</v>
      </c>
      <c r="N587" s="14">
        <v>1556.85</v>
      </c>
      <c r="O587" s="15">
        <v>0.25</v>
      </c>
      <c r="P587" s="14">
        <v>1167.6400000000001</v>
      </c>
      <c r="Q587" s="14">
        <v>680.6</v>
      </c>
      <c r="R587" s="14">
        <v>487.04</v>
      </c>
      <c r="S587" s="12" t="s">
        <v>53</v>
      </c>
      <c r="T587" s="12" t="s">
        <v>119</v>
      </c>
      <c r="U587" s="12">
        <v>5</v>
      </c>
      <c r="V587" s="12" t="s">
        <v>157</v>
      </c>
    </row>
    <row r="588" spans="1:22" x14ac:dyDescent="0.3">
      <c r="A588" s="8" t="s">
        <v>1127</v>
      </c>
      <c r="B588" s="9">
        <v>45999</v>
      </c>
      <c r="C588" s="8" t="s">
        <v>131</v>
      </c>
      <c r="D588" s="8" t="s">
        <v>132</v>
      </c>
      <c r="E588" s="8" t="s">
        <v>25</v>
      </c>
      <c r="F588" s="8" t="s">
        <v>688</v>
      </c>
      <c r="G588" s="8" t="s">
        <v>41</v>
      </c>
      <c r="H588" s="8" t="s">
        <v>28</v>
      </c>
      <c r="I588" s="8" t="s">
        <v>68</v>
      </c>
      <c r="J588" s="8" t="s">
        <v>30</v>
      </c>
      <c r="K588" s="8" t="s">
        <v>62</v>
      </c>
      <c r="L588" s="8" t="s">
        <v>77</v>
      </c>
      <c r="M588" s="8">
        <v>1</v>
      </c>
      <c r="N588" s="10">
        <v>976.74</v>
      </c>
      <c r="O588" s="11">
        <v>0.05</v>
      </c>
      <c r="P588" s="10">
        <v>927.9</v>
      </c>
      <c r="Q588" s="10">
        <v>444.06</v>
      </c>
      <c r="R588" s="10">
        <v>483.84</v>
      </c>
      <c r="S588" s="8" t="s">
        <v>46</v>
      </c>
      <c r="T588" s="8" t="s">
        <v>54</v>
      </c>
      <c r="U588" s="8">
        <v>4</v>
      </c>
      <c r="V588" s="8" t="s">
        <v>35</v>
      </c>
    </row>
    <row r="589" spans="1:22" x14ac:dyDescent="0.3">
      <c r="A589" s="12" t="s">
        <v>1128</v>
      </c>
      <c r="B589" s="13">
        <v>45953</v>
      </c>
      <c r="C589" s="12" t="s">
        <v>98</v>
      </c>
      <c r="D589" s="12" t="s">
        <v>99</v>
      </c>
      <c r="E589" s="12" t="s">
        <v>25</v>
      </c>
      <c r="F589" s="12" t="s">
        <v>849</v>
      </c>
      <c r="G589" s="12" t="s">
        <v>41</v>
      </c>
      <c r="H589" s="12" t="s">
        <v>94</v>
      </c>
      <c r="I589" s="12" t="s">
        <v>68</v>
      </c>
      <c r="J589" s="12" t="s">
        <v>30</v>
      </c>
      <c r="K589" s="12" t="s">
        <v>31</v>
      </c>
      <c r="L589" s="12" t="s">
        <v>82</v>
      </c>
      <c r="M589" s="12">
        <v>2</v>
      </c>
      <c r="N589" s="14">
        <v>4182.87</v>
      </c>
      <c r="O589" s="15">
        <v>0.3</v>
      </c>
      <c r="P589" s="14">
        <v>5856.02</v>
      </c>
      <c r="Q589" s="14">
        <v>4201.74</v>
      </c>
      <c r="R589" s="14">
        <v>1654.28</v>
      </c>
      <c r="S589" s="12" t="s">
        <v>46</v>
      </c>
      <c r="T589" s="12" t="s">
        <v>34</v>
      </c>
      <c r="U589" s="12">
        <v>4</v>
      </c>
      <c r="V589" s="12" t="s">
        <v>123</v>
      </c>
    </row>
    <row r="590" spans="1:22" x14ac:dyDescent="0.3">
      <c r="A590" s="8" t="s">
        <v>1129</v>
      </c>
      <c r="B590" s="9">
        <v>45864</v>
      </c>
      <c r="C590" s="8" t="s">
        <v>125</v>
      </c>
      <c r="D590" s="8" t="s">
        <v>126</v>
      </c>
      <c r="E590" s="8" t="s">
        <v>25</v>
      </c>
      <c r="F590" s="8" t="s">
        <v>1130</v>
      </c>
      <c r="G590" s="8" t="s">
        <v>41</v>
      </c>
      <c r="H590" s="8" t="s">
        <v>94</v>
      </c>
      <c r="I590" s="8" t="s">
        <v>68</v>
      </c>
      <c r="J590" s="8" t="s">
        <v>43</v>
      </c>
      <c r="K590" s="8" t="s">
        <v>44</v>
      </c>
      <c r="L590" s="8" t="s">
        <v>52</v>
      </c>
      <c r="M590" s="8">
        <v>4</v>
      </c>
      <c r="N590" s="10">
        <v>616.54</v>
      </c>
      <c r="O590" s="11">
        <v>0.3</v>
      </c>
      <c r="P590" s="10">
        <v>1726.31</v>
      </c>
      <c r="Q590" s="10">
        <v>1011.54</v>
      </c>
      <c r="R590" s="10">
        <v>714.77</v>
      </c>
      <c r="S590" s="8" t="s">
        <v>53</v>
      </c>
      <c r="T590" s="8" t="s">
        <v>64</v>
      </c>
      <c r="U590" s="8">
        <v>3</v>
      </c>
      <c r="V590" s="8" t="s">
        <v>120</v>
      </c>
    </row>
    <row r="591" spans="1:22" x14ac:dyDescent="0.3">
      <c r="A591" s="12" t="s">
        <v>1131</v>
      </c>
      <c r="B591" s="13">
        <v>45773</v>
      </c>
      <c r="C591" s="12" t="s">
        <v>98</v>
      </c>
      <c r="D591" s="12" t="s">
        <v>99</v>
      </c>
      <c r="E591" s="12" t="s">
        <v>25</v>
      </c>
      <c r="F591" s="12" t="s">
        <v>1132</v>
      </c>
      <c r="G591" s="12" t="s">
        <v>27</v>
      </c>
      <c r="H591" s="12" t="s">
        <v>94</v>
      </c>
      <c r="I591" s="12" t="s">
        <v>29</v>
      </c>
      <c r="J591" s="12" t="s">
        <v>43</v>
      </c>
      <c r="K591" s="12" t="s">
        <v>51</v>
      </c>
      <c r="L591" s="12" t="s">
        <v>82</v>
      </c>
      <c r="M591" s="12">
        <v>5</v>
      </c>
      <c r="N591" s="14">
        <v>1561.48</v>
      </c>
      <c r="O591" s="15">
        <v>0.15</v>
      </c>
      <c r="P591" s="14">
        <v>6636.29</v>
      </c>
      <c r="Q591" s="14">
        <v>3497.11</v>
      </c>
      <c r="R591" s="14">
        <v>3139.18</v>
      </c>
      <c r="S591" s="12" t="s">
        <v>46</v>
      </c>
      <c r="T591" s="12" t="s">
        <v>147</v>
      </c>
      <c r="U591" s="12">
        <v>3</v>
      </c>
      <c r="V591" s="12" t="s">
        <v>96</v>
      </c>
    </row>
    <row r="592" spans="1:22" x14ac:dyDescent="0.3">
      <c r="A592" s="8" t="s">
        <v>1133</v>
      </c>
      <c r="B592" s="9">
        <v>45914</v>
      </c>
      <c r="C592" s="8" t="s">
        <v>98</v>
      </c>
      <c r="D592" s="8" t="s">
        <v>99</v>
      </c>
      <c r="E592" s="8" t="s">
        <v>25</v>
      </c>
      <c r="F592" s="8" t="s">
        <v>1013</v>
      </c>
      <c r="G592" s="8" t="s">
        <v>41</v>
      </c>
      <c r="H592" s="8" t="s">
        <v>94</v>
      </c>
      <c r="I592" s="8" t="s">
        <v>29</v>
      </c>
      <c r="J592" s="8" t="s">
        <v>69</v>
      </c>
      <c r="K592" s="8" t="s">
        <v>180</v>
      </c>
      <c r="L592" s="8" t="s">
        <v>82</v>
      </c>
      <c r="M592" s="8">
        <v>3</v>
      </c>
      <c r="N592" s="10">
        <v>1427.43</v>
      </c>
      <c r="O592" s="11">
        <v>0.05</v>
      </c>
      <c r="P592" s="10">
        <v>4068.18</v>
      </c>
      <c r="Q592" s="10">
        <v>2533.6</v>
      </c>
      <c r="R592" s="10">
        <v>1534.58</v>
      </c>
      <c r="S592" s="8" t="s">
        <v>83</v>
      </c>
      <c r="T592" s="8" t="s">
        <v>34</v>
      </c>
      <c r="U592" s="8">
        <v>4</v>
      </c>
      <c r="V592" s="8" t="s">
        <v>116</v>
      </c>
    </row>
    <row r="593" spans="1:22" x14ac:dyDescent="0.3">
      <c r="A593" s="12" t="s">
        <v>1134</v>
      </c>
      <c r="B593" s="13">
        <v>45983</v>
      </c>
      <c r="C593" s="12" t="s">
        <v>86</v>
      </c>
      <c r="D593" s="12" t="s">
        <v>87</v>
      </c>
      <c r="E593" s="12" t="s">
        <v>59</v>
      </c>
      <c r="F593" s="12" t="s">
        <v>1135</v>
      </c>
      <c r="G593" s="12" t="s">
        <v>41</v>
      </c>
      <c r="H593" s="12" t="s">
        <v>81</v>
      </c>
      <c r="I593" s="12" t="s">
        <v>29</v>
      </c>
      <c r="J593" s="12" t="s">
        <v>101</v>
      </c>
      <c r="K593" s="12" t="s">
        <v>110</v>
      </c>
      <c r="L593" s="12" t="s">
        <v>103</v>
      </c>
      <c r="M593" s="12">
        <v>5</v>
      </c>
      <c r="N593" s="14">
        <v>4888.17</v>
      </c>
      <c r="O593" s="15">
        <v>0</v>
      </c>
      <c r="P593" s="14">
        <v>24440.85</v>
      </c>
      <c r="Q593" s="14">
        <v>15729.49</v>
      </c>
      <c r="R593" s="14">
        <v>8711.36</v>
      </c>
      <c r="S593" s="12" t="s">
        <v>53</v>
      </c>
      <c r="T593" s="12" t="s">
        <v>111</v>
      </c>
      <c r="U593" s="12">
        <v>3</v>
      </c>
      <c r="V593" s="12" t="s">
        <v>65</v>
      </c>
    </row>
    <row r="594" spans="1:22" x14ac:dyDescent="0.3">
      <c r="A594" s="8" t="s">
        <v>1136</v>
      </c>
      <c r="B594" s="9">
        <v>45929</v>
      </c>
      <c r="C594" s="8" t="s">
        <v>131</v>
      </c>
      <c r="D594" s="8" t="s">
        <v>132</v>
      </c>
      <c r="E594" s="8" t="s">
        <v>25</v>
      </c>
      <c r="F594" s="8" t="s">
        <v>1137</v>
      </c>
      <c r="G594" s="8" t="s">
        <v>27</v>
      </c>
      <c r="H594" s="8" t="s">
        <v>81</v>
      </c>
      <c r="I594" s="8" t="s">
        <v>68</v>
      </c>
      <c r="J594" s="8" t="s">
        <v>89</v>
      </c>
      <c r="K594" s="8" t="s">
        <v>90</v>
      </c>
      <c r="L594" s="8" t="s">
        <v>45</v>
      </c>
      <c r="M594" s="8">
        <v>3</v>
      </c>
      <c r="N594" s="10">
        <v>3581.11</v>
      </c>
      <c r="O594" s="11">
        <v>0.05</v>
      </c>
      <c r="P594" s="10">
        <v>10206.16</v>
      </c>
      <c r="Q594" s="10">
        <v>6037.03</v>
      </c>
      <c r="R594" s="10">
        <v>4169.13</v>
      </c>
      <c r="S594" s="8" t="s">
        <v>53</v>
      </c>
      <c r="T594" s="8" t="s">
        <v>71</v>
      </c>
      <c r="U594" s="8">
        <v>5</v>
      </c>
      <c r="V594" s="8" t="s">
        <v>116</v>
      </c>
    </row>
    <row r="595" spans="1:22" x14ac:dyDescent="0.3">
      <c r="A595" s="12" t="s">
        <v>1138</v>
      </c>
      <c r="B595" s="13">
        <v>46022</v>
      </c>
      <c r="C595" s="12" t="s">
        <v>23</v>
      </c>
      <c r="D595" s="12" t="s">
        <v>24</v>
      </c>
      <c r="E595" s="12" t="s">
        <v>25</v>
      </c>
      <c r="F595" s="12" t="s">
        <v>302</v>
      </c>
      <c r="G595" s="12" t="s">
        <v>41</v>
      </c>
      <c r="H595" s="12" t="s">
        <v>28</v>
      </c>
      <c r="I595" s="12" t="s">
        <v>29</v>
      </c>
      <c r="J595" s="12" t="s">
        <v>43</v>
      </c>
      <c r="K595" s="12" t="s">
        <v>44</v>
      </c>
      <c r="L595" s="12" t="s">
        <v>32</v>
      </c>
      <c r="M595" s="12">
        <v>3</v>
      </c>
      <c r="N595" s="14">
        <v>588.26</v>
      </c>
      <c r="O595" s="15">
        <v>0.05</v>
      </c>
      <c r="P595" s="14">
        <v>1676.54</v>
      </c>
      <c r="Q595" s="14">
        <v>753.76</v>
      </c>
      <c r="R595" s="14">
        <v>922.78</v>
      </c>
      <c r="S595" s="12" t="s">
        <v>63</v>
      </c>
      <c r="T595" s="12" t="s">
        <v>119</v>
      </c>
      <c r="U595" s="12">
        <v>5</v>
      </c>
      <c r="V595" s="12" t="s">
        <v>35</v>
      </c>
    </row>
    <row r="596" spans="1:22" x14ac:dyDescent="0.3">
      <c r="A596" s="8" t="s">
        <v>1139</v>
      </c>
      <c r="B596" s="9">
        <v>45813</v>
      </c>
      <c r="C596" s="8" t="s">
        <v>131</v>
      </c>
      <c r="D596" s="8" t="s">
        <v>132</v>
      </c>
      <c r="E596" s="8" t="s">
        <v>25</v>
      </c>
      <c r="F596" s="8" t="s">
        <v>1140</v>
      </c>
      <c r="G596" s="8" t="s">
        <v>41</v>
      </c>
      <c r="H596" s="8" t="s">
        <v>42</v>
      </c>
      <c r="I596" s="8" t="s">
        <v>68</v>
      </c>
      <c r="J596" s="8" t="s">
        <v>30</v>
      </c>
      <c r="K596" s="8" t="s">
        <v>62</v>
      </c>
      <c r="L596" s="8" t="s">
        <v>32</v>
      </c>
      <c r="M596" s="8">
        <v>4</v>
      </c>
      <c r="N596" s="10">
        <v>1013</v>
      </c>
      <c r="O596" s="11">
        <v>0.1</v>
      </c>
      <c r="P596" s="10">
        <v>3646.8</v>
      </c>
      <c r="Q596" s="10">
        <v>1781.18</v>
      </c>
      <c r="R596" s="10">
        <v>1865.62</v>
      </c>
      <c r="S596" s="8" t="s">
        <v>63</v>
      </c>
      <c r="T596" s="8" t="s">
        <v>34</v>
      </c>
      <c r="U596" s="8">
        <v>4</v>
      </c>
      <c r="V596" s="8" t="s">
        <v>157</v>
      </c>
    </row>
    <row r="597" spans="1:22" x14ac:dyDescent="0.3">
      <c r="A597" s="12" t="s">
        <v>1141</v>
      </c>
      <c r="B597" s="13">
        <v>45991</v>
      </c>
      <c r="C597" s="12" t="s">
        <v>86</v>
      </c>
      <c r="D597" s="12" t="s">
        <v>87</v>
      </c>
      <c r="E597" s="12" t="s">
        <v>59</v>
      </c>
      <c r="F597" s="12" t="s">
        <v>1142</v>
      </c>
      <c r="G597" s="12" t="s">
        <v>27</v>
      </c>
      <c r="H597" s="12" t="s">
        <v>42</v>
      </c>
      <c r="I597" s="12" t="s">
        <v>68</v>
      </c>
      <c r="J597" s="12" t="s">
        <v>89</v>
      </c>
      <c r="K597" s="12" t="s">
        <v>89</v>
      </c>
      <c r="L597" s="12" t="s">
        <v>175</v>
      </c>
      <c r="M597" s="12">
        <v>3</v>
      </c>
      <c r="N597" s="14">
        <v>1239.29</v>
      </c>
      <c r="O597" s="15">
        <v>0.1</v>
      </c>
      <c r="P597" s="14">
        <v>3346.08</v>
      </c>
      <c r="Q597" s="14">
        <v>2193.7800000000002</v>
      </c>
      <c r="R597" s="14">
        <v>1152.3</v>
      </c>
      <c r="S597" s="12" t="s">
        <v>33</v>
      </c>
      <c r="T597" s="12" t="s">
        <v>34</v>
      </c>
      <c r="U597" s="12">
        <v>3</v>
      </c>
      <c r="V597" s="12" t="s">
        <v>65</v>
      </c>
    </row>
    <row r="598" spans="1:22" x14ac:dyDescent="0.3">
      <c r="A598" s="8" t="s">
        <v>1143</v>
      </c>
      <c r="B598" s="9">
        <v>45674</v>
      </c>
      <c r="C598" s="8" t="s">
        <v>125</v>
      </c>
      <c r="D598" s="8" t="s">
        <v>126</v>
      </c>
      <c r="E598" s="8" t="s">
        <v>25</v>
      </c>
      <c r="F598" s="8" t="s">
        <v>540</v>
      </c>
      <c r="G598" s="8" t="s">
        <v>27</v>
      </c>
      <c r="H598" s="8" t="s">
        <v>42</v>
      </c>
      <c r="I598" s="8" t="s">
        <v>61</v>
      </c>
      <c r="J598" s="8" t="s">
        <v>101</v>
      </c>
      <c r="K598" s="8" t="s">
        <v>110</v>
      </c>
      <c r="L598" s="8" t="s">
        <v>175</v>
      </c>
      <c r="M598" s="8">
        <v>5</v>
      </c>
      <c r="N598" s="10">
        <v>4841.41</v>
      </c>
      <c r="O598" s="11">
        <v>0.2</v>
      </c>
      <c r="P598" s="10">
        <v>19365.64</v>
      </c>
      <c r="Q598" s="10">
        <v>16469.3</v>
      </c>
      <c r="R598" s="10">
        <v>2896.34</v>
      </c>
      <c r="S598" s="8" t="s">
        <v>46</v>
      </c>
      <c r="T598" s="8" t="s">
        <v>78</v>
      </c>
      <c r="U598" s="8">
        <v>5</v>
      </c>
      <c r="V598" s="8" t="s">
        <v>84</v>
      </c>
    </row>
    <row r="599" spans="1:22" x14ac:dyDescent="0.3">
      <c r="A599" s="12" t="s">
        <v>1144</v>
      </c>
      <c r="B599" s="13">
        <v>45758</v>
      </c>
      <c r="C599" s="12" t="s">
        <v>107</v>
      </c>
      <c r="D599" s="12" t="s">
        <v>108</v>
      </c>
      <c r="E599" s="12" t="s">
        <v>39</v>
      </c>
      <c r="F599" s="12" t="s">
        <v>1145</v>
      </c>
      <c r="G599" s="12" t="s">
        <v>27</v>
      </c>
      <c r="H599" s="12" t="s">
        <v>94</v>
      </c>
      <c r="I599" s="12" t="s">
        <v>68</v>
      </c>
      <c r="J599" s="12" t="s">
        <v>89</v>
      </c>
      <c r="K599" s="12" t="s">
        <v>90</v>
      </c>
      <c r="L599" s="12" t="s">
        <v>91</v>
      </c>
      <c r="M599" s="12">
        <v>2</v>
      </c>
      <c r="N599" s="14">
        <v>3386.57</v>
      </c>
      <c r="O599" s="15">
        <v>0.25</v>
      </c>
      <c r="P599" s="14">
        <v>5079.8599999999997</v>
      </c>
      <c r="Q599" s="14">
        <v>4185.01</v>
      </c>
      <c r="R599" s="14">
        <v>894.85</v>
      </c>
      <c r="S599" s="12" t="s">
        <v>53</v>
      </c>
      <c r="T599" s="12" t="s">
        <v>119</v>
      </c>
      <c r="U599" s="12">
        <v>4</v>
      </c>
      <c r="V599" s="12" t="s">
        <v>96</v>
      </c>
    </row>
    <row r="600" spans="1:22" x14ac:dyDescent="0.3">
      <c r="A600" s="8" t="s">
        <v>1146</v>
      </c>
      <c r="B600" s="9">
        <v>45815</v>
      </c>
      <c r="C600" s="8" t="s">
        <v>57</v>
      </c>
      <c r="D600" s="8" t="s">
        <v>58</v>
      </c>
      <c r="E600" s="8" t="s">
        <v>59</v>
      </c>
      <c r="F600" s="8" t="s">
        <v>871</v>
      </c>
      <c r="G600" s="8" t="s">
        <v>41</v>
      </c>
      <c r="H600" s="8" t="s">
        <v>42</v>
      </c>
      <c r="I600" s="8" t="s">
        <v>61</v>
      </c>
      <c r="J600" s="8" t="s">
        <v>101</v>
      </c>
      <c r="K600" s="8" t="s">
        <v>110</v>
      </c>
      <c r="L600" s="8" t="s">
        <v>82</v>
      </c>
      <c r="M600" s="8">
        <v>3</v>
      </c>
      <c r="N600" s="10">
        <v>4925.16</v>
      </c>
      <c r="O600" s="11">
        <v>0.2</v>
      </c>
      <c r="P600" s="10">
        <v>11820.38</v>
      </c>
      <c r="Q600" s="10">
        <v>9676.61</v>
      </c>
      <c r="R600" s="10">
        <v>2143.77</v>
      </c>
      <c r="S600" s="8" t="s">
        <v>33</v>
      </c>
      <c r="T600" s="8" t="s">
        <v>119</v>
      </c>
      <c r="U600" s="8">
        <v>3</v>
      </c>
      <c r="V600" s="8" t="s">
        <v>157</v>
      </c>
    </row>
    <row r="601" spans="1:22" x14ac:dyDescent="0.3">
      <c r="A601" s="12" t="s">
        <v>1147</v>
      </c>
      <c r="B601" s="13">
        <v>45962</v>
      </c>
      <c r="C601" s="12" t="s">
        <v>131</v>
      </c>
      <c r="D601" s="12" t="s">
        <v>132</v>
      </c>
      <c r="E601" s="12" t="s">
        <v>25</v>
      </c>
      <c r="F601" s="12" t="s">
        <v>1148</v>
      </c>
      <c r="G601" s="12" t="s">
        <v>27</v>
      </c>
      <c r="H601" s="12" t="s">
        <v>94</v>
      </c>
      <c r="I601" s="12" t="s">
        <v>68</v>
      </c>
      <c r="J601" s="12" t="s">
        <v>75</v>
      </c>
      <c r="K601" s="12" t="s">
        <v>154</v>
      </c>
      <c r="L601" s="12" t="s">
        <v>175</v>
      </c>
      <c r="M601" s="12">
        <v>1</v>
      </c>
      <c r="N601" s="14">
        <v>1986.97</v>
      </c>
      <c r="O601" s="15">
        <v>0.05</v>
      </c>
      <c r="P601" s="14">
        <v>1887.62</v>
      </c>
      <c r="Q601" s="14">
        <v>1154.3800000000001</v>
      </c>
      <c r="R601" s="14">
        <v>733.24</v>
      </c>
      <c r="S601" s="12" t="s">
        <v>33</v>
      </c>
      <c r="T601" s="12" t="s">
        <v>111</v>
      </c>
      <c r="U601" s="12">
        <v>5</v>
      </c>
      <c r="V601" s="12" t="s">
        <v>65</v>
      </c>
    </row>
    <row r="602" spans="1:22" x14ac:dyDescent="0.3">
      <c r="A602" s="8" t="s">
        <v>1149</v>
      </c>
      <c r="B602" s="9">
        <v>45813</v>
      </c>
      <c r="C602" s="8" t="s">
        <v>57</v>
      </c>
      <c r="D602" s="8" t="s">
        <v>58</v>
      </c>
      <c r="E602" s="8" t="s">
        <v>59</v>
      </c>
      <c r="F602" s="8" t="s">
        <v>1038</v>
      </c>
      <c r="G602" s="8" t="s">
        <v>41</v>
      </c>
      <c r="H602" s="8" t="s">
        <v>94</v>
      </c>
      <c r="I602" s="8" t="s">
        <v>61</v>
      </c>
      <c r="J602" s="8" t="s">
        <v>43</v>
      </c>
      <c r="K602" s="8" t="s">
        <v>44</v>
      </c>
      <c r="L602" s="8" t="s">
        <v>45</v>
      </c>
      <c r="M602" s="8">
        <v>5</v>
      </c>
      <c r="N602" s="10">
        <v>602.58000000000004</v>
      </c>
      <c r="O602" s="11">
        <v>0.2</v>
      </c>
      <c r="P602" s="10">
        <v>2410.3200000000002</v>
      </c>
      <c r="Q602" s="10">
        <v>1344.47</v>
      </c>
      <c r="R602" s="10">
        <v>1065.8499999999999</v>
      </c>
      <c r="S602" s="8" t="s">
        <v>83</v>
      </c>
      <c r="T602" s="8" t="s">
        <v>119</v>
      </c>
      <c r="U602" s="8">
        <v>4</v>
      </c>
      <c r="V602" s="8" t="s">
        <v>157</v>
      </c>
    </row>
    <row r="603" spans="1:22" x14ac:dyDescent="0.3">
      <c r="A603" s="12" t="s">
        <v>1150</v>
      </c>
      <c r="B603" s="13">
        <v>45730</v>
      </c>
      <c r="C603" s="12" t="s">
        <v>57</v>
      </c>
      <c r="D603" s="12" t="s">
        <v>58</v>
      </c>
      <c r="E603" s="12" t="s">
        <v>59</v>
      </c>
      <c r="F603" s="12" t="s">
        <v>1151</v>
      </c>
      <c r="G603" s="12" t="s">
        <v>27</v>
      </c>
      <c r="H603" s="12" t="s">
        <v>42</v>
      </c>
      <c r="I603" s="12" t="s">
        <v>68</v>
      </c>
      <c r="J603" s="12" t="s">
        <v>43</v>
      </c>
      <c r="K603" s="12" t="s">
        <v>44</v>
      </c>
      <c r="L603" s="12" t="s">
        <v>32</v>
      </c>
      <c r="M603" s="12">
        <v>5</v>
      </c>
      <c r="N603" s="14">
        <v>615.91</v>
      </c>
      <c r="O603" s="15">
        <v>0.2</v>
      </c>
      <c r="P603" s="14">
        <v>2463.64</v>
      </c>
      <c r="Q603" s="14">
        <v>1247.03</v>
      </c>
      <c r="R603" s="14">
        <v>1216.6099999999999</v>
      </c>
      <c r="S603" s="12" t="s">
        <v>53</v>
      </c>
      <c r="T603" s="12" t="s">
        <v>119</v>
      </c>
      <c r="U603" s="12">
        <v>3</v>
      </c>
      <c r="V603" s="12" t="s">
        <v>55</v>
      </c>
    </row>
    <row r="604" spans="1:22" x14ac:dyDescent="0.3">
      <c r="A604" s="8" t="s">
        <v>1152</v>
      </c>
      <c r="B604" s="9">
        <v>45883</v>
      </c>
      <c r="C604" s="8" t="s">
        <v>98</v>
      </c>
      <c r="D604" s="8" t="s">
        <v>99</v>
      </c>
      <c r="E604" s="8" t="s">
        <v>25</v>
      </c>
      <c r="F604" s="8" t="s">
        <v>1153</v>
      </c>
      <c r="G604" s="8" t="s">
        <v>27</v>
      </c>
      <c r="H604" s="8" t="s">
        <v>94</v>
      </c>
      <c r="I604" s="8" t="s">
        <v>29</v>
      </c>
      <c r="J604" s="8" t="s">
        <v>89</v>
      </c>
      <c r="K604" s="8" t="s">
        <v>151</v>
      </c>
      <c r="L604" s="8" t="s">
        <v>45</v>
      </c>
      <c r="M604" s="8">
        <v>1</v>
      </c>
      <c r="N604" s="10">
        <v>950.58</v>
      </c>
      <c r="O604" s="11">
        <v>0</v>
      </c>
      <c r="P604" s="10">
        <v>950.58</v>
      </c>
      <c r="Q604" s="10">
        <v>485.67</v>
      </c>
      <c r="R604" s="10">
        <v>464.91</v>
      </c>
      <c r="S604" s="8" t="s">
        <v>33</v>
      </c>
      <c r="T604" s="8" t="s">
        <v>34</v>
      </c>
      <c r="U604" s="8">
        <v>4</v>
      </c>
      <c r="V604" s="8" t="s">
        <v>72</v>
      </c>
    </row>
    <row r="605" spans="1:22" x14ac:dyDescent="0.3">
      <c r="A605" s="12" t="s">
        <v>1154</v>
      </c>
      <c r="B605" s="13">
        <v>45701</v>
      </c>
      <c r="C605" s="12" t="s">
        <v>98</v>
      </c>
      <c r="D605" s="12" t="s">
        <v>99</v>
      </c>
      <c r="E605" s="12" t="s">
        <v>25</v>
      </c>
      <c r="F605" s="12" t="s">
        <v>954</v>
      </c>
      <c r="G605" s="12" t="s">
        <v>41</v>
      </c>
      <c r="H605" s="12" t="s">
        <v>42</v>
      </c>
      <c r="I605" s="12" t="s">
        <v>68</v>
      </c>
      <c r="J605" s="12" t="s">
        <v>75</v>
      </c>
      <c r="K605" s="12" t="s">
        <v>154</v>
      </c>
      <c r="L605" s="12" t="s">
        <v>82</v>
      </c>
      <c r="M605" s="12">
        <v>1</v>
      </c>
      <c r="N605" s="14">
        <v>2011.52</v>
      </c>
      <c r="O605" s="15">
        <v>0.15</v>
      </c>
      <c r="P605" s="14">
        <v>1709.79</v>
      </c>
      <c r="Q605" s="14">
        <v>1094.97</v>
      </c>
      <c r="R605" s="14">
        <v>614.82000000000005</v>
      </c>
      <c r="S605" s="12" t="s">
        <v>46</v>
      </c>
      <c r="T605" s="12" t="s">
        <v>147</v>
      </c>
      <c r="U605" s="12">
        <v>4</v>
      </c>
      <c r="V605" s="12" t="s">
        <v>105</v>
      </c>
    </row>
    <row r="606" spans="1:22" x14ac:dyDescent="0.3">
      <c r="A606" s="8" t="s">
        <v>1155</v>
      </c>
      <c r="B606" s="9">
        <v>45885</v>
      </c>
      <c r="C606" s="8" t="s">
        <v>125</v>
      </c>
      <c r="D606" s="8" t="s">
        <v>126</v>
      </c>
      <c r="E606" s="8" t="s">
        <v>25</v>
      </c>
      <c r="F606" s="8" t="s">
        <v>582</v>
      </c>
      <c r="G606" s="8" t="s">
        <v>41</v>
      </c>
      <c r="H606" s="8" t="s">
        <v>81</v>
      </c>
      <c r="I606" s="8" t="s">
        <v>29</v>
      </c>
      <c r="J606" s="8" t="s">
        <v>30</v>
      </c>
      <c r="K606" s="8" t="s">
        <v>62</v>
      </c>
      <c r="L606" s="8" t="s">
        <v>52</v>
      </c>
      <c r="M606" s="8">
        <v>2</v>
      </c>
      <c r="N606" s="10">
        <v>1031.45</v>
      </c>
      <c r="O606" s="11">
        <v>0.25</v>
      </c>
      <c r="P606" s="10">
        <v>1547.18</v>
      </c>
      <c r="Q606" s="10">
        <v>936.2</v>
      </c>
      <c r="R606" s="10">
        <v>610.98</v>
      </c>
      <c r="S606" s="8" t="s">
        <v>63</v>
      </c>
      <c r="T606" s="8" t="s">
        <v>71</v>
      </c>
      <c r="U606" s="8">
        <v>4</v>
      </c>
      <c r="V606" s="8" t="s">
        <v>72</v>
      </c>
    </row>
    <row r="607" spans="1:22" x14ac:dyDescent="0.3">
      <c r="A607" s="12" t="s">
        <v>1156</v>
      </c>
      <c r="B607" s="13">
        <v>45909</v>
      </c>
      <c r="C607" s="12" t="s">
        <v>131</v>
      </c>
      <c r="D607" s="12" t="s">
        <v>132</v>
      </c>
      <c r="E607" s="12" t="s">
        <v>25</v>
      </c>
      <c r="F607" s="12" t="s">
        <v>985</v>
      </c>
      <c r="G607" s="12" t="s">
        <v>27</v>
      </c>
      <c r="H607" s="12" t="s">
        <v>28</v>
      </c>
      <c r="I607" s="12" t="s">
        <v>29</v>
      </c>
      <c r="J607" s="12" t="s">
        <v>69</v>
      </c>
      <c r="K607" s="12" t="s">
        <v>70</v>
      </c>
      <c r="L607" s="12" t="s">
        <v>91</v>
      </c>
      <c r="M607" s="12">
        <v>3</v>
      </c>
      <c r="N607" s="14">
        <v>925.13</v>
      </c>
      <c r="O607" s="15">
        <v>0.3</v>
      </c>
      <c r="P607" s="14">
        <v>1942.77</v>
      </c>
      <c r="Q607" s="14">
        <v>1410.11</v>
      </c>
      <c r="R607" s="14">
        <v>532.66</v>
      </c>
      <c r="S607" s="12" t="s">
        <v>46</v>
      </c>
      <c r="T607" s="12" t="s">
        <v>54</v>
      </c>
      <c r="U607" s="12">
        <v>4</v>
      </c>
      <c r="V607" s="12" t="s">
        <v>116</v>
      </c>
    </row>
    <row r="608" spans="1:22" x14ac:dyDescent="0.3">
      <c r="A608" s="8" t="s">
        <v>1157</v>
      </c>
      <c r="B608" s="9">
        <v>45704</v>
      </c>
      <c r="C608" s="8" t="s">
        <v>113</v>
      </c>
      <c r="D608" s="8" t="s">
        <v>114</v>
      </c>
      <c r="E608" s="8" t="s">
        <v>59</v>
      </c>
      <c r="F608" s="8" t="s">
        <v>820</v>
      </c>
      <c r="G608" s="8" t="s">
        <v>27</v>
      </c>
      <c r="H608" s="8" t="s">
        <v>42</v>
      </c>
      <c r="I608" s="8" t="s">
        <v>29</v>
      </c>
      <c r="J608" s="8" t="s">
        <v>75</v>
      </c>
      <c r="K608" s="8" t="s">
        <v>95</v>
      </c>
      <c r="L608" s="8" t="s">
        <v>82</v>
      </c>
      <c r="M608" s="8">
        <v>4</v>
      </c>
      <c r="N608" s="10">
        <v>24433.94</v>
      </c>
      <c r="O608" s="11">
        <v>0.1</v>
      </c>
      <c r="P608" s="10">
        <v>87962.18</v>
      </c>
      <c r="Q608" s="10">
        <v>73575.86</v>
      </c>
      <c r="R608" s="10">
        <v>14386.32</v>
      </c>
      <c r="S608" s="8" t="s">
        <v>53</v>
      </c>
      <c r="T608" s="8" t="s">
        <v>71</v>
      </c>
      <c r="U608" s="8">
        <v>4</v>
      </c>
      <c r="V608" s="8" t="s">
        <v>105</v>
      </c>
    </row>
    <row r="609" spans="1:22" x14ac:dyDescent="0.3">
      <c r="A609" s="12" t="s">
        <v>1158</v>
      </c>
      <c r="B609" s="13">
        <v>45821</v>
      </c>
      <c r="C609" s="12" t="s">
        <v>131</v>
      </c>
      <c r="D609" s="12" t="s">
        <v>132</v>
      </c>
      <c r="E609" s="12" t="s">
        <v>25</v>
      </c>
      <c r="F609" s="12" t="s">
        <v>122</v>
      </c>
      <c r="G609" s="12" t="s">
        <v>27</v>
      </c>
      <c r="H609" s="12" t="s">
        <v>42</v>
      </c>
      <c r="I609" s="12" t="s">
        <v>29</v>
      </c>
      <c r="J609" s="12" t="s">
        <v>69</v>
      </c>
      <c r="K609" s="12" t="s">
        <v>70</v>
      </c>
      <c r="L609" s="12" t="s">
        <v>77</v>
      </c>
      <c r="M609" s="12">
        <v>5</v>
      </c>
      <c r="N609" s="14">
        <v>888.9</v>
      </c>
      <c r="O609" s="15">
        <v>0</v>
      </c>
      <c r="P609" s="14">
        <v>4444.5</v>
      </c>
      <c r="Q609" s="14">
        <v>2151.56</v>
      </c>
      <c r="R609" s="14">
        <v>2292.94</v>
      </c>
      <c r="S609" s="12" t="s">
        <v>53</v>
      </c>
      <c r="T609" s="12" t="s">
        <v>78</v>
      </c>
      <c r="U609" s="12">
        <v>4</v>
      </c>
      <c r="V609" s="12" t="s">
        <v>157</v>
      </c>
    </row>
    <row r="610" spans="1:22" x14ac:dyDescent="0.3">
      <c r="A610" s="8" t="s">
        <v>1159</v>
      </c>
      <c r="B610" s="9">
        <v>45824</v>
      </c>
      <c r="C610" s="8" t="s">
        <v>23</v>
      </c>
      <c r="D610" s="8" t="s">
        <v>24</v>
      </c>
      <c r="E610" s="8" t="s">
        <v>25</v>
      </c>
      <c r="F610" s="8" t="s">
        <v>975</v>
      </c>
      <c r="G610" s="8" t="s">
        <v>41</v>
      </c>
      <c r="H610" s="8" t="s">
        <v>94</v>
      </c>
      <c r="I610" s="8" t="s">
        <v>29</v>
      </c>
      <c r="J610" s="8" t="s">
        <v>75</v>
      </c>
      <c r="K610" s="8" t="s">
        <v>76</v>
      </c>
      <c r="L610" s="8" t="s">
        <v>45</v>
      </c>
      <c r="M610" s="8">
        <v>2</v>
      </c>
      <c r="N610" s="10">
        <v>812.87</v>
      </c>
      <c r="O610" s="11">
        <v>0</v>
      </c>
      <c r="P610" s="10">
        <v>1625.74</v>
      </c>
      <c r="Q610" s="10">
        <v>729.38</v>
      </c>
      <c r="R610" s="10">
        <v>896.36</v>
      </c>
      <c r="S610" s="8" t="s">
        <v>46</v>
      </c>
      <c r="T610" s="8" t="s">
        <v>104</v>
      </c>
      <c r="U610" s="8">
        <v>5</v>
      </c>
      <c r="V610" s="8" t="s">
        <v>157</v>
      </c>
    </row>
    <row r="611" spans="1:22" x14ac:dyDescent="0.3">
      <c r="A611" s="12" t="s">
        <v>1160</v>
      </c>
      <c r="B611" s="13">
        <v>45796</v>
      </c>
      <c r="C611" s="12" t="s">
        <v>107</v>
      </c>
      <c r="D611" s="12" t="s">
        <v>108</v>
      </c>
      <c r="E611" s="12" t="s">
        <v>39</v>
      </c>
      <c r="F611" s="12" t="s">
        <v>1161</v>
      </c>
      <c r="G611" s="12" t="s">
        <v>27</v>
      </c>
      <c r="H611" s="12" t="s">
        <v>94</v>
      </c>
      <c r="I611" s="12" t="s">
        <v>61</v>
      </c>
      <c r="J611" s="12" t="s">
        <v>43</v>
      </c>
      <c r="K611" s="12" t="s">
        <v>44</v>
      </c>
      <c r="L611" s="12" t="s">
        <v>32</v>
      </c>
      <c r="M611" s="12">
        <v>3</v>
      </c>
      <c r="N611" s="14">
        <v>579.38</v>
      </c>
      <c r="O611" s="15">
        <v>0.3</v>
      </c>
      <c r="P611" s="14">
        <v>1216.7</v>
      </c>
      <c r="Q611" s="14">
        <v>781.59</v>
      </c>
      <c r="R611" s="14">
        <v>435.11</v>
      </c>
      <c r="S611" s="12" t="s">
        <v>83</v>
      </c>
      <c r="T611" s="12" t="s">
        <v>147</v>
      </c>
      <c r="U611" s="12">
        <v>3</v>
      </c>
      <c r="V611" s="12" t="s">
        <v>134</v>
      </c>
    </row>
    <row r="612" spans="1:22" x14ac:dyDescent="0.3">
      <c r="A612" s="8" t="s">
        <v>1162</v>
      </c>
      <c r="B612" s="9">
        <v>45914</v>
      </c>
      <c r="C612" s="8" t="s">
        <v>57</v>
      </c>
      <c r="D612" s="8" t="s">
        <v>58</v>
      </c>
      <c r="E612" s="8" t="s">
        <v>59</v>
      </c>
      <c r="F612" s="8" t="s">
        <v>1163</v>
      </c>
      <c r="G612" s="8" t="s">
        <v>41</v>
      </c>
      <c r="H612" s="8" t="s">
        <v>28</v>
      </c>
      <c r="I612" s="8" t="s">
        <v>68</v>
      </c>
      <c r="J612" s="8" t="s">
        <v>75</v>
      </c>
      <c r="K612" s="8" t="s">
        <v>154</v>
      </c>
      <c r="L612" s="8" t="s">
        <v>82</v>
      </c>
      <c r="M612" s="8">
        <v>5</v>
      </c>
      <c r="N612" s="10">
        <v>1941.65</v>
      </c>
      <c r="O612" s="11">
        <v>0.05</v>
      </c>
      <c r="P612" s="10">
        <v>9222.84</v>
      </c>
      <c r="Q612" s="10">
        <v>5704.21</v>
      </c>
      <c r="R612" s="10">
        <v>3518.63</v>
      </c>
      <c r="S612" s="8" t="s">
        <v>63</v>
      </c>
      <c r="T612" s="8" t="s">
        <v>34</v>
      </c>
      <c r="U612" s="8">
        <v>3</v>
      </c>
      <c r="V612" s="8" t="s">
        <v>116</v>
      </c>
    </row>
    <row r="613" spans="1:22" x14ac:dyDescent="0.3">
      <c r="A613" s="12" t="s">
        <v>1164</v>
      </c>
      <c r="B613" s="13">
        <v>45819</v>
      </c>
      <c r="C613" s="12" t="s">
        <v>86</v>
      </c>
      <c r="D613" s="12" t="s">
        <v>87</v>
      </c>
      <c r="E613" s="12" t="s">
        <v>59</v>
      </c>
      <c r="F613" s="12" t="s">
        <v>1165</v>
      </c>
      <c r="G613" s="12" t="s">
        <v>27</v>
      </c>
      <c r="H613" s="12" t="s">
        <v>94</v>
      </c>
      <c r="I613" s="12" t="s">
        <v>61</v>
      </c>
      <c r="J613" s="12" t="s">
        <v>101</v>
      </c>
      <c r="K613" s="12" t="s">
        <v>102</v>
      </c>
      <c r="L613" s="12" t="s">
        <v>32</v>
      </c>
      <c r="M613" s="12">
        <v>2</v>
      </c>
      <c r="N613" s="14">
        <v>695.82</v>
      </c>
      <c r="O613" s="15">
        <v>0.05</v>
      </c>
      <c r="P613" s="14">
        <v>1322.06</v>
      </c>
      <c r="Q613" s="14">
        <v>514.96</v>
      </c>
      <c r="R613" s="14">
        <v>807.1</v>
      </c>
      <c r="S613" s="12" t="s">
        <v>46</v>
      </c>
      <c r="T613" s="12" t="s">
        <v>71</v>
      </c>
      <c r="U613" s="12">
        <v>5</v>
      </c>
      <c r="V613" s="12" t="s">
        <v>157</v>
      </c>
    </row>
    <row r="614" spans="1:22" x14ac:dyDescent="0.3">
      <c r="A614" s="8" t="s">
        <v>1166</v>
      </c>
      <c r="B614" s="9">
        <v>45734</v>
      </c>
      <c r="C614" s="8" t="s">
        <v>98</v>
      </c>
      <c r="D614" s="8" t="s">
        <v>99</v>
      </c>
      <c r="E614" s="8" t="s">
        <v>25</v>
      </c>
      <c r="F614" s="8" t="s">
        <v>1167</v>
      </c>
      <c r="G614" s="8" t="s">
        <v>41</v>
      </c>
      <c r="H614" s="8" t="s">
        <v>81</v>
      </c>
      <c r="I614" s="8" t="s">
        <v>29</v>
      </c>
      <c r="J614" s="8" t="s">
        <v>43</v>
      </c>
      <c r="K614" s="8" t="s">
        <v>51</v>
      </c>
      <c r="L614" s="8" t="s">
        <v>91</v>
      </c>
      <c r="M614" s="8">
        <v>5</v>
      </c>
      <c r="N614" s="10">
        <v>1538.01</v>
      </c>
      <c r="O614" s="11">
        <v>0</v>
      </c>
      <c r="P614" s="10">
        <v>7690.05</v>
      </c>
      <c r="Q614" s="10">
        <v>3370.64</v>
      </c>
      <c r="R614" s="10">
        <v>4319.41</v>
      </c>
      <c r="S614" s="8" t="s">
        <v>83</v>
      </c>
      <c r="T614" s="8" t="s">
        <v>119</v>
      </c>
      <c r="U614" s="8">
        <v>4</v>
      </c>
      <c r="V614" s="8" t="s">
        <v>55</v>
      </c>
    </row>
    <row r="615" spans="1:22" x14ac:dyDescent="0.3">
      <c r="A615" s="12" t="s">
        <v>1168</v>
      </c>
      <c r="B615" s="13">
        <v>45922</v>
      </c>
      <c r="C615" s="12" t="s">
        <v>107</v>
      </c>
      <c r="D615" s="12" t="s">
        <v>108</v>
      </c>
      <c r="E615" s="12" t="s">
        <v>39</v>
      </c>
      <c r="F615" s="12" t="s">
        <v>682</v>
      </c>
      <c r="G615" s="12" t="s">
        <v>41</v>
      </c>
      <c r="H615" s="12" t="s">
        <v>81</v>
      </c>
      <c r="I615" s="12" t="s">
        <v>29</v>
      </c>
      <c r="J615" s="12" t="s">
        <v>75</v>
      </c>
      <c r="K615" s="12" t="s">
        <v>76</v>
      </c>
      <c r="L615" s="12" t="s">
        <v>45</v>
      </c>
      <c r="M615" s="12">
        <v>4</v>
      </c>
      <c r="N615" s="14">
        <v>776.12</v>
      </c>
      <c r="O615" s="15">
        <v>0.05</v>
      </c>
      <c r="P615" s="14">
        <v>2949.26</v>
      </c>
      <c r="Q615" s="14">
        <v>1417.92</v>
      </c>
      <c r="R615" s="14">
        <v>1531.34</v>
      </c>
      <c r="S615" s="12" t="s">
        <v>46</v>
      </c>
      <c r="T615" s="12" t="s">
        <v>78</v>
      </c>
      <c r="U615" s="12">
        <v>3</v>
      </c>
      <c r="V615" s="12" t="s">
        <v>116</v>
      </c>
    </row>
    <row r="616" spans="1:22" x14ac:dyDescent="0.3">
      <c r="A616" s="8" t="s">
        <v>1169</v>
      </c>
      <c r="B616" s="9">
        <v>45795</v>
      </c>
      <c r="C616" s="8" t="s">
        <v>131</v>
      </c>
      <c r="D616" s="8" t="s">
        <v>132</v>
      </c>
      <c r="E616" s="8" t="s">
        <v>25</v>
      </c>
      <c r="F616" s="8" t="s">
        <v>1086</v>
      </c>
      <c r="G616" s="8" t="s">
        <v>27</v>
      </c>
      <c r="H616" s="8" t="s">
        <v>42</v>
      </c>
      <c r="I616" s="8" t="s">
        <v>61</v>
      </c>
      <c r="J616" s="8" t="s">
        <v>43</v>
      </c>
      <c r="K616" s="8" t="s">
        <v>51</v>
      </c>
      <c r="L616" s="8" t="s">
        <v>32</v>
      </c>
      <c r="M616" s="8">
        <v>5</v>
      </c>
      <c r="N616" s="10">
        <v>1535.08</v>
      </c>
      <c r="O616" s="11">
        <v>0.2</v>
      </c>
      <c r="P616" s="10">
        <v>6140.32</v>
      </c>
      <c r="Q616" s="10">
        <v>3483.82</v>
      </c>
      <c r="R616" s="10">
        <v>2656.5</v>
      </c>
      <c r="S616" s="8" t="s">
        <v>63</v>
      </c>
      <c r="T616" s="8" t="s">
        <v>71</v>
      </c>
      <c r="U616" s="8">
        <v>5</v>
      </c>
      <c r="V616" s="8" t="s">
        <v>134</v>
      </c>
    </row>
    <row r="617" spans="1:22" x14ac:dyDescent="0.3">
      <c r="A617" s="12" t="s">
        <v>1170</v>
      </c>
      <c r="B617" s="13">
        <v>46000</v>
      </c>
      <c r="C617" s="12" t="s">
        <v>113</v>
      </c>
      <c r="D617" s="12" t="s">
        <v>114</v>
      </c>
      <c r="E617" s="12" t="s">
        <v>59</v>
      </c>
      <c r="F617" s="12" t="s">
        <v>1171</v>
      </c>
      <c r="G617" s="12" t="s">
        <v>41</v>
      </c>
      <c r="H617" s="12" t="s">
        <v>42</v>
      </c>
      <c r="I617" s="12" t="s">
        <v>68</v>
      </c>
      <c r="J617" s="12" t="s">
        <v>69</v>
      </c>
      <c r="K617" s="12" t="s">
        <v>180</v>
      </c>
      <c r="L617" s="12" t="s">
        <v>175</v>
      </c>
      <c r="M617" s="12">
        <v>4</v>
      </c>
      <c r="N617" s="14">
        <v>1476.14</v>
      </c>
      <c r="O617" s="15">
        <v>0</v>
      </c>
      <c r="P617" s="14">
        <v>5904.56</v>
      </c>
      <c r="Q617" s="14">
        <v>3413.76</v>
      </c>
      <c r="R617" s="14">
        <v>2490.8000000000002</v>
      </c>
      <c r="S617" s="12" t="s">
        <v>46</v>
      </c>
      <c r="T617" s="12" t="s">
        <v>34</v>
      </c>
      <c r="U617" s="12">
        <v>4</v>
      </c>
      <c r="V617" s="12" t="s">
        <v>35</v>
      </c>
    </row>
    <row r="618" spans="1:22" x14ac:dyDescent="0.3">
      <c r="A618" s="8" t="s">
        <v>1172</v>
      </c>
      <c r="B618" s="9">
        <v>45993</v>
      </c>
      <c r="C618" s="8" t="s">
        <v>37</v>
      </c>
      <c r="D618" s="8" t="s">
        <v>38</v>
      </c>
      <c r="E618" s="8" t="s">
        <v>39</v>
      </c>
      <c r="F618" s="8" t="s">
        <v>938</v>
      </c>
      <c r="G618" s="8" t="s">
        <v>41</v>
      </c>
      <c r="H618" s="8" t="s">
        <v>94</v>
      </c>
      <c r="I618" s="8" t="s">
        <v>61</v>
      </c>
      <c r="J618" s="8" t="s">
        <v>43</v>
      </c>
      <c r="K618" s="8" t="s">
        <v>44</v>
      </c>
      <c r="L618" s="8" t="s">
        <v>175</v>
      </c>
      <c r="M618" s="8">
        <v>4</v>
      </c>
      <c r="N618" s="10">
        <v>582.04999999999995</v>
      </c>
      <c r="O618" s="11">
        <v>0.2</v>
      </c>
      <c r="P618" s="10">
        <v>1862.56</v>
      </c>
      <c r="Q618" s="10">
        <v>1074.6600000000001</v>
      </c>
      <c r="R618" s="10">
        <v>787.9</v>
      </c>
      <c r="S618" s="8" t="s">
        <v>63</v>
      </c>
      <c r="T618" s="8" t="s">
        <v>147</v>
      </c>
      <c r="U618" s="8">
        <v>4</v>
      </c>
      <c r="V618" s="8" t="s">
        <v>35</v>
      </c>
    </row>
    <row r="619" spans="1:22" x14ac:dyDescent="0.3">
      <c r="A619" s="12" t="s">
        <v>1173</v>
      </c>
      <c r="B619" s="13">
        <v>45783</v>
      </c>
      <c r="C619" s="12" t="s">
        <v>131</v>
      </c>
      <c r="D619" s="12" t="s">
        <v>132</v>
      </c>
      <c r="E619" s="12" t="s">
        <v>25</v>
      </c>
      <c r="F619" s="12" t="s">
        <v>360</v>
      </c>
      <c r="G619" s="12" t="s">
        <v>27</v>
      </c>
      <c r="H619" s="12" t="s">
        <v>42</v>
      </c>
      <c r="I619" s="12" t="s">
        <v>68</v>
      </c>
      <c r="J619" s="12" t="s">
        <v>75</v>
      </c>
      <c r="K619" s="12" t="s">
        <v>95</v>
      </c>
      <c r="L619" s="12" t="s">
        <v>77</v>
      </c>
      <c r="M619" s="12">
        <v>2</v>
      </c>
      <c r="N619" s="14">
        <v>23983.82</v>
      </c>
      <c r="O619" s="15">
        <v>0.15</v>
      </c>
      <c r="P619" s="14">
        <v>40772.49</v>
      </c>
      <c r="Q619" s="14">
        <v>37792.720000000001</v>
      </c>
      <c r="R619" s="14">
        <v>2979.77</v>
      </c>
      <c r="S619" s="12" t="s">
        <v>83</v>
      </c>
      <c r="T619" s="12" t="s">
        <v>156</v>
      </c>
      <c r="U619" s="12">
        <v>5</v>
      </c>
      <c r="V619" s="12" t="s">
        <v>134</v>
      </c>
    </row>
    <row r="620" spans="1:22" x14ac:dyDescent="0.3">
      <c r="A620" s="8" t="s">
        <v>1174</v>
      </c>
      <c r="B620" s="9">
        <v>45927</v>
      </c>
      <c r="C620" s="8" t="s">
        <v>37</v>
      </c>
      <c r="D620" s="8" t="s">
        <v>38</v>
      </c>
      <c r="E620" s="8" t="s">
        <v>39</v>
      </c>
      <c r="F620" s="8" t="s">
        <v>1175</v>
      </c>
      <c r="G620" s="8" t="s">
        <v>41</v>
      </c>
      <c r="H620" s="8" t="s">
        <v>94</v>
      </c>
      <c r="I620" s="8" t="s">
        <v>29</v>
      </c>
      <c r="J620" s="8" t="s">
        <v>89</v>
      </c>
      <c r="K620" s="8" t="s">
        <v>90</v>
      </c>
      <c r="L620" s="8" t="s">
        <v>103</v>
      </c>
      <c r="M620" s="8">
        <v>4</v>
      </c>
      <c r="N620" s="10">
        <v>3472.72</v>
      </c>
      <c r="O620" s="11">
        <v>0.1</v>
      </c>
      <c r="P620" s="10">
        <v>12501.79</v>
      </c>
      <c r="Q620" s="10">
        <v>8553.7900000000009</v>
      </c>
      <c r="R620" s="10">
        <v>3948</v>
      </c>
      <c r="S620" s="8" t="s">
        <v>46</v>
      </c>
      <c r="T620" s="8" t="s">
        <v>54</v>
      </c>
      <c r="U620" s="8">
        <v>5</v>
      </c>
      <c r="V620" s="8" t="s">
        <v>116</v>
      </c>
    </row>
    <row r="621" spans="1:22" x14ac:dyDescent="0.3">
      <c r="A621" s="12" t="s">
        <v>1176</v>
      </c>
      <c r="B621" s="13">
        <v>45988</v>
      </c>
      <c r="C621" s="12" t="s">
        <v>98</v>
      </c>
      <c r="D621" s="12" t="s">
        <v>99</v>
      </c>
      <c r="E621" s="12" t="s">
        <v>25</v>
      </c>
      <c r="F621" s="12" t="s">
        <v>1177</v>
      </c>
      <c r="G621" s="12" t="s">
        <v>41</v>
      </c>
      <c r="H621" s="12" t="s">
        <v>94</v>
      </c>
      <c r="I621" s="12" t="s">
        <v>29</v>
      </c>
      <c r="J621" s="12" t="s">
        <v>30</v>
      </c>
      <c r="K621" s="12" t="s">
        <v>31</v>
      </c>
      <c r="L621" s="12" t="s">
        <v>91</v>
      </c>
      <c r="M621" s="12">
        <v>3</v>
      </c>
      <c r="N621" s="14">
        <v>3988.57</v>
      </c>
      <c r="O621" s="15">
        <v>0.1</v>
      </c>
      <c r="P621" s="14">
        <v>10769.14</v>
      </c>
      <c r="Q621" s="14">
        <v>6726.6</v>
      </c>
      <c r="R621" s="14">
        <v>4042.54</v>
      </c>
      <c r="S621" s="12" t="s">
        <v>33</v>
      </c>
      <c r="T621" s="12" t="s">
        <v>119</v>
      </c>
      <c r="U621" s="12">
        <v>5</v>
      </c>
      <c r="V621" s="12" t="s">
        <v>65</v>
      </c>
    </row>
    <row r="622" spans="1:22" x14ac:dyDescent="0.3">
      <c r="A622" s="8" t="s">
        <v>1178</v>
      </c>
      <c r="B622" s="9">
        <v>45949</v>
      </c>
      <c r="C622" s="8" t="s">
        <v>113</v>
      </c>
      <c r="D622" s="8" t="s">
        <v>114</v>
      </c>
      <c r="E622" s="8" t="s">
        <v>59</v>
      </c>
      <c r="F622" s="8" t="s">
        <v>1167</v>
      </c>
      <c r="G622" s="8" t="s">
        <v>41</v>
      </c>
      <c r="H622" s="8" t="s">
        <v>28</v>
      </c>
      <c r="I622" s="8" t="s">
        <v>61</v>
      </c>
      <c r="J622" s="8" t="s">
        <v>75</v>
      </c>
      <c r="K622" s="8" t="s">
        <v>76</v>
      </c>
      <c r="L622" s="8" t="s">
        <v>103</v>
      </c>
      <c r="M622" s="8">
        <v>3</v>
      </c>
      <c r="N622" s="10">
        <v>772.91</v>
      </c>
      <c r="O622" s="11">
        <v>0.3</v>
      </c>
      <c r="P622" s="10">
        <v>1623.11</v>
      </c>
      <c r="Q622" s="10">
        <v>1081.1500000000001</v>
      </c>
      <c r="R622" s="10">
        <v>541.96</v>
      </c>
      <c r="S622" s="8" t="s">
        <v>46</v>
      </c>
      <c r="T622" s="8" t="s">
        <v>71</v>
      </c>
      <c r="U622" s="8">
        <v>3</v>
      </c>
      <c r="V622" s="8" t="s">
        <v>123</v>
      </c>
    </row>
    <row r="623" spans="1:22" x14ac:dyDescent="0.3">
      <c r="A623" s="12" t="s">
        <v>1179</v>
      </c>
      <c r="B623" s="13">
        <v>45697</v>
      </c>
      <c r="C623" s="12" t="s">
        <v>125</v>
      </c>
      <c r="D623" s="12" t="s">
        <v>126</v>
      </c>
      <c r="E623" s="12" t="s">
        <v>25</v>
      </c>
      <c r="F623" s="12" t="s">
        <v>799</v>
      </c>
      <c r="G623" s="12" t="s">
        <v>27</v>
      </c>
      <c r="H623" s="12" t="s">
        <v>42</v>
      </c>
      <c r="I623" s="12" t="s">
        <v>68</v>
      </c>
      <c r="J623" s="12" t="s">
        <v>101</v>
      </c>
      <c r="K623" s="12" t="s">
        <v>110</v>
      </c>
      <c r="L623" s="12" t="s">
        <v>45</v>
      </c>
      <c r="M623" s="12">
        <v>4</v>
      </c>
      <c r="N623" s="14">
        <v>5227.3900000000003</v>
      </c>
      <c r="O623" s="15">
        <v>0.25</v>
      </c>
      <c r="P623" s="14">
        <v>15682.17</v>
      </c>
      <c r="Q623" s="14">
        <v>13122.65</v>
      </c>
      <c r="R623" s="14">
        <v>2559.52</v>
      </c>
      <c r="S623" s="12" t="s">
        <v>53</v>
      </c>
      <c r="T623" s="12" t="s">
        <v>54</v>
      </c>
      <c r="U623" s="12">
        <v>5</v>
      </c>
      <c r="V623" s="12" t="s">
        <v>105</v>
      </c>
    </row>
    <row r="624" spans="1:22" x14ac:dyDescent="0.3">
      <c r="A624" s="8" t="s">
        <v>1180</v>
      </c>
      <c r="B624" s="9">
        <v>45987</v>
      </c>
      <c r="C624" s="8" t="s">
        <v>37</v>
      </c>
      <c r="D624" s="8" t="s">
        <v>38</v>
      </c>
      <c r="E624" s="8" t="s">
        <v>39</v>
      </c>
      <c r="F624" s="8" t="s">
        <v>678</v>
      </c>
      <c r="G624" s="8" t="s">
        <v>27</v>
      </c>
      <c r="H624" s="8" t="s">
        <v>42</v>
      </c>
      <c r="I624" s="8" t="s">
        <v>68</v>
      </c>
      <c r="J624" s="8" t="s">
        <v>43</v>
      </c>
      <c r="K624" s="8" t="s">
        <v>44</v>
      </c>
      <c r="L624" s="8" t="s">
        <v>77</v>
      </c>
      <c r="M624" s="8">
        <v>3</v>
      </c>
      <c r="N624" s="10">
        <v>586.6</v>
      </c>
      <c r="O624" s="11">
        <v>0.25</v>
      </c>
      <c r="P624" s="10">
        <v>1319.85</v>
      </c>
      <c r="Q624" s="10">
        <v>744.64</v>
      </c>
      <c r="R624" s="10">
        <v>575.21</v>
      </c>
      <c r="S624" s="8" t="s">
        <v>46</v>
      </c>
      <c r="T624" s="8" t="s">
        <v>64</v>
      </c>
      <c r="U624" s="8">
        <v>4</v>
      </c>
      <c r="V624" s="8" t="s">
        <v>65</v>
      </c>
    </row>
    <row r="625" spans="1:22" x14ac:dyDescent="0.3">
      <c r="A625" s="12" t="s">
        <v>1181</v>
      </c>
      <c r="B625" s="13">
        <v>45845</v>
      </c>
      <c r="C625" s="12" t="s">
        <v>113</v>
      </c>
      <c r="D625" s="12" t="s">
        <v>114</v>
      </c>
      <c r="E625" s="12" t="s">
        <v>59</v>
      </c>
      <c r="F625" s="12" t="s">
        <v>1182</v>
      </c>
      <c r="G625" s="12" t="s">
        <v>27</v>
      </c>
      <c r="H625" s="12" t="s">
        <v>42</v>
      </c>
      <c r="I625" s="12" t="s">
        <v>68</v>
      </c>
      <c r="J625" s="12" t="s">
        <v>69</v>
      </c>
      <c r="K625" s="12" t="s">
        <v>137</v>
      </c>
      <c r="L625" s="12" t="s">
        <v>45</v>
      </c>
      <c r="M625" s="12">
        <v>5</v>
      </c>
      <c r="N625" s="14">
        <v>481.13</v>
      </c>
      <c r="O625" s="15">
        <v>0.25</v>
      </c>
      <c r="P625" s="14">
        <v>1804.24</v>
      </c>
      <c r="Q625" s="14">
        <v>1119.49</v>
      </c>
      <c r="R625" s="14">
        <v>684.75</v>
      </c>
      <c r="S625" s="12" t="s">
        <v>53</v>
      </c>
      <c r="T625" s="12" t="s">
        <v>71</v>
      </c>
      <c r="U625" s="12">
        <v>4</v>
      </c>
      <c r="V625" s="12" t="s">
        <v>120</v>
      </c>
    </row>
    <row r="626" spans="1:22" x14ac:dyDescent="0.3">
      <c r="A626" s="8" t="s">
        <v>1183</v>
      </c>
      <c r="B626" s="9">
        <v>45839</v>
      </c>
      <c r="C626" s="8" t="s">
        <v>107</v>
      </c>
      <c r="D626" s="8" t="s">
        <v>108</v>
      </c>
      <c r="E626" s="8" t="s">
        <v>39</v>
      </c>
      <c r="F626" s="8" t="s">
        <v>1184</v>
      </c>
      <c r="G626" s="8" t="s">
        <v>27</v>
      </c>
      <c r="H626" s="8" t="s">
        <v>81</v>
      </c>
      <c r="I626" s="8" t="s">
        <v>29</v>
      </c>
      <c r="J626" s="8" t="s">
        <v>75</v>
      </c>
      <c r="K626" s="8" t="s">
        <v>154</v>
      </c>
      <c r="L626" s="8" t="s">
        <v>103</v>
      </c>
      <c r="M626" s="8">
        <v>2</v>
      </c>
      <c r="N626" s="10">
        <v>1971.72</v>
      </c>
      <c r="O626" s="11">
        <v>0.3</v>
      </c>
      <c r="P626" s="10">
        <v>2760.41</v>
      </c>
      <c r="Q626" s="10">
        <v>2197.04</v>
      </c>
      <c r="R626" s="10">
        <v>563.37</v>
      </c>
      <c r="S626" s="8" t="s">
        <v>46</v>
      </c>
      <c r="T626" s="8" t="s">
        <v>147</v>
      </c>
      <c r="U626" s="8">
        <v>5</v>
      </c>
      <c r="V626" s="8" t="s">
        <v>120</v>
      </c>
    </row>
    <row r="627" spans="1:22" x14ac:dyDescent="0.3">
      <c r="A627" s="12" t="s">
        <v>1185</v>
      </c>
      <c r="B627" s="13">
        <v>45741</v>
      </c>
      <c r="C627" s="12" t="s">
        <v>131</v>
      </c>
      <c r="D627" s="12" t="s">
        <v>132</v>
      </c>
      <c r="E627" s="12" t="s">
        <v>25</v>
      </c>
      <c r="F627" s="12" t="s">
        <v>742</v>
      </c>
      <c r="G627" s="12" t="s">
        <v>41</v>
      </c>
      <c r="H627" s="12" t="s">
        <v>28</v>
      </c>
      <c r="I627" s="12" t="s">
        <v>61</v>
      </c>
      <c r="J627" s="12" t="s">
        <v>43</v>
      </c>
      <c r="K627" s="12" t="s">
        <v>44</v>
      </c>
      <c r="L627" s="12" t="s">
        <v>82</v>
      </c>
      <c r="M627" s="12">
        <v>3</v>
      </c>
      <c r="N627" s="14">
        <v>617.46</v>
      </c>
      <c r="O627" s="15">
        <v>0.2</v>
      </c>
      <c r="P627" s="14">
        <v>1481.9</v>
      </c>
      <c r="Q627" s="14">
        <v>817.9</v>
      </c>
      <c r="R627" s="14">
        <v>664</v>
      </c>
      <c r="S627" s="12" t="s">
        <v>53</v>
      </c>
      <c r="T627" s="12" t="s">
        <v>119</v>
      </c>
      <c r="U627" s="12">
        <v>3</v>
      </c>
      <c r="V627" s="12" t="s">
        <v>55</v>
      </c>
    </row>
    <row r="628" spans="1:22" x14ac:dyDescent="0.3">
      <c r="A628" s="8" t="s">
        <v>1186</v>
      </c>
      <c r="B628" s="9">
        <v>45798</v>
      </c>
      <c r="C628" s="8" t="s">
        <v>57</v>
      </c>
      <c r="D628" s="8" t="s">
        <v>58</v>
      </c>
      <c r="E628" s="8" t="s">
        <v>59</v>
      </c>
      <c r="F628" s="8" t="s">
        <v>235</v>
      </c>
      <c r="G628" s="8" t="s">
        <v>27</v>
      </c>
      <c r="H628" s="8" t="s">
        <v>81</v>
      </c>
      <c r="I628" s="8" t="s">
        <v>61</v>
      </c>
      <c r="J628" s="8" t="s">
        <v>30</v>
      </c>
      <c r="K628" s="8" t="s">
        <v>62</v>
      </c>
      <c r="L628" s="8" t="s">
        <v>103</v>
      </c>
      <c r="M628" s="8">
        <v>2</v>
      </c>
      <c r="N628" s="10">
        <v>955.53</v>
      </c>
      <c r="O628" s="11">
        <v>0.1</v>
      </c>
      <c r="P628" s="10">
        <v>1719.95</v>
      </c>
      <c r="Q628" s="10">
        <v>933.66</v>
      </c>
      <c r="R628" s="10">
        <v>786.29</v>
      </c>
      <c r="S628" s="8" t="s">
        <v>83</v>
      </c>
      <c r="T628" s="8" t="s">
        <v>104</v>
      </c>
      <c r="U628" s="8">
        <v>3</v>
      </c>
      <c r="V628" s="8" t="s">
        <v>134</v>
      </c>
    </row>
    <row r="629" spans="1:22" x14ac:dyDescent="0.3">
      <c r="A629" s="12" t="s">
        <v>1187</v>
      </c>
      <c r="B629" s="13">
        <v>45692</v>
      </c>
      <c r="C629" s="12" t="s">
        <v>37</v>
      </c>
      <c r="D629" s="12" t="s">
        <v>38</v>
      </c>
      <c r="E629" s="12" t="s">
        <v>39</v>
      </c>
      <c r="F629" s="12" t="s">
        <v>554</v>
      </c>
      <c r="G629" s="12" t="s">
        <v>27</v>
      </c>
      <c r="H629" s="12" t="s">
        <v>81</v>
      </c>
      <c r="I629" s="12" t="s">
        <v>68</v>
      </c>
      <c r="J629" s="12" t="s">
        <v>43</v>
      </c>
      <c r="K629" s="12" t="s">
        <v>51</v>
      </c>
      <c r="L629" s="12" t="s">
        <v>103</v>
      </c>
      <c r="M629" s="12">
        <v>1</v>
      </c>
      <c r="N629" s="14">
        <v>1463.41</v>
      </c>
      <c r="O629" s="15">
        <v>0.15</v>
      </c>
      <c r="P629" s="14">
        <v>1243.9000000000001</v>
      </c>
      <c r="Q629" s="14">
        <v>699.91</v>
      </c>
      <c r="R629" s="14">
        <v>543.99</v>
      </c>
      <c r="S629" s="12" t="s">
        <v>83</v>
      </c>
      <c r="T629" s="12" t="s">
        <v>54</v>
      </c>
      <c r="U629" s="12">
        <v>3</v>
      </c>
      <c r="V629" s="12" t="s">
        <v>105</v>
      </c>
    </row>
    <row r="630" spans="1:22" x14ac:dyDescent="0.3">
      <c r="A630" s="8" t="s">
        <v>1188</v>
      </c>
      <c r="B630" s="9">
        <v>45726</v>
      </c>
      <c r="C630" s="8" t="s">
        <v>131</v>
      </c>
      <c r="D630" s="8" t="s">
        <v>132</v>
      </c>
      <c r="E630" s="8" t="s">
        <v>25</v>
      </c>
      <c r="F630" s="8" t="s">
        <v>622</v>
      </c>
      <c r="G630" s="8" t="s">
        <v>41</v>
      </c>
      <c r="H630" s="8" t="s">
        <v>94</v>
      </c>
      <c r="I630" s="8" t="s">
        <v>29</v>
      </c>
      <c r="J630" s="8" t="s">
        <v>69</v>
      </c>
      <c r="K630" s="8" t="s">
        <v>137</v>
      </c>
      <c r="L630" s="8" t="s">
        <v>77</v>
      </c>
      <c r="M630" s="8">
        <v>4</v>
      </c>
      <c r="N630" s="10">
        <v>478.6</v>
      </c>
      <c r="O630" s="11">
        <v>0.2</v>
      </c>
      <c r="P630" s="10">
        <v>1531.52</v>
      </c>
      <c r="Q630" s="10">
        <v>880.3</v>
      </c>
      <c r="R630" s="10">
        <v>651.22</v>
      </c>
      <c r="S630" s="8" t="s">
        <v>63</v>
      </c>
      <c r="T630" s="8" t="s">
        <v>54</v>
      </c>
      <c r="U630" s="8">
        <v>3</v>
      </c>
      <c r="V630" s="8" t="s">
        <v>55</v>
      </c>
    </row>
    <row r="631" spans="1:22" x14ac:dyDescent="0.3">
      <c r="A631" s="12" t="s">
        <v>1189</v>
      </c>
      <c r="B631" s="13">
        <v>45912</v>
      </c>
      <c r="C631" s="12" t="s">
        <v>98</v>
      </c>
      <c r="D631" s="12" t="s">
        <v>99</v>
      </c>
      <c r="E631" s="12" t="s">
        <v>25</v>
      </c>
      <c r="F631" s="12" t="s">
        <v>1190</v>
      </c>
      <c r="G631" s="12" t="s">
        <v>27</v>
      </c>
      <c r="H631" s="12" t="s">
        <v>42</v>
      </c>
      <c r="I631" s="12" t="s">
        <v>68</v>
      </c>
      <c r="J631" s="12" t="s">
        <v>43</v>
      </c>
      <c r="K631" s="12" t="s">
        <v>51</v>
      </c>
      <c r="L631" s="12" t="s">
        <v>52</v>
      </c>
      <c r="M631" s="12">
        <v>4</v>
      </c>
      <c r="N631" s="14">
        <v>1551.41</v>
      </c>
      <c r="O631" s="15">
        <v>0.15</v>
      </c>
      <c r="P631" s="14">
        <v>5274.79</v>
      </c>
      <c r="Q631" s="14">
        <v>2784.16</v>
      </c>
      <c r="R631" s="14">
        <v>2490.63</v>
      </c>
      <c r="S631" s="12" t="s">
        <v>53</v>
      </c>
      <c r="T631" s="12" t="s">
        <v>71</v>
      </c>
      <c r="U631" s="12">
        <v>4</v>
      </c>
      <c r="V631" s="12" t="s">
        <v>116</v>
      </c>
    </row>
    <row r="632" spans="1:22" x14ac:dyDescent="0.3">
      <c r="A632" s="8" t="s">
        <v>1191</v>
      </c>
      <c r="B632" s="9">
        <v>45800</v>
      </c>
      <c r="C632" s="8" t="s">
        <v>107</v>
      </c>
      <c r="D632" s="8" t="s">
        <v>108</v>
      </c>
      <c r="E632" s="8" t="s">
        <v>39</v>
      </c>
      <c r="F632" s="8" t="s">
        <v>1132</v>
      </c>
      <c r="G632" s="8" t="s">
        <v>41</v>
      </c>
      <c r="H632" s="8" t="s">
        <v>94</v>
      </c>
      <c r="I632" s="8" t="s">
        <v>68</v>
      </c>
      <c r="J632" s="8" t="s">
        <v>30</v>
      </c>
      <c r="K632" s="8" t="s">
        <v>31</v>
      </c>
      <c r="L632" s="8" t="s">
        <v>82</v>
      </c>
      <c r="M632" s="8">
        <v>3</v>
      </c>
      <c r="N632" s="10">
        <v>3941.71</v>
      </c>
      <c r="O632" s="11">
        <v>0.1</v>
      </c>
      <c r="P632" s="10">
        <v>10642.62</v>
      </c>
      <c r="Q632" s="10">
        <v>6689.84</v>
      </c>
      <c r="R632" s="10">
        <v>3952.78</v>
      </c>
      <c r="S632" s="8" t="s">
        <v>53</v>
      </c>
      <c r="T632" s="8" t="s">
        <v>147</v>
      </c>
      <c r="U632" s="8">
        <v>5</v>
      </c>
      <c r="V632" s="8" t="s">
        <v>134</v>
      </c>
    </row>
    <row r="633" spans="1:22" x14ac:dyDescent="0.3">
      <c r="A633" s="12" t="s">
        <v>1192</v>
      </c>
      <c r="B633" s="13">
        <v>45772</v>
      </c>
      <c r="C633" s="12" t="s">
        <v>113</v>
      </c>
      <c r="D633" s="12" t="s">
        <v>114</v>
      </c>
      <c r="E633" s="12" t="s">
        <v>59</v>
      </c>
      <c r="F633" s="12" t="s">
        <v>557</v>
      </c>
      <c r="G633" s="12" t="s">
        <v>27</v>
      </c>
      <c r="H633" s="12" t="s">
        <v>42</v>
      </c>
      <c r="I633" s="12" t="s">
        <v>29</v>
      </c>
      <c r="J633" s="12" t="s">
        <v>89</v>
      </c>
      <c r="K633" s="12" t="s">
        <v>90</v>
      </c>
      <c r="L633" s="12" t="s">
        <v>77</v>
      </c>
      <c r="M633" s="12">
        <v>3</v>
      </c>
      <c r="N633" s="14">
        <v>3459.52</v>
      </c>
      <c r="O633" s="15">
        <v>0.15</v>
      </c>
      <c r="P633" s="14">
        <v>8821.7800000000007</v>
      </c>
      <c r="Q633" s="14">
        <v>6073.01</v>
      </c>
      <c r="R633" s="14">
        <v>2748.77</v>
      </c>
      <c r="S633" s="12" t="s">
        <v>53</v>
      </c>
      <c r="T633" s="12" t="s">
        <v>64</v>
      </c>
      <c r="U633" s="12">
        <v>3</v>
      </c>
      <c r="V633" s="12" t="s">
        <v>96</v>
      </c>
    </row>
    <row r="634" spans="1:22" x14ac:dyDescent="0.3">
      <c r="A634" s="8" t="s">
        <v>1193</v>
      </c>
      <c r="B634" s="9">
        <v>45809</v>
      </c>
      <c r="C634" s="8" t="s">
        <v>57</v>
      </c>
      <c r="D634" s="8" t="s">
        <v>58</v>
      </c>
      <c r="E634" s="8" t="s">
        <v>59</v>
      </c>
      <c r="F634" s="8" t="s">
        <v>1194</v>
      </c>
      <c r="G634" s="8" t="s">
        <v>27</v>
      </c>
      <c r="H634" s="8" t="s">
        <v>81</v>
      </c>
      <c r="I634" s="8" t="s">
        <v>29</v>
      </c>
      <c r="J634" s="8" t="s">
        <v>69</v>
      </c>
      <c r="K634" s="8" t="s">
        <v>137</v>
      </c>
      <c r="L634" s="8" t="s">
        <v>52</v>
      </c>
      <c r="M634" s="8">
        <v>3</v>
      </c>
      <c r="N634" s="10">
        <v>514.37</v>
      </c>
      <c r="O634" s="11">
        <v>0.25</v>
      </c>
      <c r="P634" s="10">
        <v>1157.33</v>
      </c>
      <c r="Q634" s="10">
        <v>666.36</v>
      </c>
      <c r="R634" s="10">
        <v>490.97</v>
      </c>
      <c r="S634" s="8" t="s">
        <v>33</v>
      </c>
      <c r="T634" s="8" t="s">
        <v>54</v>
      </c>
      <c r="U634" s="8">
        <v>5</v>
      </c>
      <c r="V634" s="8" t="s">
        <v>157</v>
      </c>
    </row>
    <row r="635" spans="1:22" x14ac:dyDescent="0.3">
      <c r="A635" s="12" t="s">
        <v>1195</v>
      </c>
      <c r="B635" s="13">
        <v>45913</v>
      </c>
      <c r="C635" s="12" t="s">
        <v>98</v>
      </c>
      <c r="D635" s="12" t="s">
        <v>99</v>
      </c>
      <c r="E635" s="12" t="s">
        <v>25</v>
      </c>
      <c r="F635" s="12" t="s">
        <v>177</v>
      </c>
      <c r="G635" s="12" t="s">
        <v>27</v>
      </c>
      <c r="H635" s="12" t="s">
        <v>28</v>
      </c>
      <c r="I635" s="12" t="s">
        <v>68</v>
      </c>
      <c r="J635" s="12" t="s">
        <v>75</v>
      </c>
      <c r="K635" s="12" t="s">
        <v>154</v>
      </c>
      <c r="L635" s="12" t="s">
        <v>82</v>
      </c>
      <c r="M635" s="12">
        <v>1</v>
      </c>
      <c r="N635" s="14">
        <v>2034.56</v>
      </c>
      <c r="O635" s="15">
        <v>0.1</v>
      </c>
      <c r="P635" s="14">
        <v>1831.1</v>
      </c>
      <c r="Q635" s="14">
        <v>1067.1500000000001</v>
      </c>
      <c r="R635" s="14">
        <v>763.95</v>
      </c>
      <c r="S635" s="12" t="s">
        <v>53</v>
      </c>
      <c r="T635" s="12" t="s">
        <v>54</v>
      </c>
      <c r="U635" s="12">
        <v>3</v>
      </c>
      <c r="V635" s="12" t="s">
        <v>116</v>
      </c>
    </row>
    <row r="636" spans="1:22" x14ac:dyDescent="0.3">
      <c r="A636" s="8" t="s">
        <v>1196</v>
      </c>
      <c r="B636" s="9">
        <v>45746</v>
      </c>
      <c r="C636" s="8" t="s">
        <v>131</v>
      </c>
      <c r="D636" s="8" t="s">
        <v>132</v>
      </c>
      <c r="E636" s="8" t="s">
        <v>25</v>
      </c>
      <c r="F636" s="8" t="s">
        <v>1197</v>
      </c>
      <c r="G636" s="8" t="s">
        <v>41</v>
      </c>
      <c r="H636" s="8" t="s">
        <v>28</v>
      </c>
      <c r="I636" s="8" t="s">
        <v>68</v>
      </c>
      <c r="J636" s="8" t="s">
        <v>30</v>
      </c>
      <c r="K636" s="8" t="s">
        <v>31</v>
      </c>
      <c r="L636" s="8" t="s">
        <v>82</v>
      </c>
      <c r="M636" s="8">
        <v>1</v>
      </c>
      <c r="N636" s="10">
        <v>4015.12</v>
      </c>
      <c r="O636" s="11">
        <v>0.25</v>
      </c>
      <c r="P636" s="10">
        <v>3011.34</v>
      </c>
      <c r="Q636" s="10">
        <v>2282.69</v>
      </c>
      <c r="R636" s="10">
        <v>728.65</v>
      </c>
      <c r="S636" s="8" t="s">
        <v>63</v>
      </c>
      <c r="T636" s="8" t="s">
        <v>54</v>
      </c>
      <c r="U636" s="8">
        <v>3</v>
      </c>
      <c r="V636" s="8" t="s">
        <v>55</v>
      </c>
    </row>
    <row r="637" spans="1:22" x14ac:dyDescent="0.3">
      <c r="A637" s="12" t="s">
        <v>1198</v>
      </c>
      <c r="B637" s="13">
        <v>45695</v>
      </c>
      <c r="C637" s="12" t="s">
        <v>57</v>
      </c>
      <c r="D637" s="12" t="s">
        <v>58</v>
      </c>
      <c r="E637" s="12" t="s">
        <v>59</v>
      </c>
      <c r="F637" s="12" t="s">
        <v>432</v>
      </c>
      <c r="G637" s="12" t="s">
        <v>41</v>
      </c>
      <c r="H637" s="12" t="s">
        <v>42</v>
      </c>
      <c r="I637" s="12" t="s">
        <v>61</v>
      </c>
      <c r="J637" s="12" t="s">
        <v>75</v>
      </c>
      <c r="K637" s="12" t="s">
        <v>154</v>
      </c>
      <c r="L637" s="12" t="s">
        <v>45</v>
      </c>
      <c r="M637" s="12">
        <v>1</v>
      </c>
      <c r="N637" s="14">
        <v>2009.67</v>
      </c>
      <c r="O637" s="15">
        <v>0.05</v>
      </c>
      <c r="P637" s="14">
        <v>1909.19</v>
      </c>
      <c r="Q637" s="14">
        <v>1079.94</v>
      </c>
      <c r="R637" s="14">
        <v>829.25</v>
      </c>
      <c r="S637" s="12" t="s">
        <v>53</v>
      </c>
      <c r="T637" s="12" t="s">
        <v>111</v>
      </c>
      <c r="U637" s="12">
        <v>4</v>
      </c>
      <c r="V637" s="12" t="s">
        <v>105</v>
      </c>
    </row>
    <row r="638" spans="1:22" x14ac:dyDescent="0.3">
      <c r="A638" s="8" t="s">
        <v>1199</v>
      </c>
      <c r="B638" s="9">
        <v>46007</v>
      </c>
      <c r="C638" s="8" t="s">
        <v>23</v>
      </c>
      <c r="D638" s="8" t="s">
        <v>24</v>
      </c>
      <c r="E638" s="8" t="s">
        <v>25</v>
      </c>
      <c r="F638" s="8" t="s">
        <v>1200</v>
      </c>
      <c r="G638" s="8" t="s">
        <v>41</v>
      </c>
      <c r="H638" s="8" t="s">
        <v>42</v>
      </c>
      <c r="I638" s="8" t="s">
        <v>68</v>
      </c>
      <c r="J638" s="8" t="s">
        <v>43</v>
      </c>
      <c r="K638" s="8" t="s">
        <v>162</v>
      </c>
      <c r="L638" s="8" t="s">
        <v>175</v>
      </c>
      <c r="M638" s="8">
        <v>3</v>
      </c>
      <c r="N638" s="10">
        <v>894.18</v>
      </c>
      <c r="O638" s="11">
        <v>0.05</v>
      </c>
      <c r="P638" s="10">
        <v>2548.41</v>
      </c>
      <c r="Q638" s="10">
        <v>1250.4000000000001</v>
      </c>
      <c r="R638" s="10">
        <v>1298.01</v>
      </c>
      <c r="S638" s="8" t="s">
        <v>63</v>
      </c>
      <c r="T638" s="8" t="s">
        <v>147</v>
      </c>
      <c r="U638" s="8">
        <v>4</v>
      </c>
      <c r="V638" s="8" t="s">
        <v>35</v>
      </c>
    </row>
    <row r="639" spans="1:22" x14ac:dyDescent="0.3">
      <c r="A639" s="12" t="s">
        <v>1201</v>
      </c>
      <c r="B639" s="13">
        <v>45716</v>
      </c>
      <c r="C639" s="12" t="s">
        <v>48</v>
      </c>
      <c r="D639" s="12" t="s">
        <v>49</v>
      </c>
      <c r="E639" s="12" t="s">
        <v>39</v>
      </c>
      <c r="F639" s="12" t="s">
        <v>1202</v>
      </c>
      <c r="G639" s="12" t="s">
        <v>41</v>
      </c>
      <c r="H639" s="12" t="s">
        <v>42</v>
      </c>
      <c r="I639" s="12" t="s">
        <v>68</v>
      </c>
      <c r="J639" s="12" t="s">
        <v>101</v>
      </c>
      <c r="K639" s="12" t="s">
        <v>110</v>
      </c>
      <c r="L639" s="12" t="s">
        <v>45</v>
      </c>
      <c r="M639" s="12">
        <v>3</v>
      </c>
      <c r="N639" s="14">
        <v>4853.12</v>
      </c>
      <c r="O639" s="15">
        <v>0.2</v>
      </c>
      <c r="P639" s="14">
        <v>11647.49</v>
      </c>
      <c r="Q639" s="14">
        <v>9307.57</v>
      </c>
      <c r="R639" s="14">
        <v>2339.92</v>
      </c>
      <c r="S639" s="12" t="s">
        <v>33</v>
      </c>
      <c r="T639" s="12" t="s">
        <v>54</v>
      </c>
      <c r="U639" s="12">
        <v>4</v>
      </c>
      <c r="V639" s="12" t="s">
        <v>105</v>
      </c>
    </row>
    <row r="640" spans="1:22" x14ac:dyDescent="0.3">
      <c r="A640" s="8" t="s">
        <v>1203</v>
      </c>
      <c r="B640" s="9">
        <v>45833</v>
      </c>
      <c r="C640" s="8" t="s">
        <v>131</v>
      </c>
      <c r="D640" s="8" t="s">
        <v>132</v>
      </c>
      <c r="E640" s="8" t="s">
        <v>25</v>
      </c>
      <c r="F640" s="8" t="s">
        <v>196</v>
      </c>
      <c r="G640" s="8" t="s">
        <v>41</v>
      </c>
      <c r="H640" s="8" t="s">
        <v>28</v>
      </c>
      <c r="I640" s="8" t="s">
        <v>29</v>
      </c>
      <c r="J640" s="8" t="s">
        <v>101</v>
      </c>
      <c r="K640" s="8" t="s">
        <v>110</v>
      </c>
      <c r="L640" s="8" t="s">
        <v>91</v>
      </c>
      <c r="M640" s="8">
        <v>1</v>
      </c>
      <c r="N640" s="10">
        <v>5001.88</v>
      </c>
      <c r="O640" s="11">
        <v>0.3</v>
      </c>
      <c r="P640" s="10">
        <v>3501.32</v>
      </c>
      <c r="Q640" s="10">
        <v>3218.34</v>
      </c>
      <c r="R640" s="10">
        <v>282.98</v>
      </c>
      <c r="S640" s="8" t="s">
        <v>33</v>
      </c>
      <c r="T640" s="8" t="s">
        <v>147</v>
      </c>
      <c r="U640" s="8">
        <v>4</v>
      </c>
      <c r="V640" s="8" t="s">
        <v>157</v>
      </c>
    </row>
    <row r="641" spans="1:22" x14ac:dyDescent="0.3">
      <c r="A641" s="12" t="s">
        <v>1204</v>
      </c>
      <c r="B641" s="13">
        <v>45875</v>
      </c>
      <c r="C641" s="12" t="s">
        <v>107</v>
      </c>
      <c r="D641" s="12" t="s">
        <v>108</v>
      </c>
      <c r="E641" s="12" t="s">
        <v>39</v>
      </c>
      <c r="F641" s="12" t="s">
        <v>1205</v>
      </c>
      <c r="G641" s="12" t="s">
        <v>27</v>
      </c>
      <c r="H641" s="12" t="s">
        <v>94</v>
      </c>
      <c r="I641" s="12" t="s">
        <v>61</v>
      </c>
      <c r="J641" s="12" t="s">
        <v>30</v>
      </c>
      <c r="K641" s="12" t="s">
        <v>144</v>
      </c>
      <c r="L641" s="12" t="s">
        <v>52</v>
      </c>
      <c r="M641" s="12">
        <v>4</v>
      </c>
      <c r="N641" s="14">
        <v>2471.4899999999998</v>
      </c>
      <c r="O641" s="15">
        <v>0.05</v>
      </c>
      <c r="P641" s="14">
        <v>9391.66</v>
      </c>
      <c r="Q641" s="14">
        <v>6011.55</v>
      </c>
      <c r="R641" s="14">
        <v>3380.11</v>
      </c>
      <c r="S641" s="12" t="s">
        <v>46</v>
      </c>
      <c r="T641" s="12" t="s">
        <v>147</v>
      </c>
      <c r="U641" s="12">
        <v>3</v>
      </c>
      <c r="V641" s="12" t="s">
        <v>72</v>
      </c>
    </row>
    <row r="642" spans="1:22" x14ac:dyDescent="0.3">
      <c r="A642" s="8" t="s">
        <v>1206</v>
      </c>
      <c r="B642" s="9">
        <v>45831</v>
      </c>
      <c r="C642" s="8" t="s">
        <v>98</v>
      </c>
      <c r="D642" s="8" t="s">
        <v>99</v>
      </c>
      <c r="E642" s="8" t="s">
        <v>25</v>
      </c>
      <c r="F642" s="8" t="s">
        <v>938</v>
      </c>
      <c r="G642" s="8" t="s">
        <v>41</v>
      </c>
      <c r="H642" s="8" t="s">
        <v>94</v>
      </c>
      <c r="I642" s="8" t="s">
        <v>68</v>
      </c>
      <c r="J642" s="8" t="s">
        <v>89</v>
      </c>
      <c r="K642" s="8" t="s">
        <v>89</v>
      </c>
      <c r="L642" s="8" t="s">
        <v>91</v>
      </c>
      <c r="M642" s="8">
        <v>3</v>
      </c>
      <c r="N642" s="10">
        <v>1282.22</v>
      </c>
      <c r="O642" s="11">
        <v>0.3</v>
      </c>
      <c r="P642" s="10">
        <v>2692.66</v>
      </c>
      <c r="Q642" s="10">
        <v>2065.2399999999998</v>
      </c>
      <c r="R642" s="10">
        <v>627.41999999999996</v>
      </c>
      <c r="S642" s="8" t="s">
        <v>53</v>
      </c>
      <c r="T642" s="8" t="s">
        <v>78</v>
      </c>
      <c r="U642" s="8">
        <v>3</v>
      </c>
      <c r="V642" s="8" t="s">
        <v>157</v>
      </c>
    </row>
    <row r="643" spans="1:22" x14ac:dyDescent="0.3">
      <c r="A643" s="12" t="s">
        <v>1207</v>
      </c>
      <c r="B643" s="13">
        <v>45677</v>
      </c>
      <c r="C643" s="12" t="s">
        <v>113</v>
      </c>
      <c r="D643" s="12" t="s">
        <v>114</v>
      </c>
      <c r="E643" s="12" t="s">
        <v>59</v>
      </c>
      <c r="F643" s="12" t="s">
        <v>1208</v>
      </c>
      <c r="G643" s="12" t="s">
        <v>41</v>
      </c>
      <c r="H643" s="12" t="s">
        <v>94</v>
      </c>
      <c r="I643" s="12" t="s">
        <v>61</v>
      </c>
      <c r="J643" s="12" t="s">
        <v>43</v>
      </c>
      <c r="K643" s="12" t="s">
        <v>51</v>
      </c>
      <c r="L643" s="12" t="s">
        <v>52</v>
      </c>
      <c r="M643" s="12">
        <v>1</v>
      </c>
      <c r="N643" s="14">
        <v>1487.81</v>
      </c>
      <c r="O643" s="15">
        <v>0.1</v>
      </c>
      <c r="P643" s="14">
        <v>1339.03</v>
      </c>
      <c r="Q643" s="14">
        <v>713.38</v>
      </c>
      <c r="R643" s="14">
        <v>625.65</v>
      </c>
      <c r="S643" s="12" t="s">
        <v>33</v>
      </c>
      <c r="T643" s="12" t="s">
        <v>78</v>
      </c>
      <c r="U643" s="12">
        <v>5</v>
      </c>
      <c r="V643" s="12" t="s">
        <v>84</v>
      </c>
    </row>
    <row r="644" spans="1:22" x14ac:dyDescent="0.3">
      <c r="A644" s="8" t="s">
        <v>1209</v>
      </c>
      <c r="B644" s="9">
        <v>45723</v>
      </c>
      <c r="C644" s="8" t="s">
        <v>57</v>
      </c>
      <c r="D644" s="8" t="s">
        <v>58</v>
      </c>
      <c r="E644" s="8" t="s">
        <v>59</v>
      </c>
      <c r="F644" s="8" t="s">
        <v>480</v>
      </c>
      <c r="G644" s="8" t="s">
        <v>27</v>
      </c>
      <c r="H644" s="8" t="s">
        <v>42</v>
      </c>
      <c r="I644" s="8" t="s">
        <v>68</v>
      </c>
      <c r="J644" s="8" t="s">
        <v>101</v>
      </c>
      <c r="K644" s="8" t="s">
        <v>102</v>
      </c>
      <c r="L644" s="8" t="s">
        <v>175</v>
      </c>
      <c r="M644" s="8">
        <v>2</v>
      </c>
      <c r="N644" s="10">
        <v>682.33</v>
      </c>
      <c r="O644" s="11">
        <v>0.3</v>
      </c>
      <c r="P644" s="10">
        <v>955.26</v>
      </c>
      <c r="Q644" s="10">
        <v>483.45</v>
      </c>
      <c r="R644" s="10">
        <v>471.81</v>
      </c>
      <c r="S644" s="8" t="s">
        <v>46</v>
      </c>
      <c r="T644" s="8" t="s">
        <v>71</v>
      </c>
      <c r="U644" s="8">
        <v>5</v>
      </c>
      <c r="V644" s="8" t="s">
        <v>55</v>
      </c>
    </row>
    <row r="645" spans="1:22" x14ac:dyDescent="0.3">
      <c r="A645" s="12" t="s">
        <v>1210</v>
      </c>
      <c r="B645" s="13">
        <v>45810</v>
      </c>
      <c r="C645" s="12" t="s">
        <v>113</v>
      </c>
      <c r="D645" s="12" t="s">
        <v>114</v>
      </c>
      <c r="E645" s="12" t="s">
        <v>59</v>
      </c>
      <c r="F645" s="12" t="s">
        <v>1211</v>
      </c>
      <c r="G645" s="12" t="s">
        <v>27</v>
      </c>
      <c r="H645" s="12" t="s">
        <v>28</v>
      </c>
      <c r="I645" s="12" t="s">
        <v>61</v>
      </c>
      <c r="J645" s="12" t="s">
        <v>101</v>
      </c>
      <c r="K645" s="12" t="s">
        <v>102</v>
      </c>
      <c r="L645" s="12" t="s">
        <v>52</v>
      </c>
      <c r="M645" s="12">
        <v>4</v>
      </c>
      <c r="N645" s="14">
        <v>671.94</v>
      </c>
      <c r="O645" s="15">
        <v>0.2</v>
      </c>
      <c r="P645" s="14">
        <v>2150.21</v>
      </c>
      <c r="Q645" s="14">
        <v>1017.3</v>
      </c>
      <c r="R645" s="14">
        <v>1132.9100000000001</v>
      </c>
      <c r="S645" s="12" t="s">
        <v>46</v>
      </c>
      <c r="T645" s="12" t="s">
        <v>78</v>
      </c>
      <c r="U645" s="12">
        <v>5</v>
      </c>
      <c r="V645" s="12" t="s">
        <v>157</v>
      </c>
    </row>
    <row r="646" spans="1:22" x14ac:dyDescent="0.3">
      <c r="A646" s="8" t="s">
        <v>1212</v>
      </c>
      <c r="B646" s="9">
        <v>45745</v>
      </c>
      <c r="C646" s="8" t="s">
        <v>37</v>
      </c>
      <c r="D646" s="8" t="s">
        <v>38</v>
      </c>
      <c r="E646" s="8" t="s">
        <v>39</v>
      </c>
      <c r="F646" s="8" t="s">
        <v>279</v>
      </c>
      <c r="G646" s="8" t="s">
        <v>41</v>
      </c>
      <c r="H646" s="8" t="s">
        <v>42</v>
      </c>
      <c r="I646" s="8" t="s">
        <v>68</v>
      </c>
      <c r="J646" s="8" t="s">
        <v>89</v>
      </c>
      <c r="K646" s="8" t="s">
        <v>89</v>
      </c>
      <c r="L646" s="8" t="s">
        <v>77</v>
      </c>
      <c r="M646" s="8">
        <v>4</v>
      </c>
      <c r="N646" s="10">
        <v>1266.48</v>
      </c>
      <c r="O646" s="11">
        <v>0.25</v>
      </c>
      <c r="P646" s="10">
        <v>3799.44</v>
      </c>
      <c r="Q646" s="10">
        <v>2903.63</v>
      </c>
      <c r="R646" s="10">
        <v>895.81</v>
      </c>
      <c r="S646" s="8" t="s">
        <v>46</v>
      </c>
      <c r="T646" s="8" t="s">
        <v>111</v>
      </c>
      <c r="U646" s="8">
        <v>5</v>
      </c>
      <c r="V646" s="8" t="s">
        <v>55</v>
      </c>
    </row>
    <row r="647" spans="1:22" x14ac:dyDescent="0.3">
      <c r="A647" s="12" t="s">
        <v>1213</v>
      </c>
      <c r="B647" s="13">
        <v>45901</v>
      </c>
      <c r="C647" s="12" t="s">
        <v>125</v>
      </c>
      <c r="D647" s="12" t="s">
        <v>126</v>
      </c>
      <c r="E647" s="12" t="s">
        <v>25</v>
      </c>
      <c r="F647" s="12" t="s">
        <v>1214</v>
      </c>
      <c r="G647" s="12" t="s">
        <v>27</v>
      </c>
      <c r="H647" s="12" t="s">
        <v>42</v>
      </c>
      <c r="I647" s="12" t="s">
        <v>29</v>
      </c>
      <c r="J647" s="12" t="s">
        <v>75</v>
      </c>
      <c r="K647" s="12" t="s">
        <v>76</v>
      </c>
      <c r="L647" s="12" t="s">
        <v>175</v>
      </c>
      <c r="M647" s="12">
        <v>4</v>
      </c>
      <c r="N647" s="14">
        <v>831.81</v>
      </c>
      <c r="O647" s="15">
        <v>0.25</v>
      </c>
      <c r="P647" s="14">
        <v>2495.4299999999998</v>
      </c>
      <c r="Q647" s="14">
        <v>1356.44</v>
      </c>
      <c r="R647" s="14">
        <v>1138.99</v>
      </c>
      <c r="S647" s="12" t="s">
        <v>83</v>
      </c>
      <c r="T647" s="12" t="s">
        <v>104</v>
      </c>
      <c r="U647" s="12">
        <v>4</v>
      </c>
      <c r="V647" s="12" t="s">
        <v>116</v>
      </c>
    </row>
    <row r="648" spans="1:22" x14ac:dyDescent="0.3">
      <c r="A648" s="8" t="s">
        <v>1215</v>
      </c>
      <c r="B648" s="9">
        <v>45926</v>
      </c>
      <c r="C648" s="8" t="s">
        <v>48</v>
      </c>
      <c r="D648" s="8" t="s">
        <v>49</v>
      </c>
      <c r="E648" s="8" t="s">
        <v>39</v>
      </c>
      <c r="F648" s="8" t="s">
        <v>1216</v>
      </c>
      <c r="G648" s="8" t="s">
        <v>41</v>
      </c>
      <c r="H648" s="8" t="s">
        <v>81</v>
      </c>
      <c r="I648" s="8" t="s">
        <v>61</v>
      </c>
      <c r="J648" s="8" t="s">
        <v>75</v>
      </c>
      <c r="K648" s="8" t="s">
        <v>76</v>
      </c>
      <c r="L648" s="8" t="s">
        <v>103</v>
      </c>
      <c r="M648" s="8">
        <v>1</v>
      </c>
      <c r="N648" s="10">
        <v>787.86</v>
      </c>
      <c r="O648" s="11">
        <v>0.25</v>
      </c>
      <c r="P648" s="10">
        <v>590.89</v>
      </c>
      <c r="Q648" s="10">
        <v>347.72</v>
      </c>
      <c r="R648" s="10">
        <v>243.17</v>
      </c>
      <c r="S648" s="8" t="s">
        <v>46</v>
      </c>
      <c r="T648" s="8" t="s">
        <v>147</v>
      </c>
      <c r="U648" s="8">
        <v>5</v>
      </c>
      <c r="V648" s="8" t="s">
        <v>116</v>
      </c>
    </row>
    <row r="649" spans="1:22" x14ac:dyDescent="0.3">
      <c r="A649" s="12" t="s">
        <v>1217</v>
      </c>
      <c r="B649" s="13">
        <v>45958</v>
      </c>
      <c r="C649" s="12" t="s">
        <v>86</v>
      </c>
      <c r="D649" s="12" t="s">
        <v>87</v>
      </c>
      <c r="E649" s="12" t="s">
        <v>59</v>
      </c>
      <c r="F649" s="12" t="s">
        <v>1030</v>
      </c>
      <c r="G649" s="12" t="s">
        <v>27</v>
      </c>
      <c r="H649" s="12" t="s">
        <v>81</v>
      </c>
      <c r="I649" s="12" t="s">
        <v>68</v>
      </c>
      <c r="J649" s="12" t="s">
        <v>101</v>
      </c>
      <c r="K649" s="12" t="s">
        <v>102</v>
      </c>
      <c r="L649" s="12" t="s">
        <v>32</v>
      </c>
      <c r="M649" s="12">
        <v>3</v>
      </c>
      <c r="N649" s="14">
        <v>717.08</v>
      </c>
      <c r="O649" s="15">
        <v>0.2</v>
      </c>
      <c r="P649" s="14">
        <v>1720.99</v>
      </c>
      <c r="Q649" s="14">
        <v>787.14</v>
      </c>
      <c r="R649" s="14">
        <v>933.85</v>
      </c>
      <c r="S649" s="12" t="s">
        <v>33</v>
      </c>
      <c r="T649" s="12" t="s">
        <v>111</v>
      </c>
      <c r="U649" s="12">
        <v>4</v>
      </c>
      <c r="V649" s="12" t="s">
        <v>123</v>
      </c>
    </row>
    <row r="650" spans="1:22" x14ac:dyDescent="0.3">
      <c r="A650" s="8" t="s">
        <v>1218</v>
      </c>
      <c r="B650" s="9">
        <v>45723</v>
      </c>
      <c r="C650" s="8" t="s">
        <v>113</v>
      </c>
      <c r="D650" s="8" t="s">
        <v>114</v>
      </c>
      <c r="E650" s="8" t="s">
        <v>59</v>
      </c>
      <c r="F650" s="8" t="s">
        <v>744</v>
      </c>
      <c r="G650" s="8" t="s">
        <v>41</v>
      </c>
      <c r="H650" s="8" t="s">
        <v>42</v>
      </c>
      <c r="I650" s="8" t="s">
        <v>68</v>
      </c>
      <c r="J650" s="8" t="s">
        <v>89</v>
      </c>
      <c r="K650" s="8" t="s">
        <v>90</v>
      </c>
      <c r="L650" s="8" t="s">
        <v>77</v>
      </c>
      <c r="M650" s="8">
        <v>4</v>
      </c>
      <c r="N650" s="10">
        <v>3529.58</v>
      </c>
      <c r="O650" s="11">
        <v>0.05</v>
      </c>
      <c r="P650" s="10">
        <v>13412.4</v>
      </c>
      <c r="Q650" s="10">
        <v>8264.18</v>
      </c>
      <c r="R650" s="10">
        <v>5148.22</v>
      </c>
      <c r="S650" s="8" t="s">
        <v>33</v>
      </c>
      <c r="T650" s="8" t="s">
        <v>54</v>
      </c>
      <c r="U650" s="8">
        <v>5</v>
      </c>
      <c r="V650" s="8" t="s">
        <v>55</v>
      </c>
    </row>
    <row r="651" spans="1:22" x14ac:dyDescent="0.3">
      <c r="A651" s="12" t="s">
        <v>1219</v>
      </c>
      <c r="B651" s="13">
        <v>45884</v>
      </c>
      <c r="C651" s="12" t="s">
        <v>113</v>
      </c>
      <c r="D651" s="12" t="s">
        <v>114</v>
      </c>
      <c r="E651" s="12" t="s">
        <v>59</v>
      </c>
      <c r="F651" s="12" t="s">
        <v>1220</v>
      </c>
      <c r="G651" s="12" t="s">
        <v>41</v>
      </c>
      <c r="H651" s="12" t="s">
        <v>28</v>
      </c>
      <c r="I651" s="12" t="s">
        <v>29</v>
      </c>
      <c r="J651" s="12" t="s">
        <v>101</v>
      </c>
      <c r="K651" s="12" t="s">
        <v>110</v>
      </c>
      <c r="L651" s="12" t="s">
        <v>82</v>
      </c>
      <c r="M651" s="12">
        <v>3</v>
      </c>
      <c r="N651" s="14">
        <v>4815.93</v>
      </c>
      <c r="O651" s="15">
        <v>0.2</v>
      </c>
      <c r="P651" s="14">
        <v>11558.23</v>
      </c>
      <c r="Q651" s="14">
        <v>10020.799999999999</v>
      </c>
      <c r="R651" s="14">
        <v>1537.43</v>
      </c>
      <c r="S651" s="12" t="s">
        <v>63</v>
      </c>
      <c r="T651" s="12" t="s">
        <v>34</v>
      </c>
      <c r="U651" s="12">
        <v>5</v>
      </c>
      <c r="V651" s="12" t="s">
        <v>72</v>
      </c>
    </row>
    <row r="652" spans="1:22" x14ac:dyDescent="0.3">
      <c r="A652" s="8" t="s">
        <v>1221</v>
      </c>
      <c r="B652" s="9">
        <v>45966</v>
      </c>
      <c r="C652" s="8" t="s">
        <v>107</v>
      </c>
      <c r="D652" s="8" t="s">
        <v>108</v>
      </c>
      <c r="E652" s="8" t="s">
        <v>39</v>
      </c>
      <c r="F652" s="8" t="s">
        <v>833</v>
      </c>
      <c r="G652" s="8" t="s">
        <v>27</v>
      </c>
      <c r="H652" s="8" t="s">
        <v>81</v>
      </c>
      <c r="I652" s="8" t="s">
        <v>29</v>
      </c>
      <c r="J652" s="8" t="s">
        <v>75</v>
      </c>
      <c r="K652" s="8" t="s">
        <v>95</v>
      </c>
      <c r="L652" s="8" t="s">
        <v>32</v>
      </c>
      <c r="M652" s="8">
        <v>1</v>
      </c>
      <c r="N652" s="10">
        <v>25613.47</v>
      </c>
      <c r="O652" s="11">
        <v>0.15</v>
      </c>
      <c r="P652" s="10">
        <v>21771.45</v>
      </c>
      <c r="Q652" s="10">
        <v>17730.71</v>
      </c>
      <c r="R652" s="10">
        <v>4040.74</v>
      </c>
      <c r="S652" s="8" t="s">
        <v>46</v>
      </c>
      <c r="T652" s="8" t="s">
        <v>78</v>
      </c>
      <c r="U652" s="8">
        <v>5</v>
      </c>
      <c r="V652" s="8" t="s">
        <v>65</v>
      </c>
    </row>
    <row r="653" spans="1:22" x14ac:dyDescent="0.3">
      <c r="A653" s="12" t="s">
        <v>1222</v>
      </c>
      <c r="B653" s="13">
        <v>45849</v>
      </c>
      <c r="C653" s="12" t="s">
        <v>131</v>
      </c>
      <c r="D653" s="12" t="s">
        <v>132</v>
      </c>
      <c r="E653" s="12" t="s">
        <v>25</v>
      </c>
      <c r="F653" s="12" t="s">
        <v>1223</v>
      </c>
      <c r="G653" s="12" t="s">
        <v>27</v>
      </c>
      <c r="H653" s="12" t="s">
        <v>42</v>
      </c>
      <c r="I653" s="12" t="s">
        <v>61</v>
      </c>
      <c r="J653" s="12" t="s">
        <v>89</v>
      </c>
      <c r="K653" s="12" t="s">
        <v>89</v>
      </c>
      <c r="L653" s="12" t="s">
        <v>103</v>
      </c>
      <c r="M653" s="12">
        <v>4</v>
      </c>
      <c r="N653" s="14">
        <v>1297.21</v>
      </c>
      <c r="O653" s="15">
        <v>0.2</v>
      </c>
      <c r="P653" s="14">
        <v>4151.07</v>
      </c>
      <c r="Q653" s="14">
        <v>2878.87</v>
      </c>
      <c r="R653" s="14">
        <v>1272.2</v>
      </c>
      <c r="S653" s="12" t="s">
        <v>33</v>
      </c>
      <c r="T653" s="12" t="s">
        <v>119</v>
      </c>
      <c r="U653" s="12">
        <v>5</v>
      </c>
      <c r="V653" s="12" t="s">
        <v>120</v>
      </c>
    </row>
    <row r="654" spans="1:22" x14ac:dyDescent="0.3">
      <c r="A654" s="8" t="s">
        <v>1224</v>
      </c>
      <c r="B654" s="9">
        <v>45957</v>
      </c>
      <c r="C654" s="8" t="s">
        <v>23</v>
      </c>
      <c r="D654" s="8" t="s">
        <v>24</v>
      </c>
      <c r="E654" s="8" t="s">
        <v>25</v>
      </c>
      <c r="F654" s="8" t="s">
        <v>1225</v>
      </c>
      <c r="G654" s="8" t="s">
        <v>27</v>
      </c>
      <c r="H654" s="8" t="s">
        <v>42</v>
      </c>
      <c r="I654" s="8" t="s">
        <v>29</v>
      </c>
      <c r="J654" s="8" t="s">
        <v>89</v>
      </c>
      <c r="K654" s="8" t="s">
        <v>151</v>
      </c>
      <c r="L654" s="8" t="s">
        <v>77</v>
      </c>
      <c r="M654" s="8">
        <v>3</v>
      </c>
      <c r="N654" s="10">
        <v>999.66</v>
      </c>
      <c r="O654" s="11">
        <v>0.15</v>
      </c>
      <c r="P654" s="10">
        <v>2549.13</v>
      </c>
      <c r="Q654" s="10">
        <v>1507.82</v>
      </c>
      <c r="R654" s="10">
        <v>1041.31</v>
      </c>
      <c r="S654" s="8" t="s">
        <v>46</v>
      </c>
      <c r="T654" s="8" t="s">
        <v>54</v>
      </c>
      <c r="U654" s="8">
        <v>4</v>
      </c>
      <c r="V654" s="8" t="s">
        <v>123</v>
      </c>
    </row>
    <row r="655" spans="1:22" x14ac:dyDescent="0.3">
      <c r="A655" s="12" t="s">
        <v>1226</v>
      </c>
      <c r="B655" s="13">
        <v>45826</v>
      </c>
      <c r="C655" s="12" t="s">
        <v>86</v>
      </c>
      <c r="D655" s="12" t="s">
        <v>87</v>
      </c>
      <c r="E655" s="12" t="s">
        <v>59</v>
      </c>
      <c r="F655" s="12" t="s">
        <v>1015</v>
      </c>
      <c r="G655" s="12" t="s">
        <v>27</v>
      </c>
      <c r="H655" s="12" t="s">
        <v>94</v>
      </c>
      <c r="I655" s="12" t="s">
        <v>29</v>
      </c>
      <c r="J655" s="12" t="s">
        <v>30</v>
      </c>
      <c r="K655" s="12" t="s">
        <v>62</v>
      </c>
      <c r="L655" s="12" t="s">
        <v>77</v>
      </c>
      <c r="M655" s="12">
        <v>2</v>
      </c>
      <c r="N655" s="14">
        <v>998.55</v>
      </c>
      <c r="O655" s="15">
        <v>0.3</v>
      </c>
      <c r="P655" s="14">
        <v>1397.97</v>
      </c>
      <c r="Q655" s="14">
        <v>932.96</v>
      </c>
      <c r="R655" s="14">
        <v>465.01</v>
      </c>
      <c r="S655" s="12" t="s">
        <v>46</v>
      </c>
      <c r="T655" s="12" t="s">
        <v>147</v>
      </c>
      <c r="U655" s="12">
        <v>5</v>
      </c>
      <c r="V655" s="12" t="s">
        <v>157</v>
      </c>
    </row>
    <row r="656" spans="1:22" x14ac:dyDescent="0.3">
      <c r="A656" s="8" t="s">
        <v>1227</v>
      </c>
      <c r="B656" s="9">
        <v>45722</v>
      </c>
      <c r="C656" s="8" t="s">
        <v>23</v>
      </c>
      <c r="D656" s="8" t="s">
        <v>24</v>
      </c>
      <c r="E656" s="8" t="s">
        <v>25</v>
      </c>
      <c r="F656" s="8" t="s">
        <v>1228</v>
      </c>
      <c r="G656" s="8" t="s">
        <v>27</v>
      </c>
      <c r="H656" s="8" t="s">
        <v>81</v>
      </c>
      <c r="I656" s="8" t="s">
        <v>29</v>
      </c>
      <c r="J656" s="8" t="s">
        <v>43</v>
      </c>
      <c r="K656" s="8" t="s">
        <v>51</v>
      </c>
      <c r="L656" s="8" t="s">
        <v>91</v>
      </c>
      <c r="M656" s="8">
        <v>1</v>
      </c>
      <c r="N656" s="10">
        <v>1432.12</v>
      </c>
      <c r="O656" s="11">
        <v>0.1</v>
      </c>
      <c r="P656" s="10">
        <v>1288.9100000000001</v>
      </c>
      <c r="Q656" s="10">
        <v>714.63</v>
      </c>
      <c r="R656" s="10">
        <v>574.28</v>
      </c>
      <c r="S656" s="8" t="s">
        <v>83</v>
      </c>
      <c r="T656" s="8" t="s">
        <v>78</v>
      </c>
      <c r="U656" s="8">
        <v>3</v>
      </c>
      <c r="V656" s="8" t="s">
        <v>55</v>
      </c>
    </row>
    <row r="657" spans="1:22" x14ac:dyDescent="0.3">
      <c r="A657" s="12" t="s">
        <v>1229</v>
      </c>
      <c r="B657" s="13">
        <v>45792</v>
      </c>
      <c r="C657" s="12" t="s">
        <v>98</v>
      </c>
      <c r="D657" s="12" t="s">
        <v>99</v>
      </c>
      <c r="E657" s="12" t="s">
        <v>25</v>
      </c>
      <c r="F657" s="12" t="s">
        <v>1132</v>
      </c>
      <c r="G657" s="12" t="s">
        <v>41</v>
      </c>
      <c r="H657" s="12" t="s">
        <v>28</v>
      </c>
      <c r="I657" s="12" t="s">
        <v>68</v>
      </c>
      <c r="J657" s="12" t="s">
        <v>69</v>
      </c>
      <c r="K657" s="12" t="s">
        <v>137</v>
      </c>
      <c r="L657" s="12" t="s">
        <v>82</v>
      </c>
      <c r="M657" s="12">
        <v>1</v>
      </c>
      <c r="N657" s="14">
        <v>505.75</v>
      </c>
      <c r="O657" s="15">
        <v>0.25</v>
      </c>
      <c r="P657" s="14">
        <v>379.31</v>
      </c>
      <c r="Q657" s="14">
        <v>219.36</v>
      </c>
      <c r="R657" s="14">
        <v>159.94999999999999</v>
      </c>
      <c r="S657" s="12" t="s">
        <v>63</v>
      </c>
      <c r="T657" s="12" t="s">
        <v>71</v>
      </c>
      <c r="U657" s="12">
        <v>3</v>
      </c>
      <c r="V657" s="12" t="s">
        <v>134</v>
      </c>
    </row>
    <row r="658" spans="1:22" x14ac:dyDescent="0.3">
      <c r="A658" s="8" t="s">
        <v>1230</v>
      </c>
      <c r="B658" s="9">
        <v>45849</v>
      </c>
      <c r="C658" s="8" t="s">
        <v>98</v>
      </c>
      <c r="D658" s="8" t="s">
        <v>99</v>
      </c>
      <c r="E658" s="8" t="s">
        <v>25</v>
      </c>
      <c r="F658" s="8" t="s">
        <v>394</v>
      </c>
      <c r="G658" s="8" t="s">
        <v>27</v>
      </c>
      <c r="H658" s="8" t="s">
        <v>28</v>
      </c>
      <c r="I658" s="8" t="s">
        <v>68</v>
      </c>
      <c r="J658" s="8" t="s">
        <v>43</v>
      </c>
      <c r="K658" s="8" t="s">
        <v>162</v>
      </c>
      <c r="L658" s="8" t="s">
        <v>32</v>
      </c>
      <c r="M658" s="8">
        <v>2</v>
      </c>
      <c r="N658" s="10">
        <v>861.78</v>
      </c>
      <c r="O658" s="11">
        <v>0.1</v>
      </c>
      <c r="P658" s="10">
        <v>1551.2</v>
      </c>
      <c r="Q658" s="10">
        <v>761.96</v>
      </c>
      <c r="R658" s="10">
        <v>789.24</v>
      </c>
      <c r="S658" s="8" t="s">
        <v>46</v>
      </c>
      <c r="T658" s="8" t="s">
        <v>104</v>
      </c>
      <c r="U658" s="8">
        <v>4</v>
      </c>
      <c r="V658" s="8" t="s">
        <v>120</v>
      </c>
    </row>
    <row r="659" spans="1:22" x14ac:dyDescent="0.3">
      <c r="A659" s="12" t="s">
        <v>1231</v>
      </c>
      <c r="B659" s="13">
        <v>45945</v>
      </c>
      <c r="C659" s="12" t="s">
        <v>131</v>
      </c>
      <c r="D659" s="12" t="s">
        <v>132</v>
      </c>
      <c r="E659" s="12" t="s">
        <v>25</v>
      </c>
      <c r="F659" s="12" t="s">
        <v>1232</v>
      </c>
      <c r="G659" s="12" t="s">
        <v>27</v>
      </c>
      <c r="H659" s="12" t="s">
        <v>81</v>
      </c>
      <c r="I659" s="12" t="s">
        <v>61</v>
      </c>
      <c r="J659" s="12" t="s">
        <v>30</v>
      </c>
      <c r="K659" s="12" t="s">
        <v>144</v>
      </c>
      <c r="L659" s="12" t="s">
        <v>52</v>
      </c>
      <c r="M659" s="12">
        <v>4</v>
      </c>
      <c r="N659" s="14">
        <v>2569.1799999999998</v>
      </c>
      <c r="O659" s="15">
        <v>0.2</v>
      </c>
      <c r="P659" s="14">
        <v>8221.3799999999992</v>
      </c>
      <c r="Q659" s="14">
        <v>5772.28</v>
      </c>
      <c r="R659" s="14">
        <v>2449.1</v>
      </c>
      <c r="S659" s="12" t="s">
        <v>53</v>
      </c>
      <c r="T659" s="12" t="s">
        <v>147</v>
      </c>
      <c r="U659" s="12">
        <v>3</v>
      </c>
      <c r="V659" s="12" t="s">
        <v>123</v>
      </c>
    </row>
    <row r="660" spans="1:22" x14ac:dyDescent="0.3">
      <c r="A660" s="8" t="s">
        <v>1233</v>
      </c>
      <c r="B660" s="9">
        <v>45973</v>
      </c>
      <c r="C660" s="8" t="s">
        <v>98</v>
      </c>
      <c r="D660" s="8" t="s">
        <v>99</v>
      </c>
      <c r="E660" s="8" t="s">
        <v>25</v>
      </c>
      <c r="F660" s="8" t="s">
        <v>1234</v>
      </c>
      <c r="G660" s="8" t="s">
        <v>41</v>
      </c>
      <c r="H660" s="8" t="s">
        <v>81</v>
      </c>
      <c r="I660" s="8" t="s">
        <v>29</v>
      </c>
      <c r="J660" s="8" t="s">
        <v>101</v>
      </c>
      <c r="K660" s="8" t="s">
        <v>217</v>
      </c>
      <c r="L660" s="8" t="s">
        <v>45</v>
      </c>
      <c r="M660" s="8">
        <v>3</v>
      </c>
      <c r="N660" s="10">
        <v>3028.34</v>
      </c>
      <c r="O660" s="11">
        <v>0.2</v>
      </c>
      <c r="P660" s="10">
        <v>7268.02</v>
      </c>
      <c r="Q660" s="10">
        <v>4941.67</v>
      </c>
      <c r="R660" s="10">
        <v>2326.35</v>
      </c>
      <c r="S660" s="8" t="s">
        <v>53</v>
      </c>
      <c r="T660" s="8" t="s">
        <v>156</v>
      </c>
      <c r="U660" s="8">
        <v>3</v>
      </c>
      <c r="V660" s="8" t="s">
        <v>65</v>
      </c>
    </row>
    <row r="661" spans="1:22" x14ac:dyDescent="0.3">
      <c r="A661" s="12" t="s">
        <v>1235</v>
      </c>
      <c r="B661" s="13">
        <v>45735</v>
      </c>
      <c r="C661" s="12" t="s">
        <v>113</v>
      </c>
      <c r="D661" s="12" t="s">
        <v>114</v>
      </c>
      <c r="E661" s="12" t="s">
        <v>59</v>
      </c>
      <c r="F661" s="12" t="s">
        <v>302</v>
      </c>
      <c r="G661" s="12" t="s">
        <v>27</v>
      </c>
      <c r="H661" s="12" t="s">
        <v>42</v>
      </c>
      <c r="I661" s="12" t="s">
        <v>68</v>
      </c>
      <c r="J661" s="12" t="s">
        <v>30</v>
      </c>
      <c r="K661" s="12" t="s">
        <v>62</v>
      </c>
      <c r="L661" s="12" t="s">
        <v>103</v>
      </c>
      <c r="M661" s="12">
        <v>3</v>
      </c>
      <c r="N661" s="14">
        <v>1009.17</v>
      </c>
      <c r="O661" s="15">
        <v>0.15</v>
      </c>
      <c r="P661" s="14">
        <v>2573.38</v>
      </c>
      <c r="Q661" s="14">
        <v>1304.47</v>
      </c>
      <c r="R661" s="14">
        <v>1268.9100000000001</v>
      </c>
      <c r="S661" s="12" t="s">
        <v>53</v>
      </c>
      <c r="T661" s="12" t="s">
        <v>64</v>
      </c>
      <c r="U661" s="12">
        <v>5</v>
      </c>
      <c r="V661" s="12" t="s">
        <v>55</v>
      </c>
    </row>
    <row r="662" spans="1:22" x14ac:dyDescent="0.3">
      <c r="A662" s="8" t="s">
        <v>1236</v>
      </c>
      <c r="B662" s="9">
        <v>45827</v>
      </c>
      <c r="C662" s="8" t="s">
        <v>86</v>
      </c>
      <c r="D662" s="8" t="s">
        <v>87</v>
      </c>
      <c r="E662" s="8" t="s">
        <v>59</v>
      </c>
      <c r="F662" s="8" t="s">
        <v>1132</v>
      </c>
      <c r="G662" s="8" t="s">
        <v>41</v>
      </c>
      <c r="H662" s="8" t="s">
        <v>28</v>
      </c>
      <c r="I662" s="8" t="s">
        <v>68</v>
      </c>
      <c r="J662" s="8" t="s">
        <v>101</v>
      </c>
      <c r="K662" s="8" t="s">
        <v>110</v>
      </c>
      <c r="L662" s="8" t="s">
        <v>103</v>
      </c>
      <c r="M662" s="8">
        <v>1</v>
      </c>
      <c r="N662" s="10">
        <v>5194.33</v>
      </c>
      <c r="O662" s="11">
        <v>0.05</v>
      </c>
      <c r="P662" s="10">
        <v>4934.6099999999997</v>
      </c>
      <c r="Q662" s="10">
        <v>3143.54</v>
      </c>
      <c r="R662" s="10">
        <v>1791.07</v>
      </c>
      <c r="S662" s="8" t="s">
        <v>83</v>
      </c>
      <c r="T662" s="8" t="s">
        <v>71</v>
      </c>
      <c r="U662" s="8">
        <v>5</v>
      </c>
      <c r="V662" s="8" t="s">
        <v>157</v>
      </c>
    </row>
    <row r="663" spans="1:22" x14ac:dyDescent="0.3">
      <c r="A663" s="12" t="s">
        <v>1237</v>
      </c>
      <c r="B663" s="13">
        <v>45983</v>
      </c>
      <c r="C663" s="12" t="s">
        <v>48</v>
      </c>
      <c r="D663" s="12" t="s">
        <v>49</v>
      </c>
      <c r="E663" s="12" t="s">
        <v>39</v>
      </c>
      <c r="F663" s="12" t="s">
        <v>1238</v>
      </c>
      <c r="G663" s="12" t="s">
        <v>41</v>
      </c>
      <c r="H663" s="12" t="s">
        <v>81</v>
      </c>
      <c r="I663" s="12" t="s">
        <v>29</v>
      </c>
      <c r="J663" s="12" t="s">
        <v>43</v>
      </c>
      <c r="K663" s="12" t="s">
        <v>162</v>
      </c>
      <c r="L663" s="12" t="s">
        <v>103</v>
      </c>
      <c r="M663" s="12">
        <v>3</v>
      </c>
      <c r="N663" s="14">
        <v>913.25</v>
      </c>
      <c r="O663" s="15">
        <v>0.25</v>
      </c>
      <c r="P663" s="14">
        <v>2054.81</v>
      </c>
      <c r="Q663" s="14">
        <v>1151.6099999999999</v>
      </c>
      <c r="R663" s="14">
        <v>903.2</v>
      </c>
      <c r="S663" s="12" t="s">
        <v>46</v>
      </c>
      <c r="T663" s="12" t="s">
        <v>104</v>
      </c>
      <c r="U663" s="12">
        <v>4</v>
      </c>
      <c r="V663" s="12" t="s">
        <v>65</v>
      </c>
    </row>
    <row r="664" spans="1:22" x14ac:dyDescent="0.3">
      <c r="A664" s="8" t="s">
        <v>1239</v>
      </c>
      <c r="B664" s="9">
        <v>46009</v>
      </c>
      <c r="C664" s="8" t="s">
        <v>98</v>
      </c>
      <c r="D664" s="8" t="s">
        <v>99</v>
      </c>
      <c r="E664" s="8" t="s">
        <v>25</v>
      </c>
      <c r="F664" s="8" t="s">
        <v>878</v>
      </c>
      <c r="G664" s="8" t="s">
        <v>27</v>
      </c>
      <c r="H664" s="8" t="s">
        <v>81</v>
      </c>
      <c r="I664" s="8" t="s">
        <v>29</v>
      </c>
      <c r="J664" s="8" t="s">
        <v>75</v>
      </c>
      <c r="K664" s="8" t="s">
        <v>154</v>
      </c>
      <c r="L664" s="8" t="s">
        <v>103</v>
      </c>
      <c r="M664" s="8">
        <v>3</v>
      </c>
      <c r="N664" s="10">
        <v>2030.56</v>
      </c>
      <c r="O664" s="11">
        <v>0.1</v>
      </c>
      <c r="P664" s="10">
        <v>5482.51</v>
      </c>
      <c r="Q664" s="10">
        <v>3447.89</v>
      </c>
      <c r="R664" s="10">
        <v>2034.62</v>
      </c>
      <c r="S664" s="8" t="s">
        <v>83</v>
      </c>
      <c r="T664" s="8" t="s">
        <v>54</v>
      </c>
      <c r="U664" s="8">
        <v>5</v>
      </c>
      <c r="V664" s="8" t="s">
        <v>35</v>
      </c>
    </row>
    <row r="665" spans="1:22" x14ac:dyDescent="0.3">
      <c r="A665" s="12" t="s">
        <v>1240</v>
      </c>
      <c r="B665" s="13">
        <v>45801</v>
      </c>
      <c r="C665" s="12" t="s">
        <v>125</v>
      </c>
      <c r="D665" s="12" t="s">
        <v>126</v>
      </c>
      <c r="E665" s="12" t="s">
        <v>25</v>
      </c>
      <c r="F665" s="12" t="s">
        <v>970</v>
      </c>
      <c r="G665" s="12" t="s">
        <v>41</v>
      </c>
      <c r="H665" s="12" t="s">
        <v>81</v>
      </c>
      <c r="I665" s="12" t="s">
        <v>29</v>
      </c>
      <c r="J665" s="12" t="s">
        <v>30</v>
      </c>
      <c r="K665" s="12" t="s">
        <v>144</v>
      </c>
      <c r="L665" s="12" t="s">
        <v>82</v>
      </c>
      <c r="M665" s="12">
        <v>2</v>
      </c>
      <c r="N665" s="14">
        <v>2555.46</v>
      </c>
      <c r="O665" s="15">
        <v>0.25</v>
      </c>
      <c r="P665" s="14">
        <v>3833.19</v>
      </c>
      <c r="Q665" s="14">
        <v>2967.2</v>
      </c>
      <c r="R665" s="14">
        <v>865.99</v>
      </c>
      <c r="S665" s="12" t="s">
        <v>83</v>
      </c>
      <c r="T665" s="12" t="s">
        <v>111</v>
      </c>
      <c r="U665" s="12">
        <v>5</v>
      </c>
      <c r="V665" s="12" t="s">
        <v>134</v>
      </c>
    </row>
    <row r="666" spans="1:22" x14ac:dyDescent="0.3">
      <c r="A666" s="8" t="s">
        <v>1241</v>
      </c>
      <c r="B666" s="9">
        <v>45943</v>
      </c>
      <c r="C666" s="8" t="s">
        <v>131</v>
      </c>
      <c r="D666" s="8" t="s">
        <v>132</v>
      </c>
      <c r="E666" s="8" t="s">
        <v>25</v>
      </c>
      <c r="F666" s="8" t="s">
        <v>1242</v>
      </c>
      <c r="G666" s="8" t="s">
        <v>41</v>
      </c>
      <c r="H666" s="8" t="s">
        <v>94</v>
      </c>
      <c r="I666" s="8" t="s">
        <v>68</v>
      </c>
      <c r="J666" s="8" t="s">
        <v>101</v>
      </c>
      <c r="K666" s="8" t="s">
        <v>102</v>
      </c>
      <c r="L666" s="8" t="s">
        <v>175</v>
      </c>
      <c r="M666" s="8">
        <v>3</v>
      </c>
      <c r="N666" s="10">
        <v>701</v>
      </c>
      <c r="O666" s="11">
        <v>0.25</v>
      </c>
      <c r="P666" s="10">
        <v>1577.25</v>
      </c>
      <c r="Q666" s="10">
        <v>744.05</v>
      </c>
      <c r="R666" s="10">
        <v>833.2</v>
      </c>
      <c r="S666" s="8" t="s">
        <v>63</v>
      </c>
      <c r="T666" s="8" t="s">
        <v>111</v>
      </c>
      <c r="U666" s="8">
        <v>5</v>
      </c>
      <c r="V666" s="8" t="s">
        <v>123</v>
      </c>
    </row>
    <row r="667" spans="1:22" x14ac:dyDescent="0.3">
      <c r="A667" s="12" t="s">
        <v>1243</v>
      </c>
      <c r="B667" s="13">
        <v>45977</v>
      </c>
      <c r="C667" s="12" t="s">
        <v>57</v>
      </c>
      <c r="D667" s="12" t="s">
        <v>58</v>
      </c>
      <c r="E667" s="12" t="s">
        <v>59</v>
      </c>
      <c r="F667" s="12" t="s">
        <v>1244</v>
      </c>
      <c r="G667" s="12" t="s">
        <v>41</v>
      </c>
      <c r="H667" s="12" t="s">
        <v>94</v>
      </c>
      <c r="I667" s="12" t="s">
        <v>68</v>
      </c>
      <c r="J667" s="12" t="s">
        <v>69</v>
      </c>
      <c r="K667" s="12" t="s">
        <v>70</v>
      </c>
      <c r="L667" s="12" t="s">
        <v>32</v>
      </c>
      <c r="M667" s="12">
        <v>5</v>
      </c>
      <c r="N667" s="14">
        <v>873.14</v>
      </c>
      <c r="O667" s="15">
        <v>0.05</v>
      </c>
      <c r="P667" s="14">
        <v>4147.41</v>
      </c>
      <c r="Q667" s="14">
        <v>2265.1999999999998</v>
      </c>
      <c r="R667" s="14">
        <v>1882.21</v>
      </c>
      <c r="S667" s="12" t="s">
        <v>53</v>
      </c>
      <c r="T667" s="12" t="s">
        <v>78</v>
      </c>
      <c r="U667" s="12">
        <v>3</v>
      </c>
      <c r="V667" s="12" t="s">
        <v>65</v>
      </c>
    </row>
    <row r="668" spans="1:22" x14ac:dyDescent="0.3">
      <c r="A668" s="8" t="s">
        <v>1245</v>
      </c>
      <c r="B668" s="9">
        <v>45992</v>
      </c>
      <c r="C668" s="8" t="s">
        <v>23</v>
      </c>
      <c r="D668" s="8" t="s">
        <v>24</v>
      </c>
      <c r="E668" s="8" t="s">
        <v>25</v>
      </c>
      <c r="F668" s="8" t="s">
        <v>1246</v>
      </c>
      <c r="G668" s="8" t="s">
        <v>41</v>
      </c>
      <c r="H668" s="8" t="s">
        <v>42</v>
      </c>
      <c r="I668" s="8" t="s">
        <v>61</v>
      </c>
      <c r="J668" s="8" t="s">
        <v>69</v>
      </c>
      <c r="K668" s="8" t="s">
        <v>180</v>
      </c>
      <c r="L668" s="8" t="s">
        <v>52</v>
      </c>
      <c r="M668" s="8">
        <v>5</v>
      </c>
      <c r="N668" s="10">
        <v>1465.44</v>
      </c>
      <c r="O668" s="11">
        <v>0</v>
      </c>
      <c r="P668" s="10">
        <v>7327.2</v>
      </c>
      <c r="Q668" s="10">
        <v>4412.12</v>
      </c>
      <c r="R668" s="10">
        <v>2915.08</v>
      </c>
      <c r="S668" s="8" t="s">
        <v>46</v>
      </c>
      <c r="T668" s="8" t="s">
        <v>64</v>
      </c>
      <c r="U668" s="8">
        <v>3</v>
      </c>
      <c r="V668" s="8" t="s">
        <v>35</v>
      </c>
    </row>
    <row r="669" spans="1:22" x14ac:dyDescent="0.3">
      <c r="A669" s="12" t="s">
        <v>1247</v>
      </c>
      <c r="B669" s="13">
        <v>45911</v>
      </c>
      <c r="C669" s="12" t="s">
        <v>37</v>
      </c>
      <c r="D669" s="12" t="s">
        <v>38</v>
      </c>
      <c r="E669" s="12" t="s">
        <v>39</v>
      </c>
      <c r="F669" s="12" t="s">
        <v>1248</v>
      </c>
      <c r="G669" s="12" t="s">
        <v>27</v>
      </c>
      <c r="H669" s="12" t="s">
        <v>28</v>
      </c>
      <c r="I669" s="12" t="s">
        <v>68</v>
      </c>
      <c r="J669" s="12" t="s">
        <v>69</v>
      </c>
      <c r="K669" s="12" t="s">
        <v>180</v>
      </c>
      <c r="L669" s="12" t="s">
        <v>82</v>
      </c>
      <c r="M669" s="12">
        <v>5</v>
      </c>
      <c r="N669" s="14">
        <v>1436.49</v>
      </c>
      <c r="O669" s="15">
        <v>0.15</v>
      </c>
      <c r="P669" s="14">
        <v>6105.08</v>
      </c>
      <c r="Q669" s="14">
        <v>4259.13</v>
      </c>
      <c r="R669" s="14">
        <v>1845.95</v>
      </c>
      <c r="S669" s="12" t="s">
        <v>46</v>
      </c>
      <c r="T669" s="12" t="s">
        <v>71</v>
      </c>
      <c r="U669" s="12">
        <v>3</v>
      </c>
      <c r="V669" s="12" t="s">
        <v>116</v>
      </c>
    </row>
    <row r="670" spans="1:22" x14ac:dyDescent="0.3">
      <c r="A670" s="8" t="s">
        <v>1249</v>
      </c>
      <c r="B670" s="9">
        <v>45852</v>
      </c>
      <c r="C670" s="8" t="s">
        <v>131</v>
      </c>
      <c r="D670" s="8" t="s">
        <v>132</v>
      </c>
      <c r="E670" s="8" t="s">
        <v>25</v>
      </c>
      <c r="F670" s="8" t="s">
        <v>253</v>
      </c>
      <c r="G670" s="8" t="s">
        <v>27</v>
      </c>
      <c r="H670" s="8" t="s">
        <v>94</v>
      </c>
      <c r="I670" s="8" t="s">
        <v>29</v>
      </c>
      <c r="J670" s="8" t="s">
        <v>43</v>
      </c>
      <c r="K670" s="8" t="s">
        <v>51</v>
      </c>
      <c r="L670" s="8" t="s">
        <v>32</v>
      </c>
      <c r="M670" s="8">
        <v>3</v>
      </c>
      <c r="N670" s="10">
        <v>1529.67</v>
      </c>
      <c r="O670" s="11">
        <v>0.05</v>
      </c>
      <c r="P670" s="10">
        <v>4359.5600000000004</v>
      </c>
      <c r="Q670" s="10">
        <v>2172.0700000000002</v>
      </c>
      <c r="R670" s="10">
        <v>2187.4899999999998</v>
      </c>
      <c r="S670" s="8" t="s">
        <v>63</v>
      </c>
      <c r="T670" s="8" t="s">
        <v>34</v>
      </c>
      <c r="U670" s="8">
        <v>4</v>
      </c>
      <c r="V670" s="8" t="s">
        <v>120</v>
      </c>
    </row>
    <row r="671" spans="1:22" x14ac:dyDescent="0.3">
      <c r="A671" s="12" t="s">
        <v>1250</v>
      </c>
      <c r="B671" s="13">
        <v>45674</v>
      </c>
      <c r="C671" s="12" t="s">
        <v>98</v>
      </c>
      <c r="D671" s="12" t="s">
        <v>99</v>
      </c>
      <c r="E671" s="12" t="s">
        <v>25</v>
      </c>
      <c r="F671" s="12" t="s">
        <v>748</v>
      </c>
      <c r="G671" s="12" t="s">
        <v>41</v>
      </c>
      <c r="H671" s="12" t="s">
        <v>94</v>
      </c>
      <c r="I671" s="12" t="s">
        <v>29</v>
      </c>
      <c r="J671" s="12" t="s">
        <v>43</v>
      </c>
      <c r="K671" s="12" t="s">
        <v>51</v>
      </c>
      <c r="L671" s="12" t="s">
        <v>82</v>
      </c>
      <c r="M671" s="12">
        <v>5</v>
      </c>
      <c r="N671" s="14">
        <v>1558.79</v>
      </c>
      <c r="O671" s="15">
        <v>0.15</v>
      </c>
      <c r="P671" s="14">
        <v>6624.86</v>
      </c>
      <c r="Q671" s="14">
        <v>3487.47</v>
      </c>
      <c r="R671" s="14">
        <v>3137.39</v>
      </c>
      <c r="S671" s="12" t="s">
        <v>33</v>
      </c>
      <c r="T671" s="12" t="s">
        <v>34</v>
      </c>
      <c r="U671" s="12">
        <v>3</v>
      </c>
      <c r="V671" s="12" t="s">
        <v>84</v>
      </c>
    </row>
    <row r="672" spans="1:22" x14ac:dyDescent="0.3">
      <c r="A672" s="8" t="s">
        <v>1251</v>
      </c>
      <c r="B672" s="9">
        <v>45743</v>
      </c>
      <c r="C672" s="8" t="s">
        <v>113</v>
      </c>
      <c r="D672" s="8" t="s">
        <v>114</v>
      </c>
      <c r="E672" s="8" t="s">
        <v>59</v>
      </c>
      <c r="F672" s="8" t="s">
        <v>1252</v>
      </c>
      <c r="G672" s="8" t="s">
        <v>27</v>
      </c>
      <c r="H672" s="8" t="s">
        <v>42</v>
      </c>
      <c r="I672" s="8" t="s">
        <v>68</v>
      </c>
      <c r="J672" s="8" t="s">
        <v>69</v>
      </c>
      <c r="K672" s="8" t="s">
        <v>70</v>
      </c>
      <c r="L672" s="8" t="s">
        <v>52</v>
      </c>
      <c r="M672" s="8">
        <v>3</v>
      </c>
      <c r="N672" s="10">
        <v>921.1</v>
      </c>
      <c r="O672" s="11">
        <v>0.2</v>
      </c>
      <c r="P672" s="10">
        <v>2210.64</v>
      </c>
      <c r="Q672" s="10">
        <v>1298.95</v>
      </c>
      <c r="R672" s="10">
        <v>911.69</v>
      </c>
      <c r="S672" s="8" t="s">
        <v>83</v>
      </c>
      <c r="T672" s="8" t="s">
        <v>104</v>
      </c>
      <c r="U672" s="8">
        <v>3</v>
      </c>
      <c r="V672" s="8" t="s">
        <v>55</v>
      </c>
    </row>
    <row r="673" spans="1:22" x14ac:dyDescent="0.3">
      <c r="A673" s="12" t="s">
        <v>1253</v>
      </c>
      <c r="B673" s="13">
        <v>45870</v>
      </c>
      <c r="C673" s="12" t="s">
        <v>37</v>
      </c>
      <c r="D673" s="12" t="s">
        <v>38</v>
      </c>
      <c r="E673" s="12" t="s">
        <v>39</v>
      </c>
      <c r="F673" s="12" t="s">
        <v>441</v>
      </c>
      <c r="G673" s="12" t="s">
        <v>27</v>
      </c>
      <c r="H673" s="12" t="s">
        <v>42</v>
      </c>
      <c r="I673" s="12" t="s">
        <v>61</v>
      </c>
      <c r="J673" s="12" t="s">
        <v>43</v>
      </c>
      <c r="K673" s="12" t="s">
        <v>44</v>
      </c>
      <c r="L673" s="12" t="s">
        <v>32</v>
      </c>
      <c r="M673" s="12">
        <v>5</v>
      </c>
      <c r="N673" s="14">
        <v>593.84</v>
      </c>
      <c r="O673" s="15">
        <v>0.1</v>
      </c>
      <c r="P673" s="14">
        <v>2672.28</v>
      </c>
      <c r="Q673" s="14">
        <v>1294.6199999999999</v>
      </c>
      <c r="R673" s="14">
        <v>1377.66</v>
      </c>
      <c r="S673" s="12" t="s">
        <v>33</v>
      </c>
      <c r="T673" s="12" t="s">
        <v>104</v>
      </c>
      <c r="U673" s="12">
        <v>3</v>
      </c>
      <c r="V673" s="12" t="s">
        <v>72</v>
      </c>
    </row>
    <row r="674" spans="1:22" x14ac:dyDescent="0.3">
      <c r="A674" s="8" t="s">
        <v>1254</v>
      </c>
      <c r="B674" s="9">
        <v>46001</v>
      </c>
      <c r="C674" s="8" t="s">
        <v>23</v>
      </c>
      <c r="D674" s="8" t="s">
        <v>24</v>
      </c>
      <c r="E674" s="8" t="s">
        <v>25</v>
      </c>
      <c r="F674" s="8" t="s">
        <v>1255</v>
      </c>
      <c r="G674" s="8" t="s">
        <v>27</v>
      </c>
      <c r="H674" s="8" t="s">
        <v>94</v>
      </c>
      <c r="I674" s="8" t="s">
        <v>68</v>
      </c>
      <c r="J674" s="8" t="s">
        <v>69</v>
      </c>
      <c r="K674" s="8" t="s">
        <v>137</v>
      </c>
      <c r="L674" s="8" t="s">
        <v>103</v>
      </c>
      <c r="M674" s="8">
        <v>3</v>
      </c>
      <c r="N674" s="10">
        <v>491.31</v>
      </c>
      <c r="O674" s="11">
        <v>0.3</v>
      </c>
      <c r="P674" s="10">
        <v>1031.75</v>
      </c>
      <c r="Q674" s="10">
        <v>659.27</v>
      </c>
      <c r="R674" s="10">
        <v>372.48</v>
      </c>
      <c r="S674" s="8" t="s">
        <v>53</v>
      </c>
      <c r="T674" s="8" t="s">
        <v>111</v>
      </c>
      <c r="U674" s="8">
        <v>5</v>
      </c>
      <c r="V674" s="8" t="s">
        <v>35</v>
      </c>
    </row>
    <row r="675" spans="1:22" x14ac:dyDescent="0.3">
      <c r="A675" s="12" t="s">
        <v>1256</v>
      </c>
      <c r="B675" s="13">
        <v>45930</v>
      </c>
      <c r="C675" s="12" t="s">
        <v>107</v>
      </c>
      <c r="D675" s="12" t="s">
        <v>108</v>
      </c>
      <c r="E675" s="12" t="s">
        <v>39</v>
      </c>
      <c r="F675" s="12" t="s">
        <v>1257</v>
      </c>
      <c r="G675" s="12" t="s">
        <v>27</v>
      </c>
      <c r="H675" s="12" t="s">
        <v>42</v>
      </c>
      <c r="I675" s="12" t="s">
        <v>29</v>
      </c>
      <c r="J675" s="12" t="s">
        <v>43</v>
      </c>
      <c r="K675" s="12" t="s">
        <v>51</v>
      </c>
      <c r="L675" s="12" t="s">
        <v>82</v>
      </c>
      <c r="M675" s="12">
        <v>3</v>
      </c>
      <c r="N675" s="14">
        <v>1460.01</v>
      </c>
      <c r="O675" s="15">
        <v>0.05</v>
      </c>
      <c r="P675" s="14">
        <v>4161.03</v>
      </c>
      <c r="Q675" s="14">
        <v>2093.63</v>
      </c>
      <c r="R675" s="14">
        <v>2067.4</v>
      </c>
      <c r="S675" s="12" t="s">
        <v>53</v>
      </c>
      <c r="T675" s="12" t="s">
        <v>156</v>
      </c>
      <c r="U675" s="12">
        <v>4</v>
      </c>
      <c r="V675" s="12" t="s">
        <v>116</v>
      </c>
    </row>
    <row r="676" spans="1:22" x14ac:dyDescent="0.3">
      <c r="A676" s="8" t="s">
        <v>1258</v>
      </c>
      <c r="B676" s="9">
        <v>45684</v>
      </c>
      <c r="C676" s="8" t="s">
        <v>107</v>
      </c>
      <c r="D676" s="8" t="s">
        <v>108</v>
      </c>
      <c r="E676" s="8" t="s">
        <v>39</v>
      </c>
      <c r="F676" s="8" t="s">
        <v>1259</v>
      </c>
      <c r="G676" s="8" t="s">
        <v>41</v>
      </c>
      <c r="H676" s="8" t="s">
        <v>28</v>
      </c>
      <c r="I676" s="8" t="s">
        <v>61</v>
      </c>
      <c r="J676" s="8" t="s">
        <v>101</v>
      </c>
      <c r="K676" s="8" t="s">
        <v>102</v>
      </c>
      <c r="L676" s="8" t="s">
        <v>91</v>
      </c>
      <c r="M676" s="8">
        <v>2</v>
      </c>
      <c r="N676" s="10">
        <v>701.42</v>
      </c>
      <c r="O676" s="11">
        <v>0.15</v>
      </c>
      <c r="P676" s="10">
        <v>1192.4100000000001</v>
      </c>
      <c r="Q676" s="10">
        <v>511.07</v>
      </c>
      <c r="R676" s="10">
        <v>681.34</v>
      </c>
      <c r="S676" s="8" t="s">
        <v>63</v>
      </c>
      <c r="T676" s="8" t="s">
        <v>54</v>
      </c>
      <c r="U676" s="8">
        <v>3</v>
      </c>
      <c r="V676" s="8" t="s">
        <v>84</v>
      </c>
    </row>
    <row r="677" spans="1:22" x14ac:dyDescent="0.3">
      <c r="A677" s="12" t="s">
        <v>1260</v>
      </c>
      <c r="B677" s="13">
        <v>45841</v>
      </c>
      <c r="C677" s="12" t="s">
        <v>86</v>
      </c>
      <c r="D677" s="12" t="s">
        <v>87</v>
      </c>
      <c r="E677" s="12" t="s">
        <v>59</v>
      </c>
      <c r="F677" s="12" t="s">
        <v>454</v>
      </c>
      <c r="G677" s="12" t="s">
        <v>41</v>
      </c>
      <c r="H677" s="12" t="s">
        <v>81</v>
      </c>
      <c r="I677" s="12" t="s">
        <v>29</v>
      </c>
      <c r="J677" s="12" t="s">
        <v>43</v>
      </c>
      <c r="K677" s="12" t="s">
        <v>51</v>
      </c>
      <c r="L677" s="12" t="s">
        <v>82</v>
      </c>
      <c r="M677" s="12">
        <v>2</v>
      </c>
      <c r="N677" s="14">
        <v>1496.33</v>
      </c>
      <c r="O677" s="15">
        <v>0.05</v>
      </c>
      <c r="P677" s="14">
        <v>2843.03</v>
      </c>
      <c r="Q677" s="14">
        <v>1340.75</v>
      </c>
      <c r="R677" s="14">
        <v>1502.28</v>
      </c>
      <c r="S677" s="12" t="s">
        <v>63</v>
      </c>
      <c r="T677" s="12" t="s">
        <v>54</v>
      </c>
      <c r="U677" s="12">
        <v>4</v>
      </c>
      <c r="V677" s="12" t="s">
        <v>120</v>
      </c>
    </row>
    <row r="678" spans="1:22" x14ac:dyDescent="0.3">
      <c r="A678" s="8" t="s">
        <v>1261</v>
      </c>
      <c r="B678" s="9">
        <v>45724</v>
      </c>
      <c r="C678" s="8" t="s">
        <v>98</v>
      </c>
      <c r="D678" s="8" t="s">
        <v>99</v>
      </c>
      <c r="E678" s="8" t="s">
        <v>25</v>
      </c>
      <c r="F678" s="8" t="s">
        <v>1262</v>
      </c>
      <c r="G678" s="8" t="s">
        <v>27</v>
      </c>
      <c r="H678" s="8" t="s">
        <v>94</v>
      </c>
      <c r="I678" s="8" t="s">
        <v>29</v>
      </c>
      <c r="J678" s="8" t="s">
        <v>30</v>
      </c>
      <c r="K678" s="8" t="s">
        <v>31</v>
      </c>
      <c r="L678" s="8" t="s">
        <v>52</v>
      </c>
      <c r="M678" s="8">
        <v>1</v>
      </c>
      <c r="N678" s="10">
        <v>3988.62</v>
      </c>
      <c r="O678" s="11">
        <v>0.05</v>
      </c>
      <c r="P678" s="10">
        <v>3789.19</v>
      </c>
      <c r="Q678" s="10">
        <v>2193.09</v>
      </c>
      <c r="R678" s="10">
        <v>1596.1</v>
      </c>
      <c r="S678" s="8" t="s">
        <v>53</v>
      </c>
      <c r="T678" s="8" t="s">
        <v>71</v>
      </c>
      <c r="U678" s="8">
        <v>4</v>
      </c>
      <c r="V678" s="8" t="s">
        <v>55</v>
      </c>
    </row>
    <row r="679" spans="1:22" x14ac:dyDescent="0.3">
      <c r="A679" s="12" t="s">
        <v>1263</v>
      </c>
      <c r="B679" s="13">
        <v>45665</v>
      </c>
      <c r="C679" s="12" t="s">
        <v>86</v>
      </c>
      <c r="D679" s="12" t="s">
        <v>87</v>
      </c>
      <c r="E679" s="12" t="s">
        <v>59</v>
      </c>
      <c r="F679" s="12" t="s">
        <v>1264</v>
      </c>
      <c r="G679" s="12" t="s">
        <v>41</v>
      </c>
      <c r="H679" s="12" t="s">
        <v>42</v>
      </c>
      <c r="I679" s="12" t="s">
        <v>29</v>
      </c>
      <c r="J679" s="12" t="s">
        <v>89</v>
      </c>
      <c r="K679" s="12" t="s">
        <v>90</v>
      </c>
      <c r="L679" s="12" t="s">
        <v>91</v>
      </c>
      <c r="M679" s="12">
        <v>2</v>
      </c>
      <c r="N679" s="14">
        <v>3636.22</v>
      </c>
      <c r="O679" s="15">
        <v>0.2</v>
      </c>
      <c r="P679" s="14">
        <v>5817.95</v>
      </c>
      <c r="Q679" s="14">
        <v>4201.58</v>
      </c>
      <c r="R679" s="14">
        <v>1616.37</v>
      </c>
      <c r="S679" s="12" t="s">
        <v>63</v>
      </c>
      <c r="T679" s="12" t="s">
        <v>64</v>
      </c>
      <c r="U679" s="12">
        <v>5</v>
      </c>
      <c r="V679" s="12" t="s">
        <v>84</v>
      </c>
    </row>
    <row r="680" spans="1:22" x14ac:dyDescent="0.3">
      <c r="A680" s="8" t="s">
        <v>1265</v>
      </c>
      <c r="B680" s="9">
        <v>45997</v>
      </c>
      <c r="C680" s="8" t="s">
        <v>57</v>
      </c>
      <c r="D680" s="8" t="s">
        <v>58</v>
      </c>
      <c r="E680" s="8" t="s">
        <v>59</v>
      </c>
      <c r="F680" s="8" t="s">
        <v>1266</v>
      </c>
      <c r="G680" s="8" t="s">
        <v>41</v>
      </c>
      <c r="H680" s="8" t="s">
        <v>94</v>
      </c>
      <c r="I680" s="8" t="s">
        <v>61</v>
      </c>
      <c r="J680" s="8" t="s">
        <v>30</v>
      </c>
      <c r="K680" s="8" t="s">
        <v>62</v>
      </c>
      <c r="L680" s="8" t="s">
        <v>103</v>
      </c>
      <c r="M680" s="8">
        <v>1</v>
      </c>
      <c r="N680" s="10">
        <v>1003.7</v>
      </c>
      <c r="O680" s="11">
        <v>0.25</v>
      </c>
      <c r="P680" s="10">
        <v>752.78</v>
      </c>
      <c r="Q680" s="10">
        <v>438.63</v>
      </c>
      <c r="R680" s="10">
        <v>314.14999999999998</v>
      </c>
      <c r="S680" s="8" t="s">
        <v>46</v>
      </c>
      <c r="T680" s="8" t="s">
        <v>156</v>
      </c>
      <c r="U680" s="8">
        <v>3</v>
      </c>
      <c r="V680" s="8" t="s">
        <v>35</v>
      </c>
    </row>
    <row r="681" spans="1:22" x14ac:dyDescent="0.3">
      <c r="A681" s="12" t="s">
        <v>1267</v>
      </c>
      <c r="B681" s="13">
        <v>45951</v>
      </c>
      <c r="C681" s="12" t="s">
        <v>131</v>
      </c>
      <c r="D681" s="12" t="s">
        <v>132</v>
      </c>
      <c r="E681" s="12" t="s">
        <v>25</v>
      </c>
      <c r="F681" s="12" t="s">
        <v>1268</v>
      </c>
      <c r="G681" s="12" t="s">
        <v>27</v>
      </c>
      <c r="H681" s="12" t="s">
        <v>28</v>
      </c>
      <c r="I681" s="12" t="s">
        <v>68</v>
      </c>
      <c r="J681" s="12" t="s">
        <v>30</v>
      </c>
      <c r="K681" s="12" t="s">
        <v>144</v>
      </c>
      <c r="L681" s="12" t="s">
        <v>175</v>
      </c>
      <c r="M681" s="12">
        <v>4</v>
      </c>
      <c r="N681" s="14">
        <v>2565.33</v>
      </c>
      <c r="O681" s="15">
        <v>0</v>
      </c>
      <c r="P681" s="14">
        <v>10261.32</v>
      </c>
      <c r="Q681" s="14">
        <v>6055.7</v>
      </c>
      <c r="R681" s="14">
        <v>4205.62</v>
      </c>
      <c r="S681" s="12" t="s">
        <v>33</v>
      </c>
      <c r="T681" s="12" t="s">
        <v>71</v>
      </c>
      <c r="U681" s="12">
        <v>5</v>
      </c>
      <c r="V681" s="12" t="s">
        <v>123</v>
      </c>
    </row>
    <row r="682" spans="1:22" x14ac:dyDescent="0.3">
      <c r="A682" s="8" t="s">
        <v>1269</v>
      </c>
      <c r="B682" s="9">
        <v>45867</v>
      </c>
      <c r="C682" s="8" t="s">
        <v>131</v>
      </c>
      <c r="D682" s="8" t="s">
        <v>132</v>
      </c>
      <c r="E682" s="8" t="s">
        <v>25</v>
      </c>
      <c r="F682" s="8" t="s">
        <v>1270</v>
      </c>
      <c r="G682" s="8" t="s">
        <v>27</v>
      </c>
      <c r="H682" s="8" t="s">
        <v>28</v>
      </c>
      <c r="I682" s="8" t="s">
        <v>68</v>
      </c>
      <c r="J682" s="8" t="s">
        <v>69</v>
      </c>
      <c r="K682" s="8" t="s">
        <v>70</v>
      </c>
      <c r="L682" s="8" t="s">
        <v>52</v>
      </c>
      <c r="M682" s="8">
        <v>3</v>
      </c>
      <c r="N682" s="10">
        <v>880.75</v>
      </c>
      <c r="O682" s="11">
        <v>0.1</v>
      </c>
      <c r="P682" s="10">
        <v>2378.0300000000002</v>
      </c>
      <c r="Q682" s="10">
        <v>1401.05</v>
      </c>
      <c r="R682" s="10">
        <v>976.98</v>
      </c>
      <c r="S682" s="8" t="s">
        <v>53</v>
      </c>
      <c r="T682" s="8" t="s">
        <v>156</v>
      </c>
      <c r="U682" s="8">
        <v>5</v>
      </c>
      <c r="V682" s="8" t="s">
        <v>120</v>
      </c>
    </row>
    <row r="683" spans="1:22" x14ac:dyDescent="0.3">
      <c r="A683" s="12" t="s">
        <v>1271</v>
      </c>
      <c r="B683" s="13">
        <v>45976</v>
      </c>
      <c r="C683" s="12" t="s">
        <v>86</v>
      </c>
      <c r="D683" s="12" t="s">
        <v>87</v>
      </c>
      <c r="E683" s="12" t="s">
        <v>59</v>
      </c>
      <c r="F683" s="12" t="s">
        <v>1272</v>
      </c>
      <c r="G683" s="12" t="s">
        <v>41</v>
      </c>
      <c r="H683" s="12" t="s">
        <v>94</v>
      </c>
      <c r="I683" s="12" t="s">
        <v>68</v>
      </c>
      <c r="J683" s="12" t="s">
        <v>89</v>
      </c>
      <c r="K683" s="12" t="s">
        <v>90</v>
      </c>
      <c r="L683" s="12" t="s">
        <v>52</v>
      </c>
      <c r="M683" s="12">
        <v>2</v>
      </c>
      <c r="N683" s="14">
        <v>3637.76</v>
      </c>
      <c r="O683" s="15">
        <v>0.1</v>
      </c>
      <c r="P683" s="14">
        <v>6547.97</v>
      </c>
      <c r="Q683" s="14">
        <v>4162.4399999999996</v>
      </c>
      <c r="R683" s="14">
        <v>2385.5300000000002</v>
      </c>
      <c r="S683" s="12" t="s">
        <v>83</v>
      </c>
      <c r="T683" s="12" t="s">
        <v>156</v>
      </c>
      <c r="U683" s="12">
        <v>3</v>
      </c>
      <c r="V683" s="12" t="s">
        <v>65</v>
      </c>
    </row>
    <row r="684" spans="1:22" x14ac:dyDescent="0.3">
      <c r="A684" s="8" t="s">
        <v>1273</v>
      </c>
      <c r="B684" s="9">
        <v>45835</v>
      </c>
      <c r="C684" s="8" t="s">
        <v>125</v>
      </c>
      <c r="D684" s="8" t="s">
        <v>126</v>
      </c>
      <c r="E684" s="8" t="s">
        <v>25</v>
      </c>
      <c r="F684" s="8" t="s">
        <v>300</v>
      </c>
      <c r="G684" s="8" t="s">
        <v>41</v>
      </c>
      <c r="H684" s="8" t="s">
        <v>42</v>
      </c>
      <c r="I684" s="8" t="s">
        <v>68</v>
      </c>
      <c r="J684" s="8" t="s">
        <v>89</v>
      </c>
      <c r="K684" s="8" t="s">
        <v>151</v>
      </c>
      <c r="L684" s="8" t="s">
        <v>52</v>
      </c>
      <c r="M684" s="8">
        <v>5</v>
      </c>
      <c r="N684" s="10">
        <v>1025.1500000000001</v>
      </c>
      <c r="O684" s="11">
        <v>0.25</v>
      </c>
      <c r="P684" s="10">
        <v>3844.31</v>
      </c>
      <c r="Q684" s="10">
        <v>2419.6</v>
      </c>
      <c r="R684" s="10">
        <v>1424.71</v>
      </c>
      <c r="S684" s="8" t="s">
        <v>53</v>
      </c>
      <c r="T684" s="8" t="s">
        <v>71</v>
      </c>
      <c r="U684" s="8">
        <v>5</v>
      </c>
      <c r="V684" s="8" t="s">
        <v>157</v>
      </c>
    </row>
    <row r="685" spans="1:22" x14ac:dyDescent="0.3">
      <c r="A685" s="12" t="s">
        <v>1274</v>
      </c>
      <c r="B685" s="13">
        <v>45694</v>
      </c>
      <c r="C685" s="12" t="s">
        <v>98</v>
      </c>
      <c r="D685" s="12" t="s">
        <v>99</v>
      </c>
      <c r="E685" s="12" t="s">
        <v>25</v>
      </c>
      <c r="F685" s="12" t="s">
        <v>1275</v>
      </c>
      <c r="G685" s="12" t="s">
        <v>41</v>
      </c>
      <c r="H685" s="12" t="s">
        <v>42</v>
      </c>
      <c r="I685" s="12" t="s">
        <v>68</v>
      </c>
      <c r="J685" s="12" t="s">
        <v>101</v>
      </c>
      <c r="K685" s="12" t="s">
        <v>102</v>
      </c>
      <c r="L685" s="12" t="s">
        <v>103</v>
      </c>
      <c r="M685" s="12">
        <v>5</v>
      </c>
      <c r="N685" s="14">
        <v>700.71</v>
      </c>
      <c r="O685" s="15">
        <v>0.2</v>
      </c>
      <c r="P685" s="14">
        <v>2802.84</v>
      </c>
      <c r="Q685" s="14">
        <v>1285.1300000000001</v>
      </c>
      <c r="R685" s="14">
        <v>1517.71</v>
      </c>
      <c r="S685" s="12" t="s">
        <v>83</v>
      </c>
      <c r="T685" s="12" t="s">
        <v>64</v>
      </c>
      <c r="U685" s="12">
        <v>5</v>
      </c>
      <c r="V685" s="12" t="s">
        <v>105</v>
      </c>
    </row>
    <row r="686" spans="1:22" x14ac:dyDescent="0.3">
      <c r="A686" s="8" t="s">
        <v>1276</v>
      </c>
      <c r="B686" s="9">
        <v>45662</v>
      </c>
      <c r="C686" s="8" t="s">
        <v>37</v>
      </c>
      <c r="D686" s="8" t="s">
        <v>38</v>
      </c>
      <c r="E686" s="8" t="s">
        <v>39</v>
      </c>
      <c r="F686" s="8" t="s">
        <v>1277</v>
      </c>
      <c r="G686" s="8" t="s">
        <v>41</v>
      </c>
      <c r="H686" s="8" t="s">
        <v>81</v>
      </c>
      <c r="I686" s="8" t="s">
        <v>29</v>
      </c>
      <c r="J686" s="8" t="s">
        <v>89</v>
      </c>
      <c r="K686" s="8" t="s">
        <v>89</v>
      </c>
      <c r="L686" s="8" t="s">
        <v>82</v>
      </c>
      <c r="M686" s="8">
        <v>1</v>
      </c>
      <c r="N686" s="10">
        <v>1250.1099999999999</v>
      </c>
      <c r="O686" s="11">
        <v>0.3</v>
      </c>
      <c r="P686" s="10">
        <v>875.08</v>
      </c>
      <c r="Q686" s="10">
        <v>723.26</v>
      </c>
      <c r="R686" s="10">
        <v>151.82</v>
      </c>
      <c r="S686" s="8" t="s">
        <v>46</v>
      </c>
      <c r="T686" s="8" t="s">
        <v>156</v>
      </c>
      <c r="U686" s="8">
        <v>5</v>
      </c>
      <c r="V686" s="8" t="s">
        <v>84</v>
      </c>
    </row>
    <row r="687" spans="1:22" x14ac:dyDescent="0.3">
      <c r="A687" s="12" t="s">
        <v>1278</v>
      </c>
      <c r="B687" s="13">
        <v>45876</v>
      </c>
      <c r="C687" s="12" t="s">
        <v>107</v>
      </c>
      <c r="D687" s="12" t="s">
        <v>108</v>
      </c>
      <c r="E687" s="12" t="s">
        <v>39</v>
      </c>
      <c r="F687" s="12" t="s">
        <v>1279</v>
      </c>
      <c r="G687" s="12" t="s">
        <v>27</v>
      </c>
      <c r="H687" s="12" t="s">
        <v>94</v>
      </c>
      <c r="I687" s="12" t="s">
        <v>29</v>
      </c>
      <c r="J687" s="12" t="s">
        <v>30</v>
      </c>
      <c r="K687" s="12" t="s">
        <v>31</v>
      </c>
      <c r="L687" s="12" t="s">
        <v>32</v>
      </c>
      <c r="M687" s="12">
        <v>4</v>
      </c>
      <c r="N687" s="14">
        <v>3853.03</v>
      </c>
      <c r="O687" s="15">
        <v>0.15</v>
      </c>
      <c r="P687" s="14">
        <v>13100.3</v>
      </c>
      <c r="Q687" s="14">
        <v>9141.08</v>
      </c>
      <c r="R687" s="14">
        <v>3959.22</v>
      </c>
      <c r="S687" s="12" t="s">
        <v>83</v>
      </c>
      <c r="T687" s="12" t="s">
        <v>119</v>
      </c>
      <c r="U687" s="12">
        <v>4</v>
      </c>
      <c r="V687" s="12" t="s">
        <v>72</v>
      </c>
    </row>
    <row r="688" spans="1:22" x14ac:dyDescent="0.3">
      <c r="A688" s="8" t="s">
        <v>1280</v>
      </c>
      <c r="B688" s="9">
        <v>45765</v>
      </c>
      <c r="C688" s="8" t="s">
        <v>107</v>
      </c>
      <c r="D688" s="8" t="s">
        <v>108</v>
      </c>
      <c r="E688" s="8" t="s">
        <v>39</v>
      </c>
      <c r="F688" s="8" t="s">
        <v>1281</v>
      </c>
      <c r="G688" s="8" t="s">
        <v>41</v>
      </c>
      <c r="H688" s="8" t="s">
        <v>94</v>
      </c>
      <c r="I688" s="8" t="s">
        <v>61</v>
      </c>
      <c r="J688" s="8" t="s">
        <v>43</v>
      </c>
      <c r="K688" s="8" t="s">
        <v>162</v>
      </c>
      <c r="L688" s="8" t="s">
        <v>32</v>
      </c>
      <c r="M688" s="8">
        <v>5</v>
      </c>
      <c r="N688" s="10">
        <v>856.8</v>
      </c>
      <c r="O688" s="11">
        <v>0</v>
      </c>
      <c r="P688" s="10">
        <v>4284</v>
      </c>
      <c r="Q688" s="10">
        <v>1939.15</v>
      </c>
      <c r="R688" s="10">
        <v>2344.85</v>
      </c>
      <c r="S688" s="8" t="s">
        <v>33</v>
      </c>
      <c r="T688" s="8" t="s">
        <v>156</v>
      </c>
      <c r="U688" s="8">
        <v>3</v>
      </c>
      <c r="V688" s="8" t="s">
        <v>96</v>
      </c>
    </row>
    <row r="689" spans="1:22" x14ac:dyDescent="0.3">
      <c r="A689" s="12" t="s">
        <v>1282</v>
      </c>
      <c r="B689" s="13">
        <v>45670</v>
      </c>
      <c r="C689" s="12" t="s">
        <v>48</v>
      </c>
      <c r="D689" s="12" t="s">
        <v>49</v>
      </c>
      <c r="E689" s="12" t="s">
        <v>39</v>
      </c>
      <c r="F689" s="12" t="s">
        <v>1283</v>
      </c>
      <c r="G689" s="12" t="s">
        <v>27</v>
      </c>
      <c r="H689" s="12" t="s">
        <v>28</v>
      </c>
      <c r="I689" s="12" t="s">
        <v>61</v>
      </c>
      <c r="J689" s="12" t="s">
        <v>69</v>
      </c>
      <c r="K689" s="12" t="s">
        <v>70</v>
      </c>
      <c r="L689" s="12" t="s">
        <v>45</v>
      </c>
      <c r="M689" s="12">
        <v>5</v>
      </c>
      <c r="N689" s="14">
        <v>880.49</v>
      </c>
      <c r="O689" s="15">
        <v>0.1</v>
      </c>
      <c r="P689" s="14">
        <v>3962.2</v>
      </c>
      <c r="Q689" s="14">
        <v>2241.7600000000002</v>
      </c>
      <c r="R689" s="14">
        <v>1720.44</v>
      </c>
      <c r="S689" s="12" t="s">
        <v>46</v>
      </c>
      <c r="T689" s="12" t="s">
        <v>34</v>
      </c>
      <c r="U689" s="12">
        <v>3</v>
      </c>
      <c r="V689" s="12" t="s">
        <v>84</v>
      </c>
    </row>
    <row r="690" spans="1:22" x14ac:dyDescent="0.3">
      <c r="A690" s="8" t="s">
        <v>1284</v>
      </c>
      <c r="B690" s="9">
        <v>45863</v>
      </c>
      <c r="C690" s="8" t="s">
        <v>98</v>
      </c>
      <c r="D690" s="8" t="s">
        <v>99</v>
      </c>
      <c r="E690" s="8" t="s">
        <v>25</v>
      </c>
      <c r="F690" s="8" t="s">
        <v>1285</v>
      </c>
      <c r="G690" s="8" t="s">
        <v>27</v>
      </c>
      <c r="H690" s="8" t="s">
        <v>42</v>
      </c>
      <c r="I690" s="8" t="s">
        <v>68</v>
      </c>
      <c r="J690" s="8" t="s">
        <v>43</v>
      </c>
      <c r="K690" s="8" t="s">
        <v>51</v>
      </c>
      <c r="L690" s="8" t="s">
        <v>52</v>
      </c>
      <c r="M690" s="8">
        <v>3</v>
      </c>
      <c r="N690" s="10">
        <v>1570.3</v>
      </c>
      <c r="O690" s="11">
        <v>0.25</v>
      </c>
      <c r="P690" s="10">
        <v>3533.17</v>
      </c>
      <c r="Q690" s="10">
        <v>2119.08</v>
      </c>
      <c r="R690" s="10">
        <v>1414.09</v>
      </c>
      <c r="S690" s="8" t="s">
        <v>46</v>
      </c>
      <c r="T690" s="8" t="s">
        <v>104</v>
      </c>
      <c r="U690" s="8">
        <v>4</v>
      </c>
      <c r="V690" s="8" t="s">
        <v>120</v>
      </c>
    </row>
    <row r="691" spans="1:22" x14ac:dyDescent="0.3">
      <c r="A691" s="12" t="s">
        <v>1286</v>
      </c>
      <c r="B691" s="13">
        <v>46002</v>
      </c>
      <c r="C691" s="12" t="s">
        <v>98</v>
      </c>
      <c r="D691" s="12" t="s">
        <v>99</v>
      </c>
      <c r="E691" s="12" t="s">
        <v>25</v>
      </c>
      <c r="F691" s="12" t="s">
        <v>1287</v>
      </c>
      <c r="G691" s="12" t="s">
        <v>41</v>
      </c>
      <c r="H691" s="12" t="s">
        <v>42</v>
      </c>
      <c r="I691" s="12" t="s">
        <v>68</v>
      </c>
      <c r="J691" s="12" t="s">
        <v>69</v>
      </c>
      <c r="K691" s="12" t="s">
        <v>180</v>
      </c>
      <c r="L691" s="12" t="s">
        <v>52</v>
      </c>
      <c r="M691" s="12">
        <v>4</v>
      </c>
      <c r="N691" s="14">
        <v>1435.59</v>
      </c>
      <c r="O691" s="15">
        <v>0</v>
      </c>
      <c r="P691" s="14">
        <v>5742.36</v>
      </c>
      <c r="Q691" s="14">
        <v>3449.68</v>
      </c>
      <c r="R691" s="14">
        <v>2292.6799999999998</v>
      </c>
      <c r="S691" s="12" t="s">
        <v>46</v>
      </c>
      <c r="T691" s="12" t="s">
        <v>147</v>
      </c>
      <c r="U691" s="12">
        <v>4</v>
      </c>
      <c r="V691" s="12" t="s">
        <v>35</v>
      </c>
    </row>
    <row r="692" spans="1:22" x14ac:dyDescent="0.3">
      <c r="A692" s="8" t="s">
        <v>1288</v>
      </c>
      <c r="B692" s="9">
        <v>45716</v>
      </c>
      <c r="C692" s="8" t="s">
        <v>48</v>
      </c>
      <c r="D692" s="8" t="s">
        <v>49</v>
      </c>
      <c r="E692" s="8" t="s">
        <v>39</v>
      </c>
      <c r="F692" s="8" t="s">
        <v>664</v>
      </c>
      <c r="G692" s="8" t="s">
        <v>27</v>
      </c>
      <c r="H692" s="8" t="s">
        <v>81</v>
      </c>
      <c r="I692" s="8" t="s">
        <v>61</v>
      </c>
      <c r="J692" s="8" t="s">
        <v>43</v>
      </c>
      <c r="K692" s="8" t="s">
        <v>44</v>
      </c>
      <c r="L692" s="8" t="s">
        <v>91</v>
      </c>
      <c r="M692" s="8">
        <v>1</v>
      </c>
      <c r="N692" s="10">
        <v>578.91999999999996</v>
      </c>
      <c r="O692" s="11">
        <v>0</v>
      </c>
      <c r="P692" s="10">
        <v>578.91999999999996</v>
      </c>
      <c r="Q692" s="10">
        <v>253.84</v>
      </c>
      <c r="R692" s="10">
        <v>325.08</v>
      </c>
      <c r="S692" s="8" t="s">
        <v>33</v>
      </c>
      <c r="T692" s="8" t="s">
        <v>119</v>
      </c>
      <c r="U692" s="8">
        <v>3</v>
      </c>
      <c r="V692" s="8" t="s">
        <v>105</v>
      </c>
    </row>
    <row r="693" spans="1:22" x14ac:dyDescent="0.3">
      <c r="A693" s="12" t="s">
        <v>1289</v>
      </c>
      <c r="B693" s="13">
        <v>45793</v>
      </c>
      <c r="C693" s="12" t="s">
        <v>131</v>
      </c>
      <c r="D693" s="12" t="s">
        <v>132</v>
      </c>
      <c r="E693" s="12" t="s">
        <v>25</v>
      </c>
      <c r="F693" s="12" t="s">
        <v>1290</v>
      </c>
      <c r="G693" s="12" t="s">
        <v>27</v>
      </c>
      <c r="H693" s="12" t="s">
        <v>94</v>
      </c>
      <c r="I693" s="12" t="s">
        <v>29</v>
      </c>
      <c r="J693" s="12" t="s">
        <v>89</v>
      </c>
      <c r="K693" s="12" t="s">
        <v>151</v>
      </c>
      <c r="L693" s="12" t="s">
        <v>103</v>
      </c>
      <c r="M693" s="12">
        <v>1</v>
      </c>
      <c r="N693" s="14">
        <v>962.48</v>
      </c>
      <c r="O693" s="15">
        <v>0</v>
      </c>
      <c r="P693" s="14">
        <v>962.48</v>
      </c>
      <c r="Q693" s="14">
        <v>522.80999999999995</v>
      </c>
      <c r="R693" s="14">
        <v>439.67</v>
      </c>
      <c r="S693" s="12" t="s">
        <v>33</v>
      </c>
      <c r="T693" s="12" t="s">
        <v>64</v>
      </c>
      <c r="U693" s="12">
        <v>3</v>
      </c>
      <c r="V693" s="12" t="s">
        <v>134</v>
      </c>
    </row>
    <row r="694" spans="1:22" x14ac:dyDescent="0.3">
      <c r="A694" s="8" t="s">
        <v>1291</v>
      </c>
      <c r="B694" s="9">
        <v>45796</v>
      </c>
      <c r="C694" s="8" t="s">
        <v>37</v>
      </c>
      <c r="D694" s="8" t="s">
        <v>38</v>
      </c>
      <c r="E694" s="8" t="s">
        <v>39</v>
      </c>
      <c r="F694" s="8" t="s">
        <v>326</v>
      </c>
      <c r="G694" s="8" t="s">
        <v>41</v>
      </c>
      <c r="H694" s="8" t="s">
        <v>28</v>
      </c>
      <c r="I694" s="8" t="s">
        <v>29</v>
      </c>
      <c r="J694" s="8" t="s">
        <v>43</v>
      </c>
      <c r="K694" s="8" t="s">
        <v>51</v>
      </c>
      <c r="L694" s="8" t="s">
        <v>91</v>
      </c>
      <c r="M694" s="8">
        <v>5</v>
      </c>
      <c r="N694" s="10">
        <v>1510.5</v>
      </c>
      <c r="O694" s="11">
        <v>0.05</v>
      </c>
      <c r="P694" s="10">
        <v>7174.88</v>
      </c>
      <c r="Q694" s="10">
        <v>3373.27</v>
      </c>
      <c r="R694" s="10">
        <v>3801.61</v>
      </c>
      <c r="S694" s="8" t="s">
        <v>53</v>
      </c>
      <c r="T694" s="8" t="s">
        <v>119</v>
      </c>
      <c r="U694" s="8">
        <v>3</v>
      </c>
      <c r="V694" s="8" t="s">
        <v>134</v>
      </c>
    </row>
    <row r="695" spans="1:22" x14ac:dyDescent="0.3">
      <c r="A695" s="12" t="s">
        <v>1292</v>
      </c>
      <c r="B695" s="13">
        <v>46022</v>
      </c>
      <c r="C695" s="12" t="s">
        <v>98</v>
      </c>
      <c r="D695" s="12" t="s">
        <v>99</v>
      </c>
      <c r="E695" s="12" t="s">
        <v>25</v>
      </c>
      <c r="F695" s="12" t="s">
        <v>916</v>
      </c>
      <c r="G695" s="12" t="s">
        <v>27</v>
      </c>
      <c r="H695" s="12" t="s">
        <v>42</v>
      </c>
      <c r="I695" s="12" t="s">
        <v>61</v>
      </c>
      <c r="J695" s="12" t="s">
        <v>101</v>
      </c>
      <c r="K695" s="12" t="s">
        <v>110</v>
      </c>
      <c r="L695" s="12" t="s">
        <v>82</v>
      </c>
      <c r="M695" s="12">
        <v>2</v>
      </c>
      <c r="N695" s="14">
        <v>5047.4799999999996</v>
      </c>
      <c r="O695" s="15">
        <v>0</v>
      </c>
      <c r="P695" s="14">
        <v>10094.959999999999</v>
      </c>
      <c r="Q695" s="14">
        <v>6456.49</v>
      </c>
      <c r="R695" s="14">
        <v>3638.47</v>
      </c>
      <c r="S695" s="12" t="s">
        <v>46</v>
      </c>
      <c r="T695" s="12" t="s">
        <v>64</v>
      </c>
      <c r="U695" s="12">
        <v>3</v>
      </c>
      <c r="V695" s="12" t="s">
        <v>35</v>
      </c>
    </row>
    <row r="696" spans="1:22" x14ac:dyDescent="0.3">
      <c r="A696" s="8" t="s">
        <v>1293</v>
      </c>
      <c r="B696" s="9">
        <v>45997</v>
      </c>
      <c r="C696" s="8" t="s">
        <v>86</v>
      </c>
      <c r="D696" s="8" t="s">
        <v>87</v>
      </c>
      <c r="E696" s="8" t="s">
        <v>59</v>
      </c>
      <c r="F696" s="8" t="s">
        <v>1294</v>
      </c>
      <c r="G696" s="8" t="s">
        <v>41</v>
      </c>
      <c r="H696" s="8" t="s">
        <v>42</v>
      </c>
      <c r="I696" s="8" t="s">
        <v>29</v>
      </c>
      <c r="J696" s="8" t="s">
        <v>89</v>
      </c>
      <c r="K696" s="8" t="s">
        <v>89</v>
      </c>
      <c r="L696" s="8" t="s">
        <v>175</v>
      </c>
      <c r="M696" s="8">
        <v>4</v>
      </c>
      <c r="N696" s="10">
        <v>1356.62</v>
      </c>
      <c r="O696" s="11">
        <v>0.25</v>
      </c>
      <c r="P696" s="10">
        <v>4069.86</v>
      </c>
      <c r="Q696" s="10">
        <v>2817.77</v>
      </c>
      <c r="R696" s="10">
        <v>1252.0899999999999</v>
      </c>
      <c r="S696" s="8" t="s">
        <v>53</v>
      </c>
      <c r="T696" s="8" t="s">
        <v>71</v>
      </c>
      <c r="U696" s="8">
        <v>3</v>
      </c>
      <c r="V696" s="8" t="s">
        <v>35</v>
      </c>
    </row>
    <row r="697" spans="1:22" x14ac:dyDescent="0.3">
      <c r="A697" s="12" t="s">
        <v>1295</v>
      </c>
      <c r="B697" s="13">
        <v>45780</v>
      </c>
      <c r="C697" s="12" t="s">
        <v>86</v>
      </c>
      <c r="D697" s="12" t="s">
        <v>87</v>
      </c>
      <c r="E697" s="12" t="s">
        <v>59</v>
      </c>
      <c r="F697" s="12" t="s">
        <v>574</v>
      </c>
      <c r="G697" s="12" t="s">
        <v>41</v>
      </c>
      <c r="H697" s="12" t="s">
        <v>94</v>
      </c>
      <c r="I697" s="12" t="s">
        <v>68</v>
      </c>
      <c r="J697" s="12" t="s">
        <v>69</v>
      </c>
      <c r="K697" s="12" t="s">
        <v>180</v>
      </c>
      <c r="L697" s="12" t="s">
        <v>91</v>
      </c>
      <c r="M697" s="12">
        <v>2</v>
      </c>
      <c r="N697" s="14">
        <v>1562.83</v>
      </c>
      <c r="O697" s="15">
        <v>0.3</v>
      </c>
      <c r="P697" s="14">
        <v>2187.96</v>
      </c>
      <c r="Q697" s="14">
        <v>1698.56</v>
      </c>
      <c r="R697" s="14">
        <v>489.4</v>
      </c>
      <c r="S697" s="12" t="s">
        <v>63</v>
      </c>
      <c r="T697" s="12" t="s">
        <v>156</v>
      </c>
      <c r="U697" s="12">
        <v>3</v>
      </c>
      <c r="V697" s="12" t="s">
        <v>134</v>
      </c>
    </row>
    <row r="698" spans="1:22" x14ac:dyDescent="0.3">
      <c r="A698" s="8" t="s">
        <v>1296</v>
      </c>
      <c r="B698" s="9">
        <v>45856</v>
      </c>
      <c r="C698" s="8" t="s">
        <v>57</v>
      </c>
      <c r="D698" s="8" t="s">
        <v>58</v>
      </c>
      <c r="E698" s="8" t="s">
        <v>59</v>
      </c>
      <c r="F698" s="8" t="s">
        <v>1297</v>
      </c>
      <c r="G698" s="8" t="s">
        <v>41</v>
      </c>
      <c r="H698" s="8" t="s">
        <v>94</v>
      </c>
      <c r="I698" s="8" t="s">
        <v>68</v>
      </c>
      <c r="J698" s="8" t="s">
        <v>101</v>
      </c>
      <c r="K698" s="8" t="s">
        <v>217</v>
      </c>
      <c r="L698" s="8" t="s">
        <v>82</v>
      </c>
      <c r="M698" s="8">
        <v>5</v>
      </c>
      <c r="N698" s="10">
        <v>2991.57</v>
      </c>
      <c r="O698" s="11">
        <v>0.25</v>
      </c>
      <c r="P698" s="10">
        <v>11218.39</v>
      </c>
      <c r="Q698" s="10">
        <v>8585.6200000000008</v>
      </c>
      <c r="R698" s="10">
        <v>2632.77</v>
      </c>
      <c r="S698" s="8" t="s">
        <v>46</v>
      </c>
      <c r="T698" s="8" t="s">
        <v>119</v>
      </c>
      <c r="U698" s="8">
        <v>4</v>
      </c>
      <c r="V698" s="8" t="s">
        <v>120</v>
      </c>
    </row>
    <row r="699" spans="1:22" x14ac:dyDescent="0.3">
      <c r="A699" s="12" t="s">
        <v>1298</v>
      </c>
      <c r="B699" s="13">
        <v>45839</v>
      </c>
      <c r="C699" s="12" t="s">
        <v>125</v>
      </c>
      <c r="D699" s="12" t="s">
        <v>126</v>
      </c>
      <c r="E699" s="12" t="s">
        <v>25</v>
      </c>
      <c r="F699" s="12" t="s">
        <v>1299</v>
      </c>
      <c r="G699" s="12" t="s">
        <v>27</v>
      </c>
      <c r="H699" s="12" t="s">
        <v>94</v>
      </c>
      <c r="I699" s="12" t="s">
        <v>68</v>
      </c>
      <c r="J699" s="12" t="s">
        <v>30</v>
      </c>
      <c r="K699" s="12" t="s">
        <v>62</v>
      </c>
      <c r="L699" s="12" t="s">
        <v>45</v>
      </c>
      <c r="M699" s="12">
        <v>3</v>
      </c>
      <c r="N699" s="14">
        <v>969.96</v>
      </c>
      <c r="O699" s="15">
        <v>0.1</v>
      </c>
      <c r="P699" s="14">
        <v>2618.89</v>
      </c>
      <c r="Q699" s="14">
        <v>1404.2</v>
      </c>
      <c r="R699" s="14">
        <v>1214.69</v>
      </c>
      <c r="S699" s="12" t="s">
        <v>83</v>
      </c>
      <c r="T699" s="12" t="s">
        <v>111</v>
      </c>
      <c r="U699" s="12">
        <v>3</v>
      </c>
      <c r="V699" s="12" t="s">
        <v>120</v>
      </c>
    </row>
    <row r="700" spans="1:22" x14ac:dyDescent="0.3">
      <c r="A700" s="8" t="s">
        <v>1300</v>
      </c>
      <c r="B700" s="9">
        <v>45834</v>
      </c>
      <c r="C700" s="8" t="s">
        <v>23</v>
      </c>
      <c r="D700" s="8" t="s">
        <v>24</v>
      </c>
      <c r="E700" s="8" t="s">
        <v>25</v>
      </c>
      <c r="F700" s="8" t="s">
        <v>237</v>
      </c>
      <c r="G700" s="8" t="s">
        <v>41</v>
      </c>
      <c r="H700" s="8" t="s">
        <v>81</v>
      </c>
      <c r="I700" s="8" t="s">
        <v>29</v>
      </c>
      <c r="J700" s="8" t="s">
        <v>43</v>
      </c>
      <c r="K700" s="8" t="s">
        <v>51</v>
      </c>
      <c r="L700" s="8" t="s">
        <v>82</v>
      </c>
      <c r="M700" s="8">
        <v>3</v>
      </c>
      <c r="N700" s="10">
        <v>1518.63</v>
      </c>
      <c r="O700" s="11">
        <v>0.2</v>
      </c>
      <c r="P700" s="10">
        <v>3644.71</v>
      </c>
      <c r="Q700" s="10">
        <v>2075.98</v>
      </c>
      <c r="R700" s="10">
        <v>1568.73</v>
      </c>
      <c r="S700" s="8" t="s">
        <v>33</v>
      </c>
      <c r="T700" s="8" t="s">
        <v>119</v>
      </c>
      <c r="U700" s="8">
        <v>5</v>
      </c>
      <c r="V700" s="8" t="s">
        <v>157</v>
      </c>
    </row>
    <row r="701" spans="1:22" x14ac:dyDescent="0.3">
      <c r="A701" s="12" t="s">
        <v>1301</v>
      </c>
      <c r="B701" s="13">
        <v>45973</v>
      </c>
      <c r="C701" s="12" t="s">
        <v>125</v>
      </c>
      <c r="D701" s="12" t="s">
        <v>126</v>
      </c>
      <c r="E701" s="12" t="s">
        <v>25</v>
      </c>
      <c r="F701" s="12" t="s">
        <v>1302</v>
      </c>
      <c r="G701" s="12" t="s">
        <v>41</v>
      </c>
      <c r="H701" s="12" t="s">
        <v>81</v>
      </c>
      <c r="I701" s="12" t="s">
        <v>29</v>
      </c>
      <c r="J701" s="12" t="s">
        <v>75</v>
      </c>
      <c r="K701" s="12" t="s">
        <v>76</v>
      </c>
      <c r="L701" s="12" t="s">
        <v>52</v>
      </c>
      <c r="M701" s="12">
        <v>5</v>
      </c>
      <c r="N701" s="14">
        <v>838.53</v>
      </c>
      <c r="O701" s="15">
        <v>0.15</v>
      </c>
      <c r="P701" s="14">
        <v>3563.75</v>
      </c>
      <c r="Q701" s="14">
        <v>1695.08</v>
      </c>
      <c r="R701" s="14">
        <v>1868.67</v>
      </c>
      <c r="S701" s="12" t="s">
        <v>46</v>
      </c>
      <c r="T701" s="12" t="s">
        <v>104</v>
      </c>
      <c r="U701" s="12">
        <v>5</v>
      </c>
      <c r="V701" s="12" t="s">
        <v>65</v>
      </c>
    </row>
    <row r="702" spans="1:22" x14ac:dyDescent="0.3">
      <c r="A702" s="8" t="s">
        <v>1303</v>
      </c>
      <c r="B702" s="9">
        <v>45811</v>
      </c>
      <c r="C702" s="8" t="s">
        <v>37</v>
      </c>
      <c r="D702" s="8" t="s">
        <v>38</v>
      </c>
      <c r="E702" s="8" t="s">
        <v>39</v>
      </c>
      <c r="F702" s="8" t="s">
        <v>1304</v>
      </c>
      <c r="G702" s="8" t="s">
        <v>27</v>
      </c>
      <c r="H702" s="8" t="s">
        <v>94</v>
      </c>
      <c r="I702" s="8" t="s">
        <v>68</v>
      </c>
      <c r="J702" s="8" t="s">
        <v>69</v>
      </c>
      <c r="K702" s="8" t="s">
        <v>70</v>
      </c>
      <c r="L702" s="8" t="s">
        <v>82</v>
      </c>
      <c r="M702" s="8">
        <v>4</v>
      </c>
      <c r="N702" s="10">
        <v>862.94</v>
      </c>
      <c r="O702" s="11">
        <v>0.15</v>
      </c>
      <c r="P702" s="10">
        <v>2934</v>
      </c>
      <c r="Q702" s="10">
        <v>1886</v>
      </c>
      <c r="R702" s="10">
        <v>1048</v>
      </c>
      <c r="S702" s="8" t="s">
        <v>46</v>
      </c>
      <c r="T702" s="8" t="s">
        <v>54</v>
      </c>
      <c r="U702" s="8">
        <v>3</v>
      </c>
      <c r="V702" s="8" t="s">
        <v>157</v>
      </c>
    </row>
    <row r="703" spans="1:22" x14ac:dyDescent="0.3">
      <c r="A703" s="12" t="s">
        <v>1305</v>
      </c>
      <c r="B703" s="13">
        <v>45915</v>
      </c>
      <c r="C703" s="12" t="s">
        <v>131</v>
      </c>
      <c r="D703" s="12" t="s">
        <v>132</v>
      </c>
      <c r="E703" s="12" t="s">
        <v>25</v>
      </c>
      <c r="F703" s="12" t="s">
        <v>1306</v>
      </c>
      <c r="G703" s="12" t="s">
        <v>27</v>
      </c>
      <c r="H703" s="12" t="s">
        <v>81</v>
      </c>
      <c r="I703" s="12" t="s">
        <v>29</v>
      </c>
      <c r="J703" s="12" t="s">
        <v>69</v>
      </c>
      <c r="K703" s="12" t="s">
        <v>180</v>
      </c>
      <c r="L703" s="12" t="s">
        <v>77</v>
      </c>
      <c r="M703" s="12">
        <v>2</v>
      </c>
      <c r="N703" s="14">
        <v>1432.07</v>
      </c>
      <c r="O703" s="15">
        <v>0.25</v>
      </c>
      <c r="P703" s="14">
        <v>2148.11</v>
      </c>
      <c r="Q703" s="14">
        <v>1721</v>
      </c>
      <c r="R703" s="14">
        <v>427.11</v>
      </c>
      <c r="S703" s="12" t="s">
        <v>46</v>
      </c>
      <c r="T703" s="12" t="s">
        <v>71</v>
      </c>
      <c r="U703" s="12">
        <v>4</v>
      </c>
      <c r="V703" s="12" t="s">
        <v>116</v>
      </c>
    </row>
    <row r="704" spans="1:22" x14ac:dyDescent="0.3">
      <c r="A704" s="8" t="s">
        <v>1307</v>
      </c>
      <c r="B704" s="9">
        <v>45772</v>
      </c>
      <c r="C704" s="8" t="s">
        <v>131</v>
      </c>
      <c r="D704" s="8" t="s">
        <v>132</v>
      </c>
      <c r="E704" s="8" t="s">
        <v>25</v>
      </c>
      <c r="F704" s="8" t="s">
        <v>1306</v>
      </c>
      <c r="G704" s="8" t="s">
        <v>27</v>
      </c>
      <c r="H704" s="8" t="s">
        <v>94</v>
      </c>
      <c r="I704" s="8" t="s">
        <v>68</v>
      </c>
      <c r="J704" s="8" t="s">
        <v>69</v>
      </c>
      <c r="K704" s="8" t="s">
        <v>180</v>
      </c>
      <c r="L704" s="8" t="s">
        <v>52</v>
      </c>
      <c r="M704" s="8">
        <v>1</v>
      </c>
      <c r="N704" s="10">
        <v>1525.96</v>
      </c>
      <c r="O704" s="11">
        <v>0.25</v>
      </c>
      <c r="P704" s="10">
        <v>1144.47</v>
      </c>
      <c r="Q704" s="10">
        <v>809.48</v>
      </c>
      <c r="R704" s="10">
        <v>334.99</v>
      </c>
      <c r="S704" s="8" t="s">
        <v>53</v>
      </c>
      <c r="T704" s="8" t="s">
        <v>34</v>
      </c>
      <c r="U704" s="8">
        <v>4</v>
      </c>
      <c r="V704" s="8" t="s">
        <v>96</v>
      </c>
    </row>
    <row r="705" spans="1:22" x14ac:dyDescent="0.3">
      <c r="A705" s="12" t="s">
        <v>1308</v>
      </c>
      <c r="B705" s="13">
        <v>45939</v>
      </c>
      <c r="C705" s="12" t="s">
        <v>48</v>
      </c>
      <c r="D705" s="12" t="s">
        <v>49</v>
      </c>
      <c r="E705" s="12" t="s">
        <v>39</v>
      </c>
      <c r="F705" s="12" t="s">
        <v>1309</v>
      </c>
      <c r="G705" s="12" t="s">
        <v>27</v>
      </c>
      <c r="H705" s="12" t="s">
        <v>42</v>
      </c>
      <c r="I705" s="12" t="s">
        <v>29</v>
      </c>
      <c r="J705" s="12" t="s">
        <v>101</v>
      </c>
      <c r="K705" s="12" t="s">
        <v>217</v>
      </c>
      <c r="L705" s="12" t="s">
        <v>45</v>
      </c>
      <c r="M705" s="12">
        <v>5</v>
      </c>
      <c r="N705" s="14">
        <v>2944.41</v>
      </c>
      <c r="O705" s="15">
        <v>0.25</v>
      </c>
      <c r="P705" s="14">
        <v>11041.54</v>
      </c>
      <c r="Q705" s="14">
        <v>8875.99</v>
      </c>
      <c r="R705" s="14">
        <v>2165.5500000000002</v>
      </c>
      <c r="S705" s="12" t="s">
        <v>33</v>
      </c>
      <c r="T705" s="12" t="s">
        <v>111</v>
      </c>
      <c r="U705" s="12">
        <v>5</v>
      </c>
      <c r="V705" s="12" t="s">
        <v>123</v>
      </c>
    </row>
    <row r="706" spans="1:22" x14ac:dyDescent="0.3">
      <c r="A706" s="8" t="s">
        <v>1310</v>
      </c>
      <c r="B706" s="9">
        <v>45826</v>
      </c>
      <c r="C706" s="8" t="s">
        <v>98</v>
      </c>
      <c r="D706" s="8" t="s">
        <v>99</v>
      </c>
      <c r="E706" s="8" t="s">
        <v>25</v>
      </c>
      <c r="F706" s="8" t="s">
        <v>403</v>
      </c>
      <c r="G706" s="8" t="s">
        <v>27</v>
      </c>
      <c r="H706" s="8" t="s">
        <v>81</v>
      </c>
      <c r="I706" s="8" t="s">
        <v>68</v>
      </c>
      <c r="J706" s="8" t="s">
        <v>69</v>
      </c>
      <c r="K706" s="8" t="s">
        <v>180</v>
      </c>
      <c r="L706" s="8" t="s">
        <v>103</v>
      </c>
      <c r="M706" s="8">
        <v>5</v>
      </c>
      <c r="N706" s="10">
        <v>1456.87</v>
      </c>
      <c r="O706" s="11">
        <v>0.25</v>
      </c>
      <c r="P706" s="10">
        <v>5463.26</v>
      </c>
      <c r="Q706" s="10">
        <v>4067.23</v>
      </c>
      <c r="R706" s="10">
        <v>1396.03</v>
      </c>
      <c r="S706" s="8" t="s">
        <v>63</v>
      </c>
      <c r="T706" s="8" t="s">
        <v>54</v>
      </c>
      <c r="U706" s="8">
        <v>5</v>
      </c>
      <c r="V706" s="8" t="s">
        <v>157</v>
      </c>
    </row>
    <row r="707" spans="1:22" x14ac:dyDescent="0.3">
      <c r="A707" s="12" t="s">
        <v>1311</v>
      </c>
      <c r="B707" s="13">
        <v>45974</v>
      </c>
      <c r="C707" s="12" t="s">
        <v>23</v>
      </c>
      <c r="D707" s="12" t="s">
        <v>24</v>
      </c>
      <c r="E707" s="12" t="s">
        <v>25</v>
      </c>
      <c r="F707" s="12" t="s">
        <v>1312</v>
      </c>
      <c r="G707" s="12" t="s">
        <v>27</v>
      </c>
      <c r="H707" s="12" t="s">
        <v>81</v>
      </c>
      <c r="I707" s="12" t="s">
        <v>68</v>
      </c>
      <c r="J707" s="12" t="s">
        <v>30</v>
      </c>
      <c r="K707" s="12" t="s">
        <v>62</v>
      </c>
      <c r="L707" s="12" t="s">
        <v>32</v>
      </c>
      <c r="M707" s="12">
        <v>1</v>
      </c>
      <c r="N707" s="14">
        <v>1000.84</v>
      </c>
      <c r="O707" s="15">
        <v>0.25</v>
      </c>
      <c r="P707" s="14">
        <v>750.63</v>
      </c>
      <c r="Q707" s="14">
        <v>470.88</v>
      </c>
      <c r="R707" s="14">
        <v>279.75</v>
      </c>
      <c r="S707" s="12" t="s">
        <v>46</v>
      </c>
      <c r="T707" s="12" t="s">
        <v>54</v>
      </c>
      <c r="U707" s="12">
        <v>3</v>
      </c>
      <c r="V707" s="12" t="s">
        <v>65</v>
      </c>
    </row>
    <row r="708" spans="1:22" x14ac:dyDescent="0.3">
      <c r="A708" s="8" t="s">
        <v>1313</v>
      </c>
      <c r="B708" s="9">
        <v>45730</v>
      </c>
      <c r="C708" s="8" t="s">
        <v>98</v>
      </c>
      <c r="D708" s="8" t="s">
        <v>99</v>
      </c>
      <c r="E708" s="8" t="s">
        <v>25</v>
      </c>
      <c r="F708" s="8" t="s">
        <v>1314</v>
      </c>
      <c r="G708" s="8" t="s">
        <v>27</v>
      </c>
      <c r="H708" s="8" t="s">
        <v>94</v>
      </c>
      <c r="I708" s="8" t="s">
        <v>61</v>
      </c>
      <c r="J708" s="8" t="s">
        <v>30</v>
      </c>
      <c r="K708" s="8" t="s">
        <v>62</v>
      </c>
      <c r="L708" s="8" t="s">
        <v>175</v>
      </c>
      <c r="M708" s="8">
        <v>4</v>
      </c>
      <c r="N708" s="10">
        <v>982.44</v>
      </c>
      <c r="O708" s="11">
        <v>0.15</v>
      </c>
      <c r="P708" s="10">
        <v>3340.3</v>
      </c>
      <c r="Q708" s="10">
        <v>1753</v>
      </c>
      <c r="R708" s="10">
        <v>1587.3</v>
      </c>
      <c r="S708" s="8" t="s">
        <v>33</v>
      </c>
      <c r="T708" s="8" t="s">
        <v>119</v>
      </c>
      <c r="U708" s="8">
        <v>4</v>
      </c>
      <c r="V708" s="8" t="s">
        <v>55</v>
      </c>
    </row>
    <row r="709" spans="1:22" x14ac:dyDescent="0.3">
      <c r="A709" s="12" t="s">
        <v>1315</v>
      </c>
      <c r="B709" s="13">
        <v>45720</v>
      </c>
      <c r="C709" s="12" t="s">
        <v>125</v>
      </c>
      <c r="D709" s="12" t="s">
        <v>126</v>
      </c>
      <c r="E709" s="12" t="s">
        <v>25</v>
      </c>
      <c r="F709" s="12" t="s">
        <v>247</v>
      </c>
      <c r="G709" s="12" t="s">
        <v>27</v>
      </c>
      <c r="H709" s="12" t="s">
        <v>42</v>
      </c>
      <c r="I709" s="12" t="s">
        <v>68</v>
      </c>
      <c r="J709" s="12" t="s">
        <v>43</v>
      </c>
      <c r="K709" s="12" t="s">
        <v>44</v>
      </c>
      <c r="L709" s="12" t="s">
        <v>32</v>
      </c>
      <c r="M709" s="12">
        <v>3</v>
      </c>
      <c r="N709" s="14">
        <v>598.19000000000005</v>
      </c>
      <c r="O709" s="15">
        <v>0.25</v>
      </c>
      <c r="P709" s="14">
        <v>1345.93</v>
      </c>
      <c r="Q709" s="14">
        <v>778.36</v>
      </c>
      <c r="R709" s="14">
        <v>567.57000000000005</v>
      </c>
      <c r="S709" s="12" t="s">
        <v>53</v>
      </c>
      <c r="T709" s="12" t="s">
        <v>147</v>
      </c>
      <c r="U709" s="12">
        <v>3</v>
      </c>
      <c r="V709" s="12" t="s">
        <v>55</v>
      </c>
    </row>
    <row r="710" spans="1:22" x14ac:dyDescent="0.3">
      <c r="A710" s="8" t="s">
        <v>1316</v>
      </c>
      <c r="B710" s="9">
        <v>45877</v>
      </c>
      <c r="C710" s="8" t="s">
        <v>131</v>
      </c>
      <c r="D710" s="8" t="s">
        <v>132</v>
      </c>
      <c r="E710" s="8" t="s">
        <v>25</v>
      </c>
      <c r="F710" s="8" t="s">
        <v>1317</v>
      </c>
      <c r="G710" s="8" t="s">
        <v>27</v>
      </c>
      <c r="H710" s="8" t="s">
        <v>42</v>
      </c>
      <c r="I710" s="8" t="s">
        <v>68</v>
      </c>
      <c r="J710" s="8" t="s">
        <v>89</v>
      </c>
      <c r="K710" s="8" t="s">
        <v>151</v>
      </c>
      <c r="L710" s="8" t="s">
        <v>82</v>
      </c>
      <c r="M710" s="8">
        <v>4</v>
      </c>
      <c r="N710" s="10">
        <v>1020.92</v>
      </c>
      <c r="O710" s="11">
        <v>0.05</v>
      </c>
      <c r="P710" s="10">
        <v>3879.5</v>
      </c>
      <c r="Q710" s="10">
        <v>1902.2</v>
      </c>
      <c r="R710" s="10">
        <v>1977.3</v>
      </c>
      <c r="S710" s="8" t="s">
        <v>46</v>
      </c>
      <c r="T710" s="8" t="s">
        <v>78</v>
      </c>
      <c r="U710" s="8">
        <v>3</v>
      </c>
      <c r="V710" s="8" t="s">
        <v>72</v>
      </c>
    </row>
    <row r="711" spans="1:22" x14ac:dyDescent="0.3">
      <c r="A711" s="12" t="s">
        <v>1318</v>
      </c>
      <c r="B711" s="13">
        <v>45865</v>
      </c>
      <c r="C711" s="12" t="s">
        <v>48</v>
      </c>
      <c r="D711" s="12" t="s">
        <v>49</v>
      </c>
      <c r="E711" s="12" t="s">
        <v>39</v>
      </c>
      <c r="F711" s="12" t="s">
        <v>506</v>
      </c>
      <c r="G711" s="12" t="s">
        <v>41</v>
      </c>
      <c r="H711" s="12" t="s">
        <v>81</v>
      </c>
      <c r="I711" s="12" t="s">
        <v>61</v>
      </c>
      <c r="J711" s="12" t="s">
        <v>43</v>
      </c>
      <c r="K711" s="12" t="s">
        <v>44</v>
      </c>
      <c r="L711" s="12" t="s">
        <v>175</v>
      </c>
      <c r="M711" s="12">
        <v>2</v>
      </c>
      <c r="N711" s="14">
        <v>593.42999999999995</v>
      </c>
      <c r="O711" s="15">
        <v>0.3</v>
      </c>
      <c r="P711" s="14">
        <v>830.8</v>
      </c>
      <c r="Q711" s="14">
        <v>515.72</v>
      </c>
      <c r="R711" s="14">
        <v>315.08</v>
      </c>
      <c r="S711" s="12" t="s">
        <v>46</v>
      </c>
      <c r="T711" s="12" t="s">
        <v>64</v>
      </c>
      <c r="U711" s="12">
        <v>5</v>
      </c>
      <c r="V711" s="12" t="s">
        <v>120</v>
      </c>
    </row>
    <row r="712" spans="1:22" x14ac:dyDescent="0.3">
      <c r="A712" s="8" t="s">
        <v>1319</v>
      </c>
      <c r="B712" s="9">
        <v>45838</v>
      </c>
      <c r="C712" s="8" t="s">
        <v>107</v>
      </c>
      <c r="D712" s="8" t="s">
        <v>108</v>
      </c>
      <c r="E712" s="8" t="s">
        <v>39</v>
      </c>
      <c r="F712" s="8" t="s">
        <v>1320</v>
      </c>
      <c r="G712" s="8" t="s">
        <v>27</v>
      </c>
      <c r="H712" s="8" t="s">
        <v>42</v>
      </c>
      <c r="I712" s="8" t="s">
        <v>61</v>
      </c>
      <c r="J712" s="8" t="s">
        <v>43</v>
      </c>
      <c r="K712" s="8" t="s">
        <v>51</v>
      </c>
      <c r="L712" s="8" t="s">
        <v>175</v>
      </c>
      <c r="M712" s="8">
        <v>1</v>
      </c>
      <c r="N712" s="10">
        <v>1549.14</v>
      </c>
      <c r="O712" s="11">
        <v>0.25</v>
      </c>
      <c r="P712" s="10">
        <v>1161.8599999999999</v>
      </c>
      <c r="Q712" s="10">
        <v>690.24</v>
      </c>
      <c r="R712" s="10">
        <v>471.62</v>
      </c>
      <c r="S712" s="8" t="s">
        <v>46</v>
      </c>
      <c r="T712" s="8" t="s">
        <v>111</v>
      </c>
      <c r="U712" s="8">
        <v>4</v>
      </c>
      <c r="V712" s="8" t="s">
        <v>157</v>
      </c>
    </row>
    <row r="713" spans="1:22" x14ac:dyDescent="0.3">
      <c r="A713" s="12" t="s">
        <v>1321</v>
      </c>
      <c r="B713" s="13">
        <v>45911</v>
      </c>
      <c r="C713" s="12" t="s">
        <v>48</v>
      </c>
      <c r="D713" s="12" t="s">
        <v>49</v>
      </c>
      <c r="E713" s="12" t="s">
        <v>39</v>
      </c>
      <c r="F713" s="12" t="s">
        <v>26</v>
      </c>
      <c r="G713" s="12" t="s">
        <v>27</v>
      </c>
      <c r="H713" s="12" t="s">
        <v>94</v>
      </c>
      <c r="I713" s="12" t="s">
        <v>61</v>
      </c>
      <c r="J713" s="12" t="s">
        <v>69</v>
      </c>
      <c r="K713" s="12" t="s">
        <v>137</v>
      </c>
      <c r="L713" s="12" t="s">
        <v>45</v>
      </c>
      <c r="M713" s="12">
        <v>1</v>
      </c>
      <c r="N713" s="14">
        <v>498.08</v>
      </c>
      <c r="O713" s="15">
        <v>0.3</v>
      </c>
      <c r="P713" s="14">
        <v>348.66</v>
      </c>
      <c r="Q713" s="14">
        <v>228.26</v>
      </c>
      <c r="R713" s="14">
        <v>120.4</v>
      </c>
      <c r="S713" s="12" t="s">
        <v>46</v>
      </c>
      <c r="T713" s="12" t="s">
        <v>111</v>
      </c>
      <c r="U713" s="12">
        <v>5</v>
      </c>
      <c r="V713" s="12" t="s">
        <v>116</v>
      </c>
    </row>
    <row r="714" spans="1:22" x14ac:dyDescent="0.3">
      <c r="A714" s="8" t="s">
        <v>1322</v>
      </c>
      <c r="B714" s="9">
        <v>45725</v>
      </c>
      <c r="C714" s="8" t="s">
        <v>57</v>
      </c>
      <c r="D714" s="8" t="s">
        <v>58</v>
      </c>
      <c r="E714" s="8" t="s">
        <v>59</v>
      </c>
      <c r="F714" s="8" t="s">
        <v>1323</v>
      </c>
      <c r="G714" s="8" t="s">
        <v>41</v>
      </c>
      <c r="H714" s="8" t="s">
        <v>42</v>
      </c>
      <c r="I714" s="8" t="s">
        <v>29</v>
      </c>
      <c r="J714" s="8" t="s">
        <v>101</v>
      </c>
      <c r="K714" s="8" t="s">
        <v>110</v>
      </c>
      <c r="L714" s="8" t="s">
        <v>175</v>
      </c>
      <c r="M714" s="8">
        <v>3</v>
      </c>
      <c r="N714" s="10">
        <v>5073.72</v>
      </c>
      <c r="O714" s="11">
        <v>0.15</v>
      </c>
      <c r="P714" s="10">
        <v>12937.99</v>
      </c>
      <c r="Q714" s="10">
        <v>9757.18</v>
      </c>
      <c r="R714" s="10">
        <v>3180.81</v>
      </c>
      <c r="S714" s="8" t="s">
        <v>83</v>
      </c>
      <c r="T714" s="8" t="s">
        <v>111</v>
      </c>
      <c r="U714" s="8">
        <v>4</v>
      </c>
      <c r="V714" s="8" t="s">
        <v>55</v>
      </c>
    </row>
    <row r="715" spans="1:22" x14ac:dyDescent="0.3">
      <c r="A715" s="12" t="s">
        <v>1324</v>
      </c>
      <c r="B715" s="13">
        <v>45704</v>
      </c>
      <c r="C715" s="12" t="s">
        <v>131</v>
      </c>
      <c r="D715" s="12" t="s">
        <v>132</v>
      </c>
      <c r="E715" s="12" t="s">
        <v>25</v>
      </c>
      <c r="F715" s="12" t="s">
        <v>1325</v>
      </c>
      <c r="G715" s="12" t="s">
        <v>27</v>
      </c>
      <c r="H715" s="12" t="s">
        <v>28</v>
      </c>
      <c r="I715" s="12" t="s">
        <v>61</v>
      </c>
      <c r="J715" s="12" t="s">
        <v>75</v>
      </c>
      <c r="K715" s="12" t="s">
        <v>95</v>
      </c>
      <c r="L715" s="12" t="s">
        <v>175</v>
      </c>
      <c r="M715" s="12">
        <v>1</v>
      </c>
      <c r="N715" s="14">
        <v>25516.21</v>
      </c>
      <c r="O715" s="15">
        <v>0</v>
      </c>
      <c r="P715" s="14">
        <v>25516.21</v>
      </c>
      <c r="Q715" s="14">
        <v>18169.3</v>
      </c>
      <c r="R715" s="14">
        <v>7346.91</v>
      </c>
      <c r="S715" s="12" t="s">
        <v>46</v>
      </c>
      <c r="T715" s="12" t="s">
        <v>34</v>
      </c>
      <c r="U715" s="12">
        <v>4</v>
      </c>
      <c r="V715" s="12" t="s">
        <v>105</v>
      </c>
    </row>
    <row r="716" spans="1:22" x14ac:dyDescent="0.3">
      <c r="A716" s="8" t="s">
        <v>1326</v>
      </c>
      <c r="B716" s="9">
        <v>45803</v>
      </c>
      <c r="C716" s="8" t="s">
        <v>86</v>
      </c>
      <c r="D716" s="8" t="s">
        <v>87</v>
      </c>
      <c r="E716" s="8" t="s">
        <v>59</v>
      </c>
      <c r="F716" s="8" t="s">
        <v>610</v>
      </c>
      <c r="G716" s="8" t="s">
        <v>27</v>
      </c>
      <c r="H716" s="8" t="s">
        <v>81</v>
      </c>
      <c r="I716" s="8" t="s">
        <v>68</v>
      </c>
      <c r="J716" s="8" t="s">
        <v>69</v>
      </c>
      <c r="K716" s="8" t="s">
        <v>137</v>
      </c>
      <c r="L716" s="8" t="s">
        <v>82</v>
      </c>
      <c r="M716" s="8">
        <v>2</v>
      </c>
      <c r="N716" s="10">
        <v>483.9</v>
      </c>
      <c r="O716" s="11">
        <v>0.2</v>
      </c>
      <c r="P716" s="10">
        <v>774.24</v>
      </c>
      <c r="Q716" s="10">
        <v>425.53</v>
      </c>
      <c r="R716" s="10">
        <v>348.71</v>
      </c>
      <c r="S716" s="8" t="s">
        <v>83</v>
      </c>
      <c r="T716" s="8" t="s">
        <v>111</v>
      </c>
      <c r="U716" s="8">
        <v>4</v>
      </c>
      <c r="V716" s="8" t="s">
        <v>134</v>
      </c>
    </row>
    <row r="717" spans="1:22" x14ac:dyDescent="0.3">
      <c r="A717" s="12" t="s">
        <v>1327</v>
      </c>
      <c r="B717" s="13">
        <v>45742</v>
      </c>
      <c r="C717" s="12" t="s">
        <v>125</v>
      </c>
      <c r="D717" s="12" t="s">
        <v>126</v>
      </c>
      <c r="E717" s="12" t="s">
        <v>25</v>
      </c>
      <c r="F717" s="12" t="s">
        <v>1197</v>
      </c>
      <c r="G717" s="12" t="s">
        <v>27</v>
      </c>
      <c r="H717" s="12" t="s">
        <v>28</v>
      </c>
      <c r="I717" s="12" t="s">
        <v>29</v>
      </c>
      <c r="J717" s="12" t="s">
        <v>75</v>
      </c>
      <c r="K717" s="12" t="s">
        <v>76</v>
      </c>
      <c r="L717" s="12" t="s">
        <v>175</v>
      </c>
      <c r="M717" s="12">
        <v>4</v>
      </c>
      <c r="N717" s="14">
        <v>828.28</v>
      </c>
      <c r="O717" s="15">
        <v>0.3</v>
      </c>
      <c r="P717" s="14">
        <v>2319.1799999999998</v>
      </c>
      <c r="Q717" s="14">
        <v>1346.49</v>
      </c>
      <c r="R717" s="14">
        <v>972.69</v>
      </c>
      <c r="S717" s="12" t="s">
        <v>63</v>
      </c>
      <c r="T717" s="12" t="s">
        <v>78</v>
      </c>
      <c r="U717" s="12">
        <v>5</v>
      </c>
      <c r="V717" s="12" t="s">
        <v>55</v>
      </c>
    </row>
    <row r="718" spans="1:22" x14ac:dyDescent="0.3">
      <c r="A718" s="8" t="s">
        <v>1328</v>
      </c>
      <c r="B718" s="9">
        <v>45919</v>
      </c>
      <c r="C718" s="8" t="s">
        <v>48</v>
      </c>
      <c r="D718" s="8" t="s">
        <v>49</v>
      </c>
      <c r="E718" s="8" t="s">
        <v>39</v>
      </c>
      <c r="F718" s="8" t="s">
        <v>1329</v>
      </c>
      <c r="G718" s="8" t="s">
        <v>27</v>
      </c>
      <c r="H718" s="8" t="s">
        <v>81</v>
      </c>
      <c r="I718" s="8" t="s">
        <v>29</v>
      </c>
      <c r="J718" s="8" t="s">
        <v>89</v>
      </c>
      <c r="K718" s="8" t="s">
        <v>90</v>
      </c>
      <c r="L718" s="8" t="s">
        <v>91</v>
      </c>
      <c r="M718" s="8">
        <v>4</v>
      </c>
      <c r="N718" s="10">
        <v>3619.33</v>
      </c>
      <c r="O718" s="11">
        <v>0.15</v>
      </c>
      <c r="P718" s="10">
        <v>12305.72</v>
      </c>
      <c r="Q718" s="10">
        <v>8021.05</v>
      </c>
      <c r="R718" s="10">
        <v>4284.67</v>
      </c>
      <c r="S718" s="8" t="s">
        <v>63</v>
      </c>
      <c r="T718" s="8" t="s">
        <v>147</v>
      </c>
      <c r="U718" s="8">
        <v>5</v>
      </c>
      <c r="V718" s="8" t="s">
        <v>116</v>
      </c>
    </row>
    <row r="719" spans="1:22" x14ac:dyDescent="0.3">
      <c r="A719" s="12" t="s">
        <v>1330</v>
      </c>
      <c r="B719" s="13">
        <v>45824</v>
      </c>
      <c r="C719" s="12" t="s">
        <v>98</v>
      </c>
      <c r="D719" s="12" t="s">
        <v>99</v>
      </c>
      <c r="E719" s="12" t="s">
        <v>25</v>
      </c>
      <c r="F719" s="12" t="s">
        <v>678</v>
      </c>
      <c r="G719" s="12" t="s">
        <v>27</v>
      </c>
      <c r="H719" s="12" t="s">
        <v>81</v>
      </c>
      <c r="I719" s="12" t="s">
        <v>29</v>
      </c>
      <c r="J719" s="12" t="s">
        <v>101</v>
      </c>
      <c r="K719" s="12" t="s">
        <v>110</v>
      </c>
      <c r="L719" s="12" t="s">
        <v>91</v>
      </c>
      <c r="M719" s="12">
        <v>2</v>
      </c>
      <c r="N719" s="14">
        <v>5068.2299999999996</v>
      </c>
      <c r="O719" s="15">
        <v>0.2</v>
      </c>
      <c r="P719" s="14">
        <v>8109.17</v>
      </c>
      <c r="Q719" s="14">
        <v>6652.56</v>
      </c>
      <c r="R719" s="14">
        <v>1456.61</v>
      </c>
      <c r="S719" s="12" t="s">
        <v>63</v>
      </c>
      <c r="T719" s="12" t="s">
        <v>111</v>
      </c>
      <c r="U719" s="12">
        <v>3</v>
      </c>
      <c r="V719" s="12" t="s">
        <v>157</v>
      </c>
    </row>
    <row r="720" spans="1:22" x14ac:dyDescent="0.3">
      <c r="A720" s="8" t="s">
        <v>1331</v>
      </c>
      <c r="B720" s="9">
        <v>45884</v>
      </c>
      <c r="C720" s="8" t="s">
        <v>125</v>
      </c>
      <c r="D720" s="8" t="s">
        <v>126</v>
      </c>
      <c r="E720" s="8" t="s">
        <v>25</v>
      </c>
      <c r="F720" s="8" t="s">
        <v>1332</v>
      </c>
      <c r="G720" s="8" t="s">
        <v>41</v>
      </c>
      <c r="H720" s="8" t="s">
        <v>42</v>
      </c>
      <c r="I720" s="8" t="s">
        <v>61</v>
      </c>
      <c r="J720" s="8" t="s">
        <v>43</v>
      </c>
      <c r="K720" s="8" t="s">
        <v>51</v>
      </c>
      <c r="L720" s="8" t="s">
        <v>91</v>
      </c>
      <c r="M720" s="8">
        <v>5</v>
      </c>
      <c r="N720" s="10">
        <v>1443.91</v>
      </c>
      <c r="O720" s="11">
        <v>0.1</v>
      </c>
      <c r="P720" s="10">
        <v>6497.6</v>
      </c>
      <c r="Q720" s="10">
        <v>3519.74</v>
      </c>
      <c r="R720" s="10">
        <v>2977.86</v>
      </c>
      <c r="S720" s="8" t="s">
        <v>63</v>
      </c>
      <c r="T720" s="8" t="s">
        <v>78</v>
      </c>
      <c r="U720" s="8">
        <v>3</v>
      </c>
      <c r="V720" s="8" t="s">
        <v>72</v>
      </c>
    </row>
    <row r="721" spans="1:22" x14ac:dyDescent="0.3">
      <c r="A721" s="12" t="s">
        <v>1333</v>
      </c>
      <c r="B721" s="13">
        <v>45744</v>
      </c>
      <c r="C721" s="12" t="s">
        <v>23</v>
      </c>
      <c r="D721" s="12" t="s">
        <v>24</v>
      </c>
      <c r="E721" s="12" t="s">
        <v>25</v>
      </c>
      <c r="F721" s="12" t="s">
        <v>1334</v>
      </c>
      <c r="G721" s="12" t="s">
        <v>41</v>
      </c>
      <c r="H721" s="12" t="s">
        <v>81</v>
      </c>
      <c r="I721" s="12" t="s">
        <v>68</v>
      </c>
      <c r="J721" s="12" t="s">
        <v>89</v>
      </c>
      <c r="K721" s="12" t="s">
        <v>90</v>
      </c>
      <c r="L721" s="12" t="s">
        <v>103</v>
      </c>
      <c r="M721" s="12">
        <v>4</v>
      </c>
      <c r="N721" s="14">
        <v>3477.78</v>
      </c>
      <c r="O721" s="15">
        <v>0.3</v>
      </c>
      <c r="P721" s="14">
        <v>9737.7800000000007</v>
      </c>
      <c r="Q721" s="14">
        <v>8620.32</v>
      </c>
      <c r="R721" s="14">
        <v>1117.46</v>
      </c>
      <c r="S721" s="12" t="s">
        <v>83</v>
      </c>
      <c r="T721" s="12" t="s">
        <v>64</v>
      </c>
      <c r="U721" s="12">
        <v>5</v>
      </c>
      <c r="V721" s="12" t="s">
        <v>55</v>
      </c>
    </row>
    <row r="722" spans="1:22" x14ac:dyDescent="0.3">
      <c r="A722" s="8" t="s">
        <v>1335</v>
      </c>
      <c r="B722" s="9">
        <v>45825</v>
      </c>
      <c r="C722" s="8" t="s">
        <v>98</v>
      </c>
      <c r="D722" s="8" t="s">
        <v>99</v>
      </c>
      <c r="E722" s="8" t="s">
        <v>25</v>
      </c>
      <c r="F722" s="8" t="s">
        <v>1336</v>
      </c>
      <c r="G722" s="8" t="s">
        <v>41</v>
      </c>
      <c r="H722" s="8" t="s">
        <v>28</v>
      </c>
      <c r="I722" s="8" t="s">
        <v>68</v>
      </c>
      <c r="J722" s="8" t="s">
        <v>43</v>
      </c>
      <c r="K722" s="8" t="s">
        <v>51</v>
      </c>
      <c r="L722" s="8" t="s">
        <v>52</v>
      </c>
      <c r="M722" s="8">
        <v>5</v>
      </c>
      <c r="N722" s="10">
        <v>1463.3</v>
      </c>
      <c r="O722" s="11">
        <v>0.1</v>
      </c>
      <c r="P722" s="10">
        <v>6584.85</v>
      </c>
      <c r="Q722" s="10">
        <v>3368.16</v>
      </c>
      <c r="R722" s="10">
        <v>3216.69</v>
      </c>
      <c r="S722" s="8" t="s">
        <v>63</v>
      </c>
      <c r="T722" s="8" t="s">
        <v>64</v>
      </c>
      <c r="U722" s="8">
        <v>4</v>
      </c>
      <c r="V722" s="8" t="s">
        <v>157</v>
      </c>
    </row>
    <row r="723" spans="1:22" x14ac:dyDescent="0.3">
      <c r="A723" s="12" t="s">
        <v>1337</v>
      </c>
      <c r="B723" s="13">
        <v>45701</v>
      </c>
      <c r="C723" s="12" t="s">
        <v>131</v>
      </c>
      <c r="D723" s="12" t="s">
        <v>132</v>
      </c>
      <c r="E723" s="12" t="s">
        <v>25</v>
      </c>
      <c r="F723" s="12" t="s">
        <v>1338</v>
      </c>
      <c r="G723" s="12" t="s">
        <v>27</v>
      </c>
      <c r="H723" s="12" t="s">
        <v>81</v>
      </c>
      <c r="I723" s="12" t="s">
        <v>61</v>
      </c>
      <c r="J723" s="12" t="s">
        <v>89</v>
      </c>
      <c r="K723" s="12" t="s">
        <v>151</v>
      </c>
      <c r="L723" s="12" t="s">
        <v>103</v>
      </c>
      <c r="M723" s="12">
        <v>4</v>
      </c>
      <c r="N723" s="14">
        <v>1039.8699999999999</v>
      </c>
      <c r="O723" s="15">
        <v>0.25</v>
      </c>
      <c r="P723" s="14">
        <v>3119.61</v>
      </c>
      <c r="Q723" s="14">
        <v>1958.97</v>
      </c>
      <c r="R723" s="14">
        <v>1160.6400000000001</v>
      </c>
      <c r="S723" s="12" t="s">
        <v>33</v>
      </c>
      <c r="T723" s="12" t="s">
        <v>104</v>
      </c>
      <c r="U723" s="12">
        <v>4</v>
      </c>
      <c r="V723" s="12" t="s">
        <v>105</v>
      </c>
    </row>
    <row r="724" spans="1:22" x14ac:dyDescent="0.3">
      <c r="A724" s="8" t="s">
        <v>1339</v>
      </c>
      <c r="B724" s="9">
        <v>45667</v>
      </c>
      <c r="C724" s="8" t="s">
        <v>37</v>
      </c>
      <c r="D724" s="8" t="s">
        <v>38</v>
      </c>
      <c r="E724" s="8" t="s">
        <v>39</v>
      </c>
      <c r="F724" s="8" t="s">
        <v>146</v>
      </c>
      <c r="G724" s="8" t="s">
        <v>41</v>
      </c>
      <c r="H724" s="8" t="s">
        <v>28</v>
      </c>
      <c r="I724" s="8" t="s">
        <v>29</v>
      </c>
      <c r="J724" s="8" t="s">
        <v>43</v>
      </c>
      <c r="K724" s="8" t="s">
        <v>51</v>
      </c>
      <c r="L724" s="8" t="s">
        <v>77</v>
      </c>
      <c r="M724" s="8">
        <v>1</v>
      </c>
      <c r="N724" s="10">
        <v>1462.03</v>
      </c>
      <c r="O724" s="11">
        <v>0.05</v>
      </c>
      <c r="P724" s="10">
        <v>1388.93</v>
      </c>
      <c r="Q724" s="10">
        <v>729.22</v>
      </c>
      <c r="R724" s="10">
        <v>659.71</v>
      </c>
      <c r="S724" s="8" t="s">
        <v>46</v>
      </c>
      <c r="T724" s="8" t="s">
        <v>64</v>
      </c>
      <c r="U724" s="8">
        <v>3</v>
      </c>
      <c r="V724" s="8" t="s">
        <v>84</v>
      </c>
    </row>
    <row r="725" spans="1:22" x14ac:dyDescent="0.3">
      <c r="A725" s="12" t="s">
        <v>1340</v>
      </c>
      <c r="B725" s="13">
        <v>45837</v>
      </c>
      <c r="C725" s="12" t="s">
        <v>113</v>
      </c>
      <c r="D725" s="12" t="s">
        <v>114</v>
      </c>
      <c r="E725" s="12" t="s">
        <v>59</v>
      </c>
      <c r="F725" s="12" t="s">
        <v>1341</v>
      </c>
      <c r="G725" s="12" t="s">
        <v>27</v>
      </c>
      <c r="H725" s="12" t="s">
        <v>94</v>
      </c>
      <c r="I725" s="12" t="s">
        <v>29</v>
      </c>
      <c r="J725" s="12" t="s">
        <v>69</v>
      </c>
      <c r="K725" s="12" t="s">
        <v>137</v>
      </c>
      <c r="L725" s="12" t="s">
        <v>91</v>
      </c>
      <c r="M725" s="12">
        <v>1</v>
      </c>
      <c r="N725" s="14">
        <v>476.55</v>
      </c>
      <c r="O725" s="15">
        <v>0.3</v>
      </c>
      <c r="P725" s="14">
        <v>333.58</v>
      </c>
      <c r="Q725" s="14">
        <v>222.94</v>
      </c>
      <c r="R725" s="14">
        <v>110.64</v>
      </c>
      <c r="S725" s="12" t="s">
        <v>63</v>
      </c>
      <c r="T725" s="12" t="s">
        <v>34</v>
      </c>
      <c r="U725" s="12">
        <v>5</v>
      </c>
      <c r="V725" s="12" t="s">
        <v>157</v>
      </c>
    </row>
    <row r="726" spans="1:22" x14ac:dyDescent="0.3">
      <c r="A726" s="8" t="s">
        <v>1342</v>
      </c>
      <c r="B726" s="9">
        <v>45932</v>
      </c>
      <c r="C726" s="8" t="s">
        <v>125</v>
      </c>
      <c r="D726" s="8" t="s">
        <v>126</v>
      </c>
      <c r="E726" s="8" t="s">
        <v>25</v>
      </c>
      <c r="F726" s="8" t="s">
        <v>1343</v>
      </c>
      <c r="G726" s="8" t="s">
        <v>27</v>
      </c>
      <c r="H726" s="8" t="s">
        <v>81</v>
      </c>
      <c r="I726" s="8" t="s">
        <v>68</v>
      </c>
      <c r="J726" s="8" t="s">
        <v>43</v>
      </c>
      <c r="K726" s="8" t="s">
        <v>44</v>
      </c>
      <c r="L726" s="8" t="s">
        <v>91</v>
      </c>
      <c r="M726" s="8">
        <v>4</v>
      </c>
      <c r="N726" s="10">
        <v>585.97</v>
      </c>
      <c r="O726" s="11">
        <v>0.15</v>
      </c>
      <c r="P726" s="10">
        <v>1992.3</v>
      </c>
      <c r="Q726" s="10">
        <v>1011.06</v>
      </c>
      <c r="R726" s="10">
        <v>981.24</v>
      </c>
      <c r="S726" s="8" t="s">
        <v>83</v>
      </c>
      <c r="T726" s="8" t="s">
        <v>156</v>
      </c>
      <c r="U726" s="8">
        <v>3</v>
      </c>
      <c r="V726" s="8" t="s">
        <v>123</v>
      </c>
    </row>
    <row r="727" spans="1:22" x14ac:dyDescent="0.3">
      <c r="A727" s="12" t="s">
        <v>1344</v>
      </c>
      <c r="B727" s="13">
        <v>45880</v>
      </c>
      <c r="C727" s="12" t="s">
        <v>125</v>
      </c>
      <c r="D727" s="12" t="s">
        <v>126</v>
      </c>
      <c r="E727" s="12" t="s">
        <v>25</v>
      </c>
      <c r="F727" s="12" t="s">
        <v>1208</v>
      </c>
      <c r="G727" s="12" t="s">
        <v>41</v>
      </c>
      <c r="H727" s="12" t="s">
        <v>42</v>
      </c>
      <c r="I727" s="12" t="s">
        <v>68</v>
      </c>
      <c r="J727" s="12" t="s">
        <v>43</v>
      </c>
      <c r="K727" s="12" t="s">
        <v>44</v>
      </c>
      <c r="L727" s="12" t="s">
        <v>77</v>
      </c>
      <c r="M727" s="12">
        <v>1</v>
      </c>
      <c r="N727" s="14">
        <v>579.95000000000005</v>
      </c>
      <c r="O727" s="15">
        <v>0.1</v>
      </c>
      <c r="P727" s="14">
        <v>521.96</v>
      </c>
      <c r="Q727" s="14">
        <v>270.35000000000002</v>
      </c>
      <c r="R727" s="14">
        <v>251.61</v>
      </c>
      <c r="S727" s="12" t="s">
        <v>46</v>
      </c>
      <c r="T727" s="12" t="s">
        <v>104</v>
      </c>
      <c r="U727" s="12">
        <v>5</v>
      </c>
      <c r="V727" s="12" t="s">
        <v>72</v>
      </c>
    </row>
    <row r="728" spans="1:22" x14ac:dyDescent="0.3">
      <c r="A728" s="8" t="s">
        <v>1345</v>
      </c>
      <c r="B728" s="9">
        <v>45740</v>
      </c>
      <c r="C728" s="8" t="s">
        <v>86</v>
      </c>
      <c r="D728" s="8" t="s">
        <v>87</v>
      </c>
      <c r="E728" s="8" t="s">
        <v>59</v>
      </c>
      <c r="F728" s="8" t="s">
        <v>239</v>
      </c>
      <c r="G728" s="8" t="s">
        <v>27</v>
      </c>
      <c r="H728" s="8" t="s">
        <v>42</v>
      </c>
      <c r="I728" s="8" t="s">
        <v>29</v>
      </c>
      <c r="J728" s="8" t="s">
        <v>69</v>
      </c>
      <c r="K728" s="8" t="s">
        <v>137</v>
      </c>
      <c r="L728" s="8" t="s">
        <v>32</v>
      </c>
      <c r="M728" s="8">
        <v>2</v>
      </c>
      <c r="N728" s="10">
        <v>495.15</v>
      </c>
      <c r="O728" s="11">
        <v>0.1</v>
      </c>
      <c r="P728" s="10">
        <v>891.27</v>
      </c>
      <c r="Q728" s="10">
        <v>434.72</v>
      </c>
      <c r="R728" s="10">
        <v>456.55</v>
      </c>
      <c r="S728" s="8" t="s">
        <v>46</v>
      </c>
      <c r="T728" s="8" t="s">
        <v>54</v>
      </c>
      <c r="U728" s="8">
        <v>3</v>
      </c>
      <c r="V728" s="8" t="s">
        <v>55</v>
      </c>
    </row>
    <row r="729" spans="1:22" x14ac:dyDescent="0.3">
      <c r="A729" s="12" t="s">
        <v>1346</v>
      </c>
      <c r="B729" s="13">
        <v>45742</v>
      </c>
      <c r="C729" s="12" t="s">
        <v>125</v>
      </c>
      <c r="D729" s="12" t="s">
        <v>126</v>
      </c>
      <c r="E729" s="12" t="s">
        <v>25</v>
      </c>
      <c r="F729" s="12" t="s">
        <v>174</v>
      </c>
      <c r="G729" s="12" t="s">
        <v>27</v>
      </c>
      <c r="H729" s="12" t="s">
        <v>94</v>
      </c>
      <c r="I729" s="12" t="s">
        <v>61</v>
      </c>
      <c r="J729" s="12" t="s">
        <v>89</v>
      </c>
      <c r="K729" s="12" t="s">
        <v>151</v>
      </c>
      <c r="L729" s="12" t="s">
        <v>103</v>
      </c>
      <c r="M729" s="12">
        <v>5</v>
      </c>
      <c r="N729" s="14">
        <v>998.88</v>
      </c>
      <c r="O729" s="15">
        <v>0.1</v>
      </c>
      <c r="P729" s="14">
        <v>4494.96</v>
      </c>
      <c r="Q729" s="14">
        <v>2583.9699999999998</v>
      </c>
      <c r="R729" s="14">
        <v>1910.99</v>
      </c>
      <c r="S729" s="12" t="s">
        <v>63</v>
      </c>
      <c r="T729" s="12" t="s">
        <v>147</v>
      </c>
      <c r="U729" s="12">
        <v>4</v>
      </c>
      <c r="V729" s="12" t="s">
        <v>55</v>
      </c>
    </row>
    <row r="730" spans="1:22" x14ac:dyDescent="0.3">
      <c r="A730" s="8" t="s">
        <v>1347</v>
      </c>
      <c r="B730" s="9">
        <v>45863</v>
      </c>
      <c r="C730" s="8" t="s">
        <v>107</v>
      </c>
      <c r="D730" s="8" t="s">
        <v>108</v>
      </c>
      <c r="E730" s="8" t="s">
        <v>39</v>
      </c>
      <c r="F730" s="8" t="s">
        <v>396</v>
      </c>
      <c r="G730" s="8" t="s">
        <v>41</v>
      </c>
      <c r="H730" s="8" t="s">
        <v>81</v>
      </c>
      <c r="I730" s="8" t="s">
        <v>29</v>
      </c>
      <c r="J730" s="8" t="s">
        <v>101</v>
      </c>
      <c r="K730" s="8" t="s">
        <v>110</v>
      </c>
      <c r="L730" s="8" t="s">
        <v>91</v>
      </c>
      <c r="M730" s="8">
        <v>2</v>
      </c>
      <c r="N730" s="10">
        <v>4945.5600000000004</v>
      </c>
      <c r="O730" s="11">
        <v>0.25</v>
      </c>
      <c r="P730" s="10">
        <v>7418.34</v>
      </c>
      <c r="Q730" s="10">
        <v>6144.08</v>
      </c>
      <c r="R730" s="10">
        <v>1274.26</v>
      </c>
      <c r="S730" s="8" t="s">
        <v>63</v>
      </c>
      <c r="T730" s="8" t="s">
        <v>64</v>
      </c>
      <c r="U730" s="8">
        <v>3</v>
      </c>
      <c r="V730" s="8" t="s">
        <v>120</v>
      </c>
    </row>
    <row r="731" spans="1:22" x14ac:dyDescent="0.3">
      <c r="A731" s="12" t="s">
        <v>1348</v>
      </c>
      <c r="B731" s="13">
        <v>45918</v>
      </c>
      <c r="C731" s="12" t="s">
        <v>107</v>
      </c>
      <c r="D731" s="12" t="s">
        <v>108</v>
      </c>
      <c r="E731" s="12" t="s">
        <v>39</v>
      </c>
      <c r="F731" s="12" t="s">
        <v>715</v>
      </c>
      <c r="G731" s="12" t="s">
        <v>41</v>
      </c>
      <c r="H731" s="12" t="s">
        <v>28</v>
      </c>
      <c r="I731" s="12" t="s">
        <v>68</v>
      </c>
      <c r="J731" s="12" t="s">
        <v>43</v>
      </c>
      <c r="K731" s="12" t="s">
        <v>44</v>
      </c>
      <c r="L731" s="12" t="s">
        <v>32</v>
      </c>
      <c r="M731" s="12">
        <v>3</v>
      </c>
      <c r="N731" s="14">
        <v>618.65</v>
      </c>
      <c r="O731" s="15">
        <v>0.2</v>
      </c>
      <c r="P731" s="14">
        <v>1484.76</v>
      </c>
      <c r="Q731" s="14">
        <v>798.58</v>
      </c>
      <c r="R731" s="14">
        <v>686.18</v>
      </c>
      <c r="S731" s="12" t="s">
        <v>83</v>
      </c>
      <c r="T731" s="12" t="s">
        <v>71</v>
      </c>
      <c r="U731" s="12">
        <v>4</v>
      </c>
      <c r="V731" s="12" t="s">
        <v>116</v>
      </c>
    </row>
    <row r="732" spans="1:22" x14ac:dyDescent="0.3">
      <c r="A732" s="8" t="s">
        <v>1349</v>
      </c>
      <c r="B732" s="9">
        <v>46013</v>
      </c>
      <c r="C732" s="8" t="s">
        <v>23</v>
      </c>
      <c r="D732" s="8" t="s">
        <v>24</v>
      </c>
      <c r="E732" s="8" t="s">
        <v>25</v>
      </c>
      <c r="F732" s="8" t="s">
        <v>1033</v>
      </c>
      <c r="G732" s="8" t="s">
        <v>27</v>
      </c>
      <c r="H732" s="8" t="s">
        <v>42</v>
      </c>
      <c r="I732" s="8" t="s">
        <v>29</v>
      </c>
      <c r="J732" s="8" t="s">
        <v>101</v>
      </c>
      <c r="K732" s="8" t="s">
        <v>110</v>
      </c>
      <c r="L732" s="8" t="s">
        <v>175</v>
      </c>
      <c r="M732" s="8">
        <v>4</v>
      </c>
      <c r="N732" s="10">
        <v>4799.33</v>
      </c>
      <c r="O732" s="11">
        <v>0.1</v>
      </c>
      <c r="P732" s="10">
        <v>17277.59</v>
      </c>
      <c r="Q732" s="10">
        <v>12654.06</v>
      </c>
      <c r="R732" s="10">
        <v>4623.53</v>
      </c>
      <c r="S732" s="8" t="s">
        <v>46</v>
      </c>
      <c r="T732" s="8" t="s">
        <v>119</v>
      </c>
      <c r="U732" s="8">
        <v>4</v>
      </c>
      <c r="V732" s="8" t="s">
        <v>35</v>
      </c>
    </row>
    <row r="733" spans="1:22" x14ac:dyDescent="0.3">
      <c r="A733" s="12" t="s">
        <v>1350</v>
      </c>
      <c r="B733" s="13">
        <v>45742</v>
      </c>
      <c r="C733" s="12" t="s">
        <v>113</v>
      </c>
      <c r="D733" s="12" t="s">
        <v>114</v>
      </c>
      <c r="E733" s="12" t="s">
        <v>59</v>
      </c>
      <c r="F733" s="12" t="s">
        <v>1351</v>
      </c>
      <c r="G733" s="12" t="s">
        <v>27</v>
      </c>
      <c r="H733" s="12" t="s">
        <v>42</v>
      </c>
      <c r="I733" s="12" t="s">
        <v>68</v>
      </c>
      <c r="J733" s="12" t="s">
        <v>75</v>
      </c>
      <c r="K733" s="12" t="s">
        <v>76</v>
      </c>
      <c r="L733" s="12" t="s">
        <v>175</v>
      </c>
      <c r="M733" s="12">
        <v>2</v>
      </c>
      <c r="N733" s="14">
        <v>780.47</v>
      </c>
      <c r="O733" s="15">
        <v>0</v>
      </c>
      <c r="P733" s="14">
        <v>1560.94</v>
      </c>
      <c r="Q733" s="14">
        <v>682.1</v>
      </c>
      <c r="R733" s="14">
        <v>878.84</v>
      </c>
      <c r="S733" s="12" t="s">
        <v>63</v>
      </c>
      <c r="T733" s="12" t="s">
        <v>156</v>
      </c>
      <c r="U733" s="12">
        <v>4</v>
      </c>
      <c r="V733" s="12" t="s">
        <v>55</v>
      </c>
    </row>
    <row r="734" spans="1:22" x14ac:dyDescent="0.3">
      <c r="A734" s="8" t="s">
        <v>1352</v>
      </c>
      <c r="B734" s="9">
        <v>46009</v>
      </c>
      <c r="C734" s="8" t="s">
        <v>23</v>
      </c>
      <c r="D734" s="8" t="s">
        <v>24</v>
      </c>
      <c r="E734" s="8" t="s">
        <v>25</v>
      </c>
      <c r="F734" s="8" t="s">
        <v>366</v>
      </c>
      <c r="G734" s="8" t="s">
        <v>27</v>
      </c>
      <c r="H734" s="8" t="s">
        <v>94</v>
      </c>
      <c r="I734" s="8" t="s">
        <v>29</v>
      </c>
      <c r="J734" s="8" t="s">
        <v>43</v>
      </c>
      <c r="K734" s="8" t="s">
        <v>44</v>
      </c>
      <c r="L734" s="8" t="s">
        <v>175</v>
      </c>
      <c r="M734" s="8">
        <v>3</v>
      </c>
      <c r="N734" s="10">
        <v>622.47</v>
      </c>
      <c r="O734" s="11">
        <v>0.1</v>
      </c>
      <c r="P734" s="10">
        <v>1680.67</v>
      </c>
      <c r="Q734" s="10">
        <v>756.11</v>
      </c>
      <c r="R734" s="10">
        <v>924.56</v>
      </c>
      <c r="S734" s="8" t="s">
        <v>63</v>
      </c>
      <c r="T734" s="8" t="s">
        <v>34</v>
      </c>
      <c r="U734" s="8">
        <v>3</v>
      </c>
      <c r="V734" s="8" t="s">
        <v>35</v>
      </c>
    </row>
    <row r="735" spans="1:22" x14ac:dyDescent="0.3">
      <c r="A735" s="12" t="s">
        <v>1353</v>
      </c>
      <c r="B735" s="13">
        <v>45693</v>
      </c>
      <c r="C735" s="12" t="s">
        <v>98</v>
      </c>
      <c r="D735" s="12" t="s">
        <v>99</v>
      </c>
      <c r="E735" s="12" t="s">
        <v>25</v>
      </c>
      <c r="F735" s="12" t="s">
        <v>231</v>
      </c>
      <c r="G735" s="12" t="s">
        <v>41</v>
      </c>
      <c r="H735" s="12" t="s">
        <v>42</v>
      </c>
      <c r="I735" s="12" t="s">
        <v>61</v>
      </c>
      <c r="J735" s="12" t="s">
        <v>30</v>
      </c>
      <c r="K735" s="12" t="s">
        <v>144</v>
      </c>
      <c r="L735" s="12" t="s">
        <v>175</v>
      </c>
      <c r="M735" s="12">
        <v>4</v>
      </c>
      <c r="N735" s="14">
        <v>2446.71</v>
      </c>
      <c r="O735" s="15">
        <v>0.15</v>
      </c>
      <c r="P735" s="14">
        <v>8318.81</v>
      </c>
      <c r="Q735" s="14">
        <v>6260.6</v>
      </c>
      <c r="R735" s="14">
        <v>2058.21</v>
      </c>
      <c r="S735" s="12" t="s">
        <v>83</v>
      </c>
      <c r="T735" s="12" t="s">
        <v>71</v>
      </c>
      <c r="U735" s="12">
        <v>3</v>
      </c>
      <c r="V735" s="12" t="s">
        <v>105</v>
      </c>
    </row>
    <row r="736" spans="1:22" x14ac:dyDescent="0.3">
      <c r="A736" s="8" t="s">
        <v>1354</v>
      </c>
      <c r="B736" s="9">
        <v>45846</v>
      </c>
      <c r="C736" s="8" t="s">
        <v>23</v>
      </c>
      <c r="D736" s="8" t="s">
        <v>24</v>
      </c>
      <c r="E736" s="8" t="s">
        <v>25</v>
      </c>
      <c r="F736" s="8" t="s">
        <v>933</v>
      </c>
      <c r="G736" s="8" t="s">
        <v>41</v>
      </c>
      <c r="H736" s="8" t="s">
        <v>94</v>
      </c>
      <c r="I736" s="8" t="s">
        <v>68</v>
      </c>
      <c r="J736" s="8" t="s">
        <v>89</v>
      </c>
      <c r="K736" s="8" t="s">
        <v>151</v>
      </c>
      <c r="L736" s="8" t="s">
        <v>32</v>
      </c>
      <c r="M736" s="8">
        <v>5</v>
      </c>
      <c r="N736" s="10">
        <v>954.86</v>
      </c>
      <c r="O736" s="11">
        <v>0.25</v>
      </c>
      <c r="P736" s="10">
        <v>3580.73</v>
      </c>
      <c r="Q736" s="10">
        <v>2388.98</v>
      </c>
      <c r="R736" s="10">
        <v>1191.75</v>
      </c>
      <c r="S736" s="8" t="s">
        <v>33</v>
      </c>
      <c r="T736" s="8" t="s">
        <v>34</v>
      </c>
      <c r="U736" s="8">
        <v>3</v>
      </c>
      <c r="V736" s="8" t="s">
        <v>120</v>
      </c>
    </row>
    <row r="737" spans="1:22" x14ac:dyDescent="0.3">
      <c r="A737" s="12" t="s">
        <v>1355</v>
      </c>
      <c r="B737" s="13">
        <v>45666</v>
      </c>
      <c r="C737" s="12" t="s">
        <v>107</v>
      </c>
      <c r="D737" s="12" t="s">
        <v>108</v>
      </c>
      <c r="E737" s="12" t="s">
        <v>39</v>
      </c>
      <c r="F737" s="12" t="s">
        <v>1356</v>
      </c>
      <c r="G737" s="12" t="s">
        <v>27</v>
      </c>
      <c r="H737" s="12" t="s">
        <v>94</v>
      </c>
      <c r="I737" s="12" t="s">
        <v>61</v>
      </c>
      <c r="J737" s="12" t="s">
        <v>43</v>
      </c>
      <c r="K737" s="12" t="s">
        <v>51</v>
      </c>
      <c r="L737" s="12" t="s">
        <v>77</v>
      </c>
      <c r="M737" s="12">
        <v>1</v>
      </c>
      <c r="N737" s="14">
        <v>1469.74</v>
      </c>
      <c r="O737" s="15">
        <v>0</v>
      </c>
      <c r="P737" s="14">
        <v>1469.74</v>
      </c>
      <c r="Q737" s="14">
        <v>689.99</v>
      </c>
      <c r="R737" s="14">
        <v>779.75</v>
      </c>
      <c r="S737" s="12" t="s">
        <v>53</v>
      </c>
      <c r="T737" s="12" t="s">
        <v>119</v>
      </c>
      <c r="U737" s="12">
        <v>5</v>
      </c>
      <c r="V737" s="12" t="s">
        <v>84</v>
      </c>
    </row>
    <row r="738" spans="1:22" x14ac:dyDescent="0.3">
      <c r="A738" s="8" t="s">
        <v>1357</v>
      </c>
      <c r="B738" s="9">
        <v>45737</v>
      </c>
      <c r="C738" s="8" t="s">
        <v>107</v>
      </c>
      <c r="D738" s="8" t="s">
        <v>108</v>
      </c>
      <c r="E738" s="8" t="s">
        <v>39</v>
      </c>
      <c r="F738" s="8" t="s">
        <v>1358</v>
      </c>
      <c r="G738" s="8" t="s">
        <v>41</v>
      </c>
      <c r="H738" s="8" t="s">
        <v>42</v>
      </c>
      <c r="I738" s="8" t="s">
        <v>29</v>
      </c>
      <c r="J738" s="8" t="s">
        <v>89</v>
      </c>
      <c r="K738" s="8" t="s">
        <v>90</v>
      </c>
      <c r="L738" s="8" t="s">
        <v>77</v>
      </c>
      <c r="M738" s="8">
        <v>4</v>
      </c>
      <c r="N738" s="10">
        <v>3339.56</v>
      </c>
      <c r="O738" s="11">
        <v>0.1</v>
      </c>
      <c r="P738" s="10">
        <v>12022.42</v>
      </c>
      <c r="Q738" s="10">
        <v>8774.65</v>
      </c>
      <c r="R738" s="10">
        <v>3247.77</v>
      </c>
      <c r="S738" s="8" t="s">
        <v>46</v>
      </c>
      <c r="T738" s="8" t="s">
        <v>156</v>
      </c>
      <c r="U738" s="8">
        <v>4</v>
      </c>
      <c r="V738" s="8" t="s">
        <v>55</v>
      </c>
    </row>
    <row r="739" spans="1:22" x14ac:dyDescent="0.3">
      <c r="A739" s="12" t="s">
        <v>1359</v>
      </c>
      <c r="B739" s="13">
        <v>45664</v>
      </c>
      <c r="C739" s="12" t="s">
        <v>131</v>
      </c>
      <c r="D739" s="12" t="s">
        <v>132</v>
      </c>
      <c r="E739" s="12" t="s">
        <v>25</v>
      </c>
      <c r="F739" s="12" t="s">
        <v>1360</v>
      </c>
      <c r="G739" s="12" t="s">
        <v>41</v>
      </c>
      <c r="H739" s="12" t="s">
        <v>42</v>
      </c>
      <c r="I739" s="12" t="s">
        <v>68</v>
      </c>
      <c r="J739" s="12" t="s">
        <v>75</v>
      </c>
      <c r="K739" s="12" t="s">
        <v>76</v>
      </c>
      <c r="L739" s="12" t="s">
        <v>103</v>
      </c>
      <c r="M739" s="12">
        <v>3</v>
      </c>
      <c r="N739" s="14">
        <v>798.59</v>
      </c>
      <c r="O739" s="15">
        <v>0.2</v>
      </c>
      <c r="P739" s="14">
        <v>1916.62</v>
      </c>
      <c r="Q739" s="14">
        <v>1064.3</v>
      </c>
      <c r="R739" s="14">
        <v>852.32</v>
      </c>
      <c r="S739" s="12" t="s">
        <v>46</v>
      </c>
      <c r="T739" s="12" t="s">
        <v>34</v>
      </c>
      <c r="U739" s="12">
        <v>4</v>
      </c>
      <c r="V739" s="12" t="s">
        <v>84</v>
      </c>
    </row>
    <row r="740" spans="1:22" x14ac:dyDescent="0.3">
      <c r="A740" s="8" t="s">
        <v>1361</v>
      </c>
      <c r="B740" s="9">
        <v>45681</v>
      </c>
      <c r="C740" s="8" t="s">
        <v>125</v>
      </c>
      <c r="D740" s="8" t="s">
        <v>126</v>
      </c>
      <c r="E740" s="8" t="s">
        <v>25</v>
      </c>
      <c r="F740" s="8" t="s">
        <v>1080</v>
      </c>
      <c r="G740" s="8" t="s">
        <v>27</v>
      </c>
      <c r="H740" s="8" t="s">
        <v>94</v>
      </c>
      <c r="I740" s="8" t="s">
        <v>61</v>
      </c>
      <c r="J740" s="8" t="s">
        <v>89</v>
      </c>
      <c r="K740" s="8" t="s">
        <v>90</v>
      </c>
      <c r="L740" s="8" t="s">
        <v>91</v>
      </c>
      <c r="M740" s="8">
        <v>1</v>
      </c>
      <c r="N740" s="10">
        <v>3411.78</v>
      </c>
      <c r="O740" s="11">
        <v>0.15</v>
      </c>
      <c r="P740" s="10">
        <v>2900.01</v>
      </c>
      <c r="Q740" s="10">
        <v>2176.71</v>
      </c>
      <c r="R740" s="10">
        <v>723.3</v>
      </c>
      <c r="S740" s="8" t="s">
        <v>46</v>
      </c>
      <c r="T740" s="8" t="s">
        <v>34</v>
      </c>
      <c r="U740" s="8">
        <v>5</v>
      </c>
      <c r="V740" s="8" t="s">
        <v>84</v>
      </c>
    </row>
    <row r="741" spans="1:22" x14ac:dyDescent="0.3">
      <c r="A741" s="12" t="s">
        <v>1362</v>
      </c>
      <c r="B741" s="13">
        <v>45944</v>
      </c>
      <c r="C741" s="12" t="s">
        <v>86</v>
      </c>
      <c r="D741" s="12" t="s">
        <v>87</v>
      </c>
      <c r="E741" s="12" t="s">
        <v>59</v>
      </c>
      <c r="F741" s="12" t="s">
        <v>1363</v>
      </c>
      <c r="G741" s="12" t="s">
        <v>41</v>
      </c>
      <c r="H741" s="12" t="s">
        <v>94</v>
      </c>
      <c r="I741" s="12" t="s">
        <v>68</v>
      </c>
      <c r="J741" s="12" t="s">
        <v>30</v>
      </c>
      <c r="K741" s="12" t="s">
        <v>144</v>
      </c>
      <c r="L741" s="12" t="s">
        <v>77</v>
      </c>
      <c r="M741" s="12">
        <v>2</v>
      </c>
      <c r="N741" s="14">
        <v>2577.2399999999998</v>
      </c>
      <c r="O741" s="15">
        <v>0</v>
      </c>
      <c r="P741" s="14">
        <v>5154.4799999999996</v>
      </c>
      <c r="Q741" s="14">
        <v>3126.78</v>
      </c>
      <c r="R741" s="14">
        <v>2027.7</v>
      </c>
      <c r="S741" s="12" t="s">
        <v>46</v>
      </c>
      <c r="T741" s="12" t="s">
        <v>54</v>
      </c>
      <c r="U741" s="12">
        <v>4</v>
      </c>
      <c r="V741" s="12" t="s">
        <v>123</v>
      </c>
    </row>
    <row r="742" spans="1:22" x14ac:dyDescent="0.3">
      <c r="A742" s="8" t="s">
        <v>1364</v>
      </c>
      <c r="B742" s="9">
        <v>45900</v>
      </c>
      <c r="C742" s="8" t="s">
        <v>57</v>
      </c>
      <c r="D742" s="8" t="s">
        <v>58</v>
      </c>
      <c r="E742" s="8" t="s">
        <v>59</v>
      </c>
      <c r="F742" s="8" t="s">
        <v>1365</v>
      </c>
      <c r="G742" s="8" t="s">
        <v>27</v>
      </c>
      <c r="H742" s="8" t="s">
        <v>28</v>
      </c>
      <c r="I742" s="8" t="s">
        <v>68</v>
      </c>
      <c r="J742" s="8" t="s">
        <v>75</v>
      </c>
      <c r="K742" s="8" t="s">
        <v>154</v>
      </c>
      <c r="L742" s="8" t="s">
        <v>77</v>
      </c>
      <c r="M742" s="8">
        <v>2</v>
      </c>
      <c r="N742" s="10">
        <v>1920.01</v>
      </c>
      <c r="O742" s="11">
        <v>0.2</v>
      </c>
      <c r="P742" s="10">
        <v>3072.02</v>
      </c>
      <c r="Q742" s="10">
        <v>2214.39</v>
      </c>
      <c r="R742" s="10">
        <v>857.63</v>
      </c>
      <c r="S742" s="8" t="s">
        <v>83</v>
      </c>
      <c r="T742" s="8" t="s">
        <v>54</v>
      </c>
      <c r="U742" s="8">
        <v>4</v>
      </c>
      <c r="V742" s="8" t="s">
        <v>72</v>
      </c>
    </row>
    <row r="743" spans="1:22" x14ac:dyDescent="0.3">
      <c r="A743" s="12" t="s">
        <v>1366</v>
      </c>
      <c r="B743" s="13">
        <v>45982</v>
      </c>
      <c r="C743" s="12" t="s">
        <v>98</v>
      </c>
      <c r="D743" s="12" t="s">
        <v>99</v>
      </c>
      <c r="E743" s="12" t="s">
        <v>25</v>
      </c>
      <c r="F743" s="12" t="s">
        <v>1367</v>
      </c>
      <c r="G743" s="12" t="s">
        <v>41</v>
      </c>
      <c r="H743" s="12" t="s">
        <v>94</v>
      </c>
      <c r="I743" s="12" t="s">
        <v>29</v>
      </c>
      <c r="J743" s="12" t="s">
        <v>30</v>
      </c>
      <c r="K743" s="12" t="s">
        <v>62</v>
      </c>
      <c r="L743" s="12" t="s">
        <v>103</v>
      </c>
      <c r="M743" s="12">
        <v>3</v>
      </c>
      <c r="N743" s="14">
        <v>1013.53</v>
      </c>
      <c r="O743" s="15">
        <v>0.1</v>
      </c>
      <c r="P743" s="14">
        <v>2736.53</v>
      </c>
      <c r="Q743" s="14">
        <v>1396.58</v>
      </c>
      <c r="R743" s="14">
        <v>1339.95</v>
      </c>
      <c r="S743" s="12" t="s">
        <v>46</v>
      </c>
      <c r="T743" s="12" t="s">
        <v>119</v>
      </c>
      <c r="U743" s="12">
        <v>3</v>
      </c>
      <c r="V743" s="12" t="s">
        <v>65</v>
      </c>
    </row>
    <row r="744" spans="1:22" x14ac:dyDescent="0.3">
      <c r="A744" s="8" t="s">
        <v>1368</v>
      </c>
      <c r="B744" s="9">
        <v>45783</v>
      </c>
      <c r="C744" s="8" t="s">
        <v>23</v>
      </c>
      <c r="D744" s="8" t="s">
        <v>24</v>
      </c>
      <c r="E744" s="8" t="s">
        <v>25</v>
      </c>
      <c r="F744" s="8" t="s">
        <v>1369</v>
      </c>
      <c r="G744" s="8" t="s">
        <v>41</v>
      </c>
      <c r="H744" s="8" t="s">
        <v>28</v>
      </c>
      <c r="I744" s="8" t="s">
        <v>61</v>
      </c>
      <c r="J744" s="8" t="s">
        <v>75</v>
      </c>
      <c r="K744" s="8" t="s">
        <v>76</v>
      </c>
      <c r="L744" s="8" t="s">
        <v>45</v>
      </c>
      <c r="M744" s="8">
        <v>5</v>
      </c>
      <c r="N744" s="10">
        <v>823.89</v>
      </c>
      <c r="O744" s="11">
        <v>0.1</v>
      </c>
      <c r="P744" s="10">
        <v>3707.51</v>
      </c>
      <c r="Q744" s="10">
        <v>1816.03</v>
      </c>
      <c r="R744" s="10">
        <v>1891.48</v>
      </c>
      <c r="S744" s="8" t="s">
        <v>46</v>
      </c>
      <c r="T744" s="8" t="s">
        <v>34</v>
      </c>
      <c r="U744" s="8">
        <v>3</v>
      </c>
      <c r="V744" s="8" t="s">
        <v>134</v>
      </c>
    </row>
    <row r="745" spans="1:22" x14ac:dyDescent="0.3">
      <c r="A745" s="12" t="s">
        <v>1370</v>
      </c>
      <c r="B745" s="13">
        <v>45797</v>
      </c>
      <c r="C745" s="12" t="s">
        <v>23</v>
      </c>
      <c r="D745" s="12" t="s">
        <v>24</v>
      </c>
      <c r="E745" s="12" t="s">
        <v>25</v>
      </c>
      <c r="F745" s="12" t="s">
        <v>563</v>
      </c>
      <c r="G745" s="12" t="s">
        <v>27</v>
      </c>
      <c r="H745" s="12" t="s">
        <v>28</v>
      </c>
      <c r="I745" s="12" t="s">
        <v>61</v>
      </c>
      <c r="J745" s="12" t="s">
        <v>75</v>
      </c>
      <c r="K745" s="12" t="s">
        <v>76</v>
      </c>
      <c r="L745" s="12" t="s">
        <v>45</v>
      </c>
      <c r="M745" s="12">
        <v>3</v>
      </c>
      <c r="N745" s="14">
        <v>804.87</v>
      </c>
      <c r="O745" s="15">
        <v>0.15</v>
      </c>
      <c r="P745" s="14">
        <v>2052.42</v>
      </c>
      <c r="Q745" s="14">
        <v>1020.73</v>
      </c>
      <c r="R745" s="14">
        <v>1031.69</v>
      </c>
      <c r="S745" s="12" t="s">
        <v>33</v>
      </c>
      <c r="T745" s="12" t="s">
        <v>119</v>
      </c>
      <c r="U745" s="12">
        <v>4</v>
      </c>
      <c r="V745" s="12" t="s">
        <v>134</v>
      </c>
    </row>
    <row r="746" spans="1:22" x14ac:dyDescent="0.3">
      <c r="A746" s="8" t="s">
        <v>1371</v>
      </c>
      <c r="B746" s="9">
        <v>45891</v>
      </c>
      <c r="C746" s="8" t="s">
        <v>125</v>
      </c>
      <c r="D746" s="8" t="s">
        <v>126</v>
      </c>
      <c r="E746" s="8" t="s">
        <v>25</v>
      </c>
      <c r="F746" s="8" t="s">
        <v>1372</v>
      </c>
      <c r="G746" s="8" t="s">
        <v>27</v>
      </c>
      <c r="H746" s="8" t="s">
        <v>81</v>
      </c>
      <c r="I746" s="8" t="s">
        <v>68</v>
      </c>
      <c r="J746" s="8" t="s">
        <v>43</v>
      </c>
      <c r="K746" s="8" t="s">
        <v>44</v>
      </c>
      <c r="L746" s="8" t="s">
        <v>82</v>
      </c>
      <c r="M746" s="8">
        <v>3</v>
      </c>
      <c r="N746" s="10">
        <v>570.85</v>
      </c>
      <c r="O746" s="11">
        <v>0.15</v>
      </c>
      <c r="P746" s="10">
        <v>1455.67</v>
      </c>
      <c r="Q746" s="10">
        <v>760.19</v>
      </c>
      <c r="R746" s="10">
        <v>695.48</v>
      </c>
      <c r="S746" s="8" t="s">
        <v>33</v>
      </c>
      <c r="T746" s="8" t="s">
        <v>156</v>
      </c>
      <c r="U746" s="8">
        <v>4</v>
      </c>
      <c r="V746" s="8" t="s">
        <v>72</v>
      </c>
    </row>
    <row r="747" spans="1:22" x14ac:dyDescent="0.3">
      <c r="A747" s="12" t="s">
        <v>1373</v>
      </c>
      <c r="B747" s="13">
        <v>45698</v>
      </c>
      <c r="C747" s="12" t="s">
        <v>48</v>
      </c>
      <c r="D747" s="12" t="s">
        <v>49</v>
      </c>
      <c r="E747" s="12" t="s">
        <v>39</v>
      </c>
      <c r="F747" s="12" t="s">
        <v>1374</v>
      </c>
      <c r="G747" s="12" t="s">
        <v>41</v>
      </c>
      <c r="H747" s="12" t="s">
        <v>81</v>
      </c>
      <c r="I747" s="12" t="s">
        <v>29</v>
      </c>
      <c r="J747" s="12" t="s">
        <v>101</v>
      </c>
      <c r="K747" s="12" t="s">
        <v>110</v>
      </c>
      <c r="L747" s="12" t="s">
        <v>175</v>
      </c>
      <c r="M747" s="12">
        <v>3</v>
      </c>
      <c r="N747" s="14">
        <v>4760.93</v>
      </c>
      <c r="O747" s="15">
        <v>0.2</v>
      </c>
      <c r="P747" s="14">
        <v>11426.23</v>
      </c>
      <c r="Q747" s="14">
        <v>9498.92</v>
      </c>
      <c r="R747" s="14">
        <v>1927.31</v>
      </c>
      <c r="S747" s="12" t="s">
        <v>33</v>
      </c>
      <c r="T747" s="12" t="s">
        <v>34</v>
      </c>
      <c r="U747" s="12">
        <v>5</v>
      </c>
      <c r="V747" s="12" t="s">
        <v>105</v>
      </c>
    </row>
    <row r="748" spans="1:22" x14ac:dyDescent="0.3">
      <c r="A748" s="8" t="s">
        <v>1375</v>
      </c>
      <c r="B748" s="9">
        <v>45858</v>
      </c>
      <c r="C748" s="8" t="s">
        <v>37</v>
      </c>
      <c r="D748" s="8" t="s">
        <v>38</v>
      </c>
      <c r="E748" s="8" t="s">
        <v>39</v>
      </c>
      <c r="F748" s="8" t="s">
        <v>495</v>
      </c>
      <c r="G748" s="8" t="s">
        <v>41</v>
      </c>
      <c r="H748" s="8" t="s">
        <v>42</v>
      </c>
      <c r="I748" s="8" t="s">
        <v>29</v>
      </c>
      <c r="J748" s="8" t="s">
        <v>75</v>
      </c>
      <c r="K748" s="8" t="s">
        <v>154</v>
      </c>
      <c r="L748" s="8" t="s">
        <v>45</v>
      </c>
      <c r="M748" s="8">
        <v>5</v>
      </c>
      <c r="N748" s="10">
        <v>1953.47</v>
      </c>
      <c r="O748" s="11">
        <v>0.25</v>
      </c>
      <c r="P748" s="10">
        <v>7325.51</v>
      </c>
      <c r="Q748" s="10">
        <v>5616.86</v>
      </c>
      <c r="R748" s="10">
        <v>1708.65</v>
      </c>
      <c r="S748" s="8" t="s">
        <v>83</v>
      </c>
      <c r="T748" s="8" t="s">
        <v>156</v>
      </c>
      <c r="U748" s="8">
        <v>3</v>
      </c>
      <c r="V748" s="8" t="s">
        <v>120</v>
      </c>
    </row>
    <row r="749" spans="1:22" x14ac:dyDescent="0.3">
      <c r="A749" s="12" t="s">
        <v>1376</v>
      </c>
      <c r="B749" s="13">
        <v>45923</v>
      </c>
      <c r="C749" s="12" t="s">
        <v>131</v>
      </c>
      <c r="D749" s="12" t="s">
        <v>132</v>
      </c>
      <c r="E749" s="12" t="s">
        <v>25</v>
      </c>
      <c r="F749" s="12" t="s">
        <v>1252</v>
      </c>
      <c r="G749" s="12" t="s">
        <v>27</v>
      </c>
      <c r="H749" s="12" t="s">
        <v>81</v>
      </c>
      <c r="I749" s="12" t="s">
        <v>68</v>
      </c>
      <c r="J749" s="12" t="s">
        <v>43</v>
      </c>
      <c r="K749" s="12" t="s">
        <v>44</v>
      </c>
      <c r="L749" s="12" t="s">
        <v>45</v>
      </c>
      <c r="M749" s="12">
        <v>3</v>
      </c>
      <c r="N749" s="14">
        <v>613</v>
      </c>
      <c r="O749" s="15">
        <v>0.15</v>
      </c>
      <c r="P749" s="14">
        <v>1563.15</v>
      </c>
      <c r="Q749" s="14">
        <v>807.27</v>
      </c>
      <c r="R749" s="14">
        <v>755.88</v>
      </c>
      <c r="S749" s="12" t="s">
        <v>83</v>
      </c>
      <c r="T749" s="12" t="s">
        <v>111</v>
      </c>
      <c r="U749" s="12">
        <v>4</v>
      </c>
      <c r="V749" s="12" t="s">
        <v>116</v>
      </c>
    </row>
    <row r="750" spans="1:22" x14ac:dyDescent="0.3">
      <c r="A750" s="8" t="s">
        <v>1377</v>
      </c>
      <c r="B750" s="9">
        <v>45915</v>
      </c>
      <c r="C750" s="8" t="s">
        <v>37</v>
      </c>
      <c r="D750" s="8" t="s">
        <v>38</v>
      </c>
      <c r="E750" s="8" t="s">
        <v>39</v>
      </c>
      <c r="F750" s="8" t="s">
        <v>277</v>
      </c>
      <c r="G750" s="8" t="s">
        <v>27</v>
      </c>
      <c r="H750" s="8" t="s">
        <v>28</v>
      </c>
      <c r="I750" s="8" t="s">
        <v>29</v>
      </c>
      <c r="J750" s="8" t="s">
        <v>89</v>
      </c>
      <c r="K750" s="8" t="s">
        <v>151</v>
      </c>
      <c r="L750" s="8" t="s">
        <v>91</v>
      </c>
      <c r="M750" s="8">
        <v>3</v>
      </c>
      <c r="N750" s="10">
        <v>1016.19</v>
      </c>
      <c r="O750" s="11">
        <v>0.25</v>
      </c>
      <c r="P750" s="10">
        <v>2286.4299999999998</v>
      </c>
      <c r="Q750" s="10">
        <v>1543.48</v>
      </c>
      <c r="R750" s="10">
        <v>742.95</v>
      </c>
      <c r="S750" s="8" t="s">
        <v>33</v>
      </c>
      <c r="T750" s="8" t="s">
        <v>64</v>
      </c>
      <c r="U750" s="8">
        <v>3</v>
      </c>
      <c r="V750" s="8" t="s">
        <v>116</v>
      </c>
    </row>
    <row r="751" spans="1:22" x14ac:dyDescent="0.3">
      <c r="A751" s="12" t="s">
        <v>1378</v>
      </c>
      <c r="B751" s="13">
        <v>46016</v>
      </c>
      <c r="C751" s="12" t="s">
        <v>131</v>
      </c>
      <c r="D751" s="12" t="s">
        <v>132</v>
      </c>
      <c r="E751" s="12" t="s">
        <v>25</v>
      </c>
      <c r="F751" s="12" t="s">
        <v>1200</v>
      </c>
      <c r="G751" s="12" t="s">
        <v>41</v>
      </c>
      <c r="H751" s="12" t="s">
        <v>81</v>
      </c>
      <c r="I751" s="12" t="s">
        <v>68</v>
      </c>
      <c r="J751" s="12" t="s">
        <v>75</v>
      </c>
      <c r="K751" s="12" t="s">
        <v>76</v>
      </c>
      <c r="L751" s="12" t="s">
        <v>82</v>
      </c>
      <c r="M751" s="12">
        <v>3</v>
      </c>
      <c r="N751" s="14">
        <v>782.2</v>
      </c>
      <c r="O751" s="15">
        <v>0.1</v>
      </c>
      <c r="P751" s="14">
        <v>2111.94</v>
      </c>
      <c r="Q751" s="14">
        <v>1085.26</v>
      </c>
      <c r="R751" s="14">
        <v>1026.68</v>
      </c>
      <c r="S751" s="12" t="s">
        <v>53</v>
      </c>
      <c r="T751" s="12" t="s">
        <v>78</v>
      </c>
      <c r="U751" s="12">
        <v>3</v>
      </c>
      <c r="V751" s="12" t="s">
        <v>35</v>
      </c>
    </row>
    <row r="752" spans="1:22" x14ac:dyDescent="0.3">
      <c r="A752" s="8" t="s">
        <v>1379</v>
      </c>
      <c r="B752" s="9">
        <v>45716</v>
      </c>
      <c r="C752" s="8" t="s">
        <v>98</v>
      </c>
      <c r="D752" s="8" t="s">
        <v>99</v>
      </c>
      <c r="E752" s="8" t="s">
        <v>25</v>
      </c>
      <c r="F752" s="8" t="s">
        <v>849</v>
      </c>
      <c r="G752" s="8" t="s">
        <v>41</v>
      </c>
      <c r="H752" s="8" t="s">
        <v>28</v>
      </c>
      <c r="I752" s="8" t="s">
        <v>68</v>
      </c>
      <c r="J752" s="8" t="s">
        <v>75</v>
      </c>
      <c r="K752" s="8" t="s">
        <v>95</v>
      </c>
      <c r="L752" s="8" t="s">
        <v>52</v>
      </c>
      <c r="M752" s="8">
        <v>2</v>
      </c>
      <c r="N752" s="10">
        <v>24647.279999999999</v>
      </c>
      <c r="O752" s="11">
        <v>0.25</v>
      </c>
      <c r="P752" s="10">
        <v>36970.92</v>
      </c>
      <c r="Q752" s="10">
        <v>35782</v>
      </c>
      <c r="R752" s="10">
        <v>1188.92</v>
      </c>
      <c r="S752" s="8" t="s">
        <v>63</v>
      </c>
      <c r="T752" s="8" t="s">
        <v>147</v>
      </c>
      <c r="U752" s="8">
        <v>5</v>
      </c>
      <c r="V752" s="8" t="s">
        <v>105</v>
      </c>
    </row>
    <row r="753" spans="1:22" x14ac:dyDescent="0.3">
      <c r="A753" s="12" t="s">
        <v>1380</v>
      </c>
      <c r="B753" s="13">
        <v>45865</v>
      </c>
      <c r="C753" s="12" t="s">
        <v>125</v>
      </c>
      <c r="D753" s="12" t="s">
        <v>126</v>
      </c>
      <c r="E753" s="12" t="s">
        <v>25</v>
      </c>
      <c r="F753" s="12" t="s">
        <v>1381</v>
      </c>
      <c r="G753" s="12" t="s">
        <v>41</v>
      </c>
      <c r="H753" s="12" t="s">
        <v>42</v>
      </c>
      <c r="I753" s="12" t="s">
        <v>61</v>
      </c>
      <c r="J753" s="12" t="s">
        <v>43</v>
      </c>
      <c r="K753" s="12" t="s">
        <v>51</v>
      </c>
      <c r="L753" s="12" t="s">
        <v>52</v>
      </c>
      <c r="M753" s="12">
        <v>4</v>
      </c>
      <c r="N753" s="14">
        <v>1514.01</v>
      </c>
      <c r="O753" s="15">
        <v>0.25</v>
      </c>
      <c r="P753" s="14">
        <v>4542.03</v>
      </c>
      <c r="Q753" s="14">
        <v>2836.55</v>
      </c>
      <c r="R753" s="14">
        <v>1705.48</v>
      </c>
      <c r="S753" s="12" t="s">
        <v>63</v>
      </c>
      <c r="T753" s="12" t="s">
        <v>104</v>
      </c>
      <c r="U753" s="12">
        <v>4</v>
      </c>
      <c r="V753" s="12" t="s">
        <v>120</v>
      </c>
    </row>
    <row r="754" spans="1:22" x14ac:dyDescent="0.3">
      <c r="A754" s="8" t="s">
        <v>1382</v>
      </c>
      <c r="B754" s="9">
        <v>45715</v>
      </c>
      <c r="C754" s="8" t="s">
        <v>98</v>
      </c>
      <c r="D754" s="8" t="s">
        <v>99</v>
      </c>
      <c r="E754" s="8" t="s">
        <v>25</v>
      </c>
      <c r="F754" s="8" t="s">
        <v>1092</v>
      </c>
      <c r="G754" s="8" t="s">
        <v>27</v>
      </c>
      <c r="H754" s="8" t="s">
        <v>81</v>
      </c>
      <c r="I754" s="8" t="s">
        <v>29</v>
      </c>
      <c r="J754" s="8" t="s">
        <v>89</v>
      </c>
      <c r="K754" s="8" t="s">
        <v>90</v>
      </c>
      <c r="L754" s="8" t="s">
        <v>103</v>
      </c>
      <c r="M754" s="8">
        <v>2</v>
      </c>
      <c r="N754" s="10">
        <v>3402.18</v>
      </c>
      <c r="O754" s="11">
        <v>0</v>
      </c>
      <c r="P754" s="10">
        <v>6804.36</v>
      </c>
      <c r="Q754" s="10">
        <v>4127.25</v>
      </c>
      <c r="R754" s="10">
        <v>2677.11</v>
      </c>
      <c r="S754" s="8" t="s">
        <v>53</v>
      </c>
      <c r="T754" s="8" t="s">
        <v>54</v>
      </c>
      <c r="U754" s="8">
        <v>4</v>
      </c>
      <c r="V754" s="8" t="s">
        <v>105</v>
      </c>
    </row>
    <row r="755" spans="1:22" x14ac:dyDescent="0.3">
      <c r="A755" s="12" t="s">
        <v>1383</v>
      </c>
      <c r="B755" s="13">
        <v>45944</v>
      </c>
      <c r="C755" s="12" t="s">
        <v>57</v>
      </c>
      <c r="D755" s="12" t="s">
        <v>58</v>
      </c>
      <c r="E755" s="12" t="s">
        <v>59</v>
      </c>
      <c r="F755" s="12" t="s">
        <v>275</v>
      </c>
      <c r="G755" s="12" t="s">
        <v>27</v>
      </c>
      <c r="H755" s="12" t="s">
        <v>42</v>
      </c>
      <c r="I755" s="12" t="s">
        <v>68</v>
      </c>
      <c r="J755" s="12" t="s">
        <v>69</v>
      </c>
      <c r="K755" s="12" t="s">
        <v>70</v>
      </c>
      <c r="L755" s="12" t="s">
        <v>77</v>
      </c>
      <c r="M755" s="12">
        <v>1</v>
      </c>
      <c r="N755" s="14">
        <v>907.21</v>
      </c>
      <c r="O755" s="15">
        <v>0.15</v>
      </c>
      <c r="P755" s="14">
        <v>771.13</v>
      </c>
      <c r="Q755" s="14">
        <v>449.77</v>
      </c>
      <c r="R755" s="14">
        <v>321.36</v>
      </c>
      <c r="S755" s="12" t="s">
        <v>63</v>
      </c>
      <c r="T755" s="12" t="s">
        <v>64</v>
      </c>
      <c r="U755" s="12">
        <v>3</v>
      </c>
      <c r="V755" s="12" t="s">
        <v>123</v>
      </c>
    </row>
    <row r="756" spans="1:22" x14ac:dyDescent="0.3">
      <c r="A756" s="8" t="s">
        <v>1384</v>
      </c>
      <c r="B756" s="9">
        <v>45983</v>
      </c>
      <c r="C756" s="8" t="s">
        <v>48</v>
      </c>
      <c r="D756" s="8" t="s">
        <v>49</v>
      </c>
      <c r="E756" s="8" t="s">
        <v>39</v>
      </c>
      <c r="F756" s="8" t="s">
        <v>1385</v>
      </c>
      <c r="G756" s="8" t="s">
        <v>41</v>
      </c>
      <c r="H756" s="8" t="s">
        <v>28</v>
      </c>
      <c r="I756" s="8" t="s">
        <v>61</v>
      </c>
      <c r="J756" s="8" t="s">
        <v>75</v>
      </c>
      <c r="K756" s="8" t="s">
        <v>154</v>
      </c>
      <c r="L756" s="8" t="s">
        <v>103</v>
      </c>
      <c r="M756" s="8">
        <v>5</v>
      </c>
      <c r="N756" s="10">
        <v>2095.4299999999998</v>
      </c>
      <c r="O756" s="11">
        <v>0.25</v>
      </c>
      <c r="P756" s="10">
        <v>7857.86</v>
      </c>
      <c r="Q756" s="10">
        <v>5513.72</v>
      </c>
      <c r="R756" s="10">
        <v>2344.14</v>
      </c>
      <c r="S756" s="8" t="s">
        <v>63</v>
      </c>
      <c r="T756" s="8" t="s">
        <v>54</v>
      </c>
      <c r="U756" s="8">
        <v>5</v>
      </c>
      <c r="V756" s="8" t="s">
        <v>65</v>
      </c>
    </row>
    <row r="757" spans="1:22" x14ac:dyDescent="0.3">
      <c r="A757" s="12" t="s">
        <v>1386</v>
      </c>
      <c r="B757" s="13">
        <v>45873</v>
      </c>
      <c r="C757" s="12" t="s">
        <v>86</v>
      </c>
      <c r="D757" s="12" t="s">
        <v>87</v>
      </c>
      <c r="E757" s="12" t="s">
        <v>59</v>
      </c>
      <c r="F757" s="12" t="s">
        <v>699</v>
      </c>
      <c r="G757" s="12" t="s">
        <v>27</v>
      </c>
      <c r="H757" s="12" t="s">
        <v>81</v>
      </c>
      <c r="I757" s="12" t="s">
        <v>29</v>
      </c>
      <c r="J757" s="12" t="s">
        <v>75</v>
      </c>
      <c r="K757" s="12" t="s">
        <v>154</v>
      </c>
      <c r="L757" s="12" t="s">
        <v>52</v>
      </c>
      <c r="M757" s="12">
        <v>5</v>
      </c>
      <c r="N757" s="14">
        <v>1906.95</v>
      </c>
      <c r="O757" s="15">
        <v>0.25</v>
      </c>
      <c r="P757" s="14">
        <v>7151.06</v>
      </c>
      <c r="Q757" s="14">
        <v>5253.68</v>
      </c>
      <c r="R757" s="14">
        <v>1897.38</v>
      </c>
      <c r="S757" s="12" t="s">
        <v>46</v>
      </c>
      <c r="T757" s="12" t="s">
        <v>54</v>
      </c>
      <c r="U757" s="12">
        <v>4</v>
      </c>
      <c r="V757" s="12" t="s">
        <v>72</v>
      </c>
    </row>
    <row r="758" spans="1:22" x14ac:dyDescent="0.3">
      <c r="A758" s="8" t="s">
        <v>1387</v>
      </c>
      <c r="B758" s="9">
        <v>45710</v>
      </c>
      <c r="C758" s="8" t="s">
        <v>48</v>
      </c>
      <c r="D758" s="8" t="s">
        <v>49</v>
      </c>
      <c r="E758" s="8" t="s">
        <v>39</v>
      </c>
      <c r="F758" s="8" t="s">
        <v>706</v>
      </c>
      <c r="G758" s="8" t="s">
        <v>41</v>
      </c>
      <c r="H758" s="8" t="s">
        <v>42</v>
      </c>
      <c r="I758" s="8" t="s">
        <v>29</v>
      </c>
      <c r="J758" s="8" t="s">
        <v>101</v>
      </c>
      <c r="K758" s="8" t="s">
        <v>217</v>
      </c>
      <c r="L758" s="8" t="s">
        <v>52</v>
      </c>
      <c r="M758" s="8">
        <v>1</v>
      </c>
      <c r="N758" s="10">
        <v>2937.06</v>
      </c>
      <c r="O758" s="11">
        <v>0.2</v>
      </c>
      <c r="P758" s="10">
        <v>2349.65</v>
      </c>
      <c r="Q758" s="10">
        <v>1752.8</v>
      </c>
      <c r="R758" s="10">
        <v>596.85</v>
      </c>
      <c r="S758" s="8" t="s">
        <v>53</v>
      </c>
      <c r="T758" s="8" t="s">
        <v>34</v>
      </c>
      <c r="U758" s="8">
        <v>5</v>
      </c>
      <c r="V758" s="8" t="s">
        <v>105</v>
      </c>
    </row>
    <row r="759" spans="1:22" x14ac:dyDescent="0.3">
      <c r="A759" s="12" t="s">
        <v>1388</v>
      </c>
      <c r="B759" s="13">
        <v>45712</v>
      </c>
      <c r="C759" s="12" t="s">
        <v>113</v>
      </c>
      <c r="D759" s="12" t="s">
        <v>114</v>
      </c>
      <c r="E759" s="12" t="s">
        <v>59</v>
      </c>
      <c r="F759" s="12" t="s">
        <v>172</v>
      </c>
      <c r="G759" s="12" t="s">
        <v>41</v>
      </c>
      <c r="H759" s="12" t="s">
        <v>81</v>
      </c>
      <c r="I759" s="12" t="s">
        <v>29</v>
      </c>
      <c r="J759" s="12" t="s">
        <v>30</v>
      </c>
      <c r="K759" s="12" t="s">
        <v>62</v>
      </c>
      <c r="L759" s="12" t="s">
        <v>32</v>
      </c>
      <c r="M759" s="12">
        <v>3</v>
      </c>
      <c r="N759" s="14">
        <v>1004.92</v>
      </c>
      <c r="O759" s="15">
        <v>0.15</v>
      </c>
      <c r="P759" s="14">
        <v>2562.5500000000002</v>
      </c>
      <c r="Q759" s="14">
        <v>1409.68</v>
      </c>
      <c r="R759" s="14">
        <v>1152.8699999999999</v>
      </c>
      <c r="S759" s="12" t="s">
        <v>83</v>
      </c>
      <c r="T759" s="12" t="s">
        <v>111</v>
      </c>
      <c r="U759" s="12">
        <v>4</v>
      </c>
      <c r="V759" s="12" t="s">
        <v>105</v>
      </c>
    </row>
    <row r="760" spans="1:22" x14ac:dyDescent="0.3">
      <c r="A760" s="8" t="s">
        <v>1389</v>
      </c>
      <c r="B760" s="9">
        <v>45658</v>
      </c>
      <c r="C760" s="8" t="s">
        <v>113</v>
      </c>
      <c r="D760" s="8" t="s">
        <v>114</v>
      </c>
      <c r="E760" s="8" t="s">
        <v>59</v>
      </c>
      <c r="F760" s="8" t="s">
        <v>851</v>
      </c>
      <c r="G760" s="8" t="s">
        <v>41</v>
      </c>
      <c r="H760" s="8" t="s">
        <v>81</v>
      </c>
      <c r="I760" s="8" t="s">
        <v>68</v>
      </c>
      <c r="J760" s="8" t="s">
        <v>30</v>
      </c>
      <c r="K760" s="8" t="s">
        <v>144</v>
      </c>
      <c r="L760" s="8" t="s">
        <v>77</v>
      </c>
      <c r="M760" s="8">
        <v>2</v>
      </c>
      <c r="N760" s="10">
        <v>2425.71</v>
      </c>
      <c r="O760" s="11">
        <v>0</v>
      </c>
      <c r="P760" s="10">
        <v>4851.42</v>
      </c>
      <c r="Q760" s="10">
        <v>3133.29</v>
      </c>
      <c r="R760" s="10">
        <v>1718.13</v>
      </c>
      <c r="S760" s="8" t="s">
        <v>63</v>
      </c>
      <c r="T760" s="8" t="s">
        <v>71</v>
      </c>
      <c r="U760" s="8">
        <v>4</v>
      </c>
      <c r="V760" s="8" t="s">
        <v>84</v>
      </c>
    </row>
    <row r="761" spans="1:22" x14ac:dyDescent="0.3">
      <c r="A761" s="12" t="s">
        <v>1390</v>
      </c>
      <c r="B761" s="13">
        <v>45660</v>
      </c>
      <c r="C761" s="12" t="s">
        <v>86</v>
      </c>
      <c r="D761" s="12" t="s">
        <v>87</v>
      </c>
      <c r="E761" s="12" t="s">
        <v>59</v>
      </c>
      <c r="F761" s="12" t="s">
        <v>1391</v>
      </c>
      <c r="G761" s="12" t="s">
        <v>41</v>
      </c>
      <c r="H761" s="12" t="s">
        <v>28</v>
      </c>
      <c r="I761" s="12" t="s">
        <v>29</v>
      </c>
      <c r="J761" s="12" t="s">
        <v>75</v>
      </c>
      <c r="K761" s="12" t="s">
        <v>154</v>
      </c>
      <c r="L761" s="12" t="s">
        <v>32</v>
      </c>
      <c r="M761" s="12">
        <v>2</v>
      </c>
      <c r="N761" s="14">
        <v>1966.53</v>
      </c>
      <c r="O761" s="15">
        <v>0.25</v>
      </c>
      <c r="P761" s="14">
        <v>2949.8</v>
      </c>
      <c r="Q761" s="14">
        <v>2129.5300000000002</v>
      </c>
      <c r="R761" s="14">
        <v>820.27</v>
      </c>
      <c r="S761" s="12" t="s">
        <v>46</v>
      </c>
      <c r="T761" s="12" t="s">
        <v>111</v>
      </c>
      <c r="U761" s="12">
        <v>3</v>
      </c>
      <c r="V761" s="12" t="s">
        <v>84</v>
      </c>
    </row>
    <row r="762" spans="1:22" x14ac:dyDescent="0.3">
      <c r="A762" s="8" t="s">
        <v>1392</v>
      </c>
      <c r="B762" s="9">
        <v>45957</v>
      </c>
      <c r="C762" s="8" t="s">
        <v>131</v>
      </c>
      <c r="D762" s="8" t="s">
        <v>132</v>
      </c>
      <c r="E762" s="8" t="s">
        <v>25</v>
      </c>
      <c r="F762" s="8" t="s">
        <v>229</v>
      </c>
      <c r="G762" s="8" t="s">
        <v>27</v>
      </c>
      <c r="H762" s="8" t="s">
        <v>81</v>
      </c>
      <c r="I762" s="8" t="s">
        <v>68</v>
      </c>
      <c r="J762" s="8" t="s">
        <v>69</v>
      </c>
      <c r="K762" s="8" t="s">
        <v>137</v>
      </c>
      <c r="L762" s="8" t="s">
        <v>82</v>
      </c>
      <c r="M762" s="8">
        <v>1</v>
      </c>
      <c r="N762" s="10">
        <v>481.89</v>
      </c>
      <c r="O762" s="11">
        <v>0.25</v>
      </c>
      <c r="P762" s="10">
        <v>361.42</v>
      </c>
      <c r="Q762" s="10">
        <v>217.69</v>
      </c>
      <c r="R762" s="10">
        <v>143.72999999999999</v>
      </c>
      <c r="S762" s="8" t="s">
        <v>83</v>
      </c>
      <c r="T762" s="8" t="s">
        <v>119</v>
      </c>
      <c r="U762" s="8">
        <v>5</v>
      </c>
      <c r="V762" s="8" t="s">
        <v>123</v>
      </c>
    </row>
    <row r="763" spans="1:22" x14ac:dyDescent="0.3">
      <c r="A763" s="12" t="s">
        <v>1393</v>
      </c>
      <c r="B763" s="13">
        <v>45749</v>
      </c>
      <c r="C763" s="12" t="s">
        <v>57</v>
      </c>
      <c r="D763" s="12" t="s">
        <v>58</v>
      </c>
      <c r="E763" s="12" t="s">
        <v>59</v>
      </c>
      <c r="F763" s="12" t="s">
        <v>1394</v>
      </c>
      <c r="G763" s="12" t="s">
        <v>41</v>
      </c>
      <c r="H763" s="12" t="s">
        <v>81</v>
      </c>
      <c r="I763" s="12" t="s">
        <v>29</v>
      </c>
      <c r="J763" s="12" t="s">
        <v>30</v>
      </c>
      <c r="K763" s="12" t="s">
        <v>144</v>
      </c>
      <c r="L763" s="12" t="s">
        <v>103</v>
      </c>
      <c r="M763" s="12">
        <v>3</v>
      </c>
      <c r="N763" s="14">
        <v>2488.5300000000002</v>
      </c>
      <c r="O763" s="15">
        <v>0.05</v>
      </c>
      <c r="P763" s="14">
        <v>7092.31</v>
      </c>
      <c r="Q763" s="14">
        <v>4583.22</v>
      </c>
      <c r="R763" s="14">
        <v>2509.09</v>
      </c>
      <c r="S763" s="12" t="s">
        <v>53</v>
      </c>
      <c r="T763" s="12" t="s">
        <v>119</v>
      </c>
      <c r="U763" s="12">
        <v>4</v>
      </c>
      <c r="V763" s="12" t="s">
        <v>96</v>
      </c>
    </row>
    <row r="764" spans="1:22" x14ac:dyDescent="0.3">
      <c r="A764" s="8" t="s">
        <v>1395</v>
      </c>
      <c r="B764" s="9">
        <v>45787</v>
      </c>
      <c r="C764" s="8" t="s">
        <v>125</v>
      </c>
      <c r="D764" s="8" t="s">
        <v>126</v>
      </c>
      <c r="E764" s="8" t="s">
        <v>25</v>
      </c>
      <c r="F764" s="8" t="s">
        <v>281</v>
      </c>
      <c r="G764" s="8" t="s">
        <v>41</v>
      </c>
      <c r="H764" s="8" t="s">
        <v>42</v>
      </c>
      <c r="I764" s="8" t="s">
        <v>29</v>
      </c>
      <c r="J764" s="8" t="s">
        <v>30</v>
      </c>
      <c r="K764" s="8" t="s">
        <v>144</v>
      </c>
      <c r="L764" s="8" t="s">
        <v>82</v>
      </c>
      <c r="M764" s="8">
        <v>3</v>
      </c>
      <c r="N764" s="10">
        <v>2592.2800000000002</v>
      </c>
      <c r="O764" s="11">
        <v>0.15</v>
      </c>
      <c r="P764" s="10">
        <v>6610.31</v>
      </c>
      <c r="Q764" s="10">
        <v>4531.63</v>
      </c>
      <c r="R764" s="10">
        <v>2078.6799999999998</v>
      </c>
      <c r="S764" s="8" t="s">
        <v>63</v>
      </c>
      <c r="T764" s="8" t="s">
        <v>104</v>
      </c>
      <c r="U764" s="8">
        <v>5</v>
      </c>
      <c r="V764" s="8" t="s">
        <v>134</v>
      </c>
    </row>
    <row r="765" spans="1:22" x14ac:dyDescent="0.3">
      <c r="A765" s="12" t="s">
        <v>1396</v>
      </c>
      <c r="B765" s="13">
        <v>45736</v>
      </c>
      <c r="C765" s="12" t="s">
        <v>57</v>
      </c>
      <c r="D765" s="12" t="s">
        <v>58</v>
      </c>
      <c r="E765" s="12" t="s">
        <v>59</v>
      </c>
      <c r="F765" s="12" t="s">
        <v>875</v>
      </c>
      <c r="G765" s="12" t="s">
        <v>27</v>
      </c>
      <c r="H765" s="12" t="s">
        <v>94</v>
      </c>
      <c r="I765" s="12" t="s">
        <v>29</v>
      </c>
      <c r="J765" s="12" t="s">
        <v>30</v>
      </c>
      <c r="K765" s="12" t="s">
        <v>31</v>
      </c>
      <c r="L765" s="12" t="s">
        <v>32</v>
      </c>
      <c r="M765" s="12">
        <v>3</v>
      </c>
      <c r="N765" s="14">
        <v>4155.25</v>
      </c>
      <c r="O765" s="15">
        <v>0.3</v>
      </c>
      <c r="P765" s="14">
        <v>8726.02</v>
      </c>
      <c r="Q765" s="14">
        <v>6740.4</v>
      </c>
      <c r="R765" s="14">
        <v>1985.62</v>
      </c>
      <c r="S765" s="12" t="s">
        <v>63</v>
      </c>
      <c r="T765" s="12" t="s">
        <v>71</v>
      </c>
      <c r="U765" s="12">
        <v>5</v>
      </c>
      <c r="V765" s="12" t="s">
        <v>55</v>
      </c>
    </row>
    <row r="766" spans="1:22" x14ac:dyDescent="0.3">
      <c r="A766" s="8" t="s">
        <v>1397</v>
      </c>
      <c r="B766" s="9">
        <v>45973</v>
      </c>
      <c r="C766" s="8" t="s">
        <v>131</v>
      </c>
      <c r="D766" s="8" t="s">
        <v>132</v>
      </c>
      <c r="E766" s="8" t="s">
        <v>25</v>
      </c>
      <c r="F766" s="8" t="s">
        <v>863</v>
      </c>
      <c r="G766" s="8" t="s">
        <v>41</v>
      </c>
      <c r="H766" s="8" t="s">
        <v>81</v>
      </c>
      <c r="I766" s="8" t="s">
        <v>29</v>
      </c>
      <c r="J766" s="8" t="s">
        <v>30</v>
      </c>
      <c r="K766" s="8" t="s">
        <v>144</v>
      </c>
      <c r="L766" s="8" t="s">
        <v>32</v>
      </c>
      <c r="M766" s="8">
        <v>2</v>
      </c>
      <c r="N766" s="10">
        <v>2457.4699999999998</v>
      </c>
      <c r="O766" s="11">
        <v>0.2</v>
      </c>
      <c r="P766" s="10">
        <v>3931.95</v>
      </c>
      <c r="Q766" s="10">
        <v>3049.92</v>
      </c>
      <c r="R766" s="10">
        <v>882.03</v>
      </c>
      <c r="S766" s="8" t="s">
        <v>63</v>
      </c>
      <c r="T766" s="8" t="s">
        <v>71</v>
      </c>
      <c r="U766" s="8">
        <v>4</v>
      </c>
      <c r="V766" s="8" t="s">
        <v>65</v>
      </c>
    </row>
    <row r="767" spans="1:22" x14ac:dyDescent="0.3">
      <c r="A767" s="12" t="s">
        <v>1398</v>
      </c>
      <c r="B767" s="13">
        <v>46007</v>
      </c>
      <c r="C767" s="12" t="s">
        <v>57</v>
      </c>
      <c r="D767" s="12" t="s">
        <v>58</v>
      </c>
      <c r="E767" s="12" t="s">
        <v>59</v>
      </c>
      <c r="F767" s="12" t="s">
        <v>680</v>
      </c>
      <c r="G767" s="12" t="s">
        <v>41</v>
      </c>
      <c r="H767" s="12" t="s">
        <v>28</v>
      </c>
      <c r="I767" s="12" t="s">
        <v>29</v>
      </c>
      <c r="J767" s="12" t="s">
        <v>89</v>
      </c>
      <c r="K767" s="12" t="s">
        <v>89</v>
      </c>
      <c r="L767" s="12" t="s">
        <v>32</v>
      </c>
      <c r="M767" s="12">
        <v>5</v>
      </c>
      <c r="N767" s="14">
        <v>1245.2</v>
      </c>
      <c r="O767" s="15">
        <v>0.15</v>
      </c>
      <c r="P767" s="14">
        <v>5292.1</v>
      </c>
      <c r="Q767" s="14">
        <v>3650.4</v>
      </c>
      <c r="R767" s="14">
        <v>1641.7</v>
      </c>
      <c r="S767" s="12" t="s">
        <v>63</v>
      </c>
      <c r="T767" s="12" t="s">
        <v>119</v>
      </c>
      <c r="U767" s="12">
        <v>4</v>
      </c>
      <c r="V767" s="12" t="s">
        <v>35</v>
      </c>
    </row>
    <row r="768" spans="1:22" x14ac:dyDescent="0.3">
      <c r="A768" s="8" t="s">
        <v>1399</v>
      </c>
      <c r="B768" s="9">
        <v>45769</v>
      </c>
      <c r="C768" s="8" t="s">
        <v>131</v>
      </c>
      <c r="D768" s="8" t="s">
        <v>132</v>
      </c>
      <c r="E768" s="8" t="s">
        <v>25</v>
      </c>
      <c r="F768" s="8" t="s">
        <v>1400</v>
      </c>
      <c r="G768" s="8" t="s">
        <v>27</v>
      </c>
      <c r="H768" s="8" t="s">
        <v>28</v>
      </c>
      <c r="I768" s="8" t="s">
        <v>29</v>
      </c>
      <c r="J768" s="8" t="s">
        <v>30</v>
      </c>
      <c r="K768" s="8" t="s">
        <v>31</v>
      </c>
      <c r="L768" s="8" t="s">
        <v>77</v>
      </c>
      <c r="M768" s="8">
        <v>3</v>
      </c>
      <c r="N768" s="10">
        <v>4157.57</v>
      </c>
      <c r="O768" s="11">
        <v>0.3</v>
      </c>
      <c r="P768" s="10">
        <v>8730.9</v>
      </c>
      <c r="Q768" s="10">
        <v>6659.85</v>
      </c>
      <c r="R768" s="10">
        <v>2071.0500000000002</v>
      </c>
      <c r="S768" s="8" t="s">
        <v>33</v>
      </c>
      <c r="T768" s="8" t="s">
        <v>156</v>
      </c>
      <c r="U768" s="8">
        <v>3</v>
      </c>
      <c r="V768" s="8" t="s">
        <v>96</v>
      </c>
    </row>
    <row r="769" spans="1:22" x14ac:dyDescent="0.3">
      <c r="A769" s="12" t="s">
        <v>1401</v>
      </c>
      <c r="B769" s="13">
        <v>45823</v>
      </c>
      <c r="C769" s="12" t="s">
        <v>23</v>
      </c>
      <c r="D769" s="12" t="s">
        <v>24</v>
      </c>
      <c r="E769" s="12" t="s">
        <v>25</v>
      </c>
      <c r="F769" s="12" t="s">
        <v>191</v>
      </c>
      <c r="G769" s="12" t="s">
        <v>27</v>
      </c>
      <c r="H769" s="12" t="s">
        <v>94</v>
      </c>
      <c r="I769" s="12" t="s">
        <v>68</v>
      </c>
      <c r="J769" s="12" t="s">
        <v>101</v>
      </c>
      <c r="K769" s="12" t="s">
        <v>217</v>
      </c>
      <c r="L769" s="12" t="s">
        <v>91</v>
      </c>
      <c r="M769" s="12">
        <v>4</v>
      </c>
      <c r="N769" s="14">
        <v>3080.82</v>
      </c>
      <c r="O769" s="15">
        <v>0.25</v>
      </c>
      <c r="P769" s="14">
        <v>9242.4599999999991</v>
      </c>
      <c r="Q769" s="14">
        <v>6846.71</v>
      </c>
      <c r="R769" s="14">
        <v>2395.75</v>
      </c>
      <c r="S769" s="12" t="s">
        <v>53</v>
      </c>
      <c r="T769" s="12" t="s">
        <v>156</v>
      </c>
      <c r="U769" s="12">
        <v>5</v>
      </c>
      <c r="V769" s="12" t="s">
        <v>157</v>
      </c>
    </row>
    <row r="770" spans="1:22" x14ac:dyDescent="0.3">
      <c r="A770" s="8" t="s">
        <v>1402</v>
      </c>
      <c r="B770" s="9">
        <v>45959</v>
      </c>
      <c r="C770" s="8" t="s">
        <v>23</v>
      </c>
      <c r="D770" s="8" t="s">
        <v>24</v>
      </c>
      <c r="E770" s="8" t="s">
        <v>25</v>
      </c>
      <c r="F770" s="8" t="s">
        <v>1403</v>
      </c>
      <c r="G770" s="8" t="s">
        <v>41</v>
      </c>
      <c r="H770" s="8" t="s">
        <v>94</v>
      </c>
      <c r="I770" s="8" t="s">
        <v>61</v>
      </c>
      <c r="J770" s="8" t="s">
        <v>75</v>
      </c>
      <c r="K770" s="8" t="s">
        <v>95</v>
      </c>
      <c r="L770" s="8" t="s">
        <v>77</v>
      </c>
      <c r="M770" s="8">
        <v>5</v>
      </c>
      <c r="N770" s="10">
        <v>25682.27</v>
      </c>
      <c r="O770" s="11">
        <v>0.3</v>
      </c>
      <c r="P770" s="10">
        <v>89887.94</v>
      </c>
      <c r="Q770" s="10">
        <v>91366.97</v>
      </c>
      <c r="R770" s="10">
        <v>-1479.03</v>
      </c>
      <c r="S770" s="8" t="s">
        <v>53</v>
      </c>
      <c r="T770" s="8" t="s">
        <v>111</v>
      </c>
      <c r="U770" s="8">
        <v>5</v>
      </c>
      <c r="V770" s="8" t="s">
        <v>123</v>
      </c>
    </row>
    <row r="771" spans="1:22" x14ac:dyDescent="0.3">
      <c r="A771" s="12" t="s">
        <v>1404</v>
      </c>
      <c r="B771" s="13">
        <v>45750</v>
      </c>
      <c r="C771" s="12" t="s">
        <v>23</v>
      </c>
      <c r="D771" s="12" t="s">
        <v>24</v>
      </c>
      <c r="E771" s="12" t="s">
        <v>25</v>
      </c>
      <c r="F771" s="12" t="s">
        <v>1405</v>
      </c>
      <c r="G771" s="12" t="s">
        <v>27</v>
      </c>
      <c r="H771" s="12" t="s">
        <v>42</v>
      </c>
      <c r="I771" s="12" t="s">
        <v>68</v>
      </c>
      <c r="J771" s="12" t="s">
        <v>30</v>
      </c>
      <c r="K771" s="12" t="s">
        <v>144</v>
      </c>
      <c r="L771" s="12" t="s">
        <v>77</v>
      </c>
      <c r="M771" s="12">
        <v>2</v>
      </c>
      <c r="N771" s="14">
        <v>2555.6799999999998</v>
      </c>
      <c r="O771" s="15">
        <v>0.25</v>
      </c>
      <c r="P771" s="14">
        <v>3833.52</v>
      </c>
      <c r="Q771" s="14">
        <v>2898.83</v>
      </c>
      <c r="R771" s="14">
        <v>934.69</v>
      </c>
      <c r="S771" s="12" t="s">
        <v>63</v>
      </c>
      <c r="T771" s="12" t="s">
        <v>78</v>
      </c>
      <c r="U771" s="12">
        <v>5</v>
      </c>
      <c r="V771" s="12" t="s">
        <v>96</v>
      </c>
    </row>
    <row r="772" spans="1:22" x14ac:dyDescent="0.3">
      <c r="A772" s="8" t="s">
        <v>1406</v>
      </c>
      <c r="B772" s="9">
        <v>45820</v>
      </c>
      <c r="C772" s="8" t="s">
        <v>125</v>
      </c>
      <c r="D772" s="8" t="s">
        <v>126</v>
      </c>
      <c r="E772" s="8" t="s">
        <v>25</v>
      </c>
      <c r="F772" s="8" t="s">
        <v>1407</v>
      </c>
      <c r="G772" s="8" t="s">
        <v>27</v>
      </c>
      <c r="H772" s="8" t="s">
        <v>42</v>
      </c>
      <c r="I772" s="8" t="s">
        <v>29</v>
      </c>
      <c r="J772" s="8" t="s">
        <v>43</v>
      </c>
      <c r="K772" s="8" t="s">
        <v>51</v>
      </c>
      <c r="L772" s="8" t="s">
        <v>91</v>
      </c>
      <c r="M772" s="8">
        <v>3</v>
      </c>
      <c r="N772" s="10">
        <v>1572.91</v>
      </c>
      <c r="O772" s="11">
        <v>0.15</v>
      </c>
      <c r="P772" s="10">
        <v>4010.92</v>
      </c>
      <c r="Q772" s="10">
        <v>2024.97</v>
      </c>
      <c r="R772" s="10">
        <v>1985.95</v>
      </c>
      <c r="S772" s="8" t="s">
        <v>63</v>
      </c>
      <c r="T772" s="8" t="s">
        <v>78</v>
      </c>
      <c r="U772" s="8">
        <v>4</v>
      </c>
      <c r="V772" s="8" t="s">
        <v>157</v>
      </c>
    </row>
    <row r="773" spans="1:22" x14ac:dyDescent="0.3">
      <c r="A773" s="12" t="s">
        <v>1408</v>
      </c>
      <c r="B773" s="13">
        <v>45759</v>
      </c>
      <c r="C773" s="12" t="s">
        <v>113</v>
      </c>
      <c r="D773" s="12" t="s">
        <v>114</v>
      </c>
      <c r="E773" s="12" t="s">
        <v>59</v>
      </c>
      <c r="F773" s="12" t="s">
        <v>1409</v>
      </c>
      <c r="G773" s="12" t="s">
        <v>41</v>
      </c>
      <c r="H773" s="12" t="s">
        <v>94</v>
      </c>
      <c r="I773" s="12" t="s">
        <v>61</v>
      </c>
      <c r="J773" s="12" t="s">
        <v>101</v>
      </c>
      <c r="K773" s="12" t="s">
        <v>102</v>
      </c>
      <c r="L773" s="12" t="s">
        <v>103</v>
      </c>
      <c r="M773" s="12">
        <v>4</v>
      </c>
      <c r="N773" s="14">
        <v>667.71</v>
      </c>
      <c r="O773" s="15">
        <v>0.3</v>
      </c>
      <c r="P773" s="14">
        <v>1869.59</v>
      </c>
      <c r="Q773" s="14">
        <v>959.55</v>
      </c>
      <c r="R773" s="14">
        <v>910.04</v>
      </c>
      <c r="S773" s="12" t="s">
        <v>33</v>
      </c>
      <c r="T773" s="12" t="s">
        <v>71</v>
      </c>
      <c r="U773" s="12">
        <v>4</v>
      </c>
      <c r="V773" s="12" t="s">
        <v>96</v>
      </c>
    </row>
    <row r="774" spans="1:22" x14ac:dyDescent="0.3">
      <c r="A774" s="8" t="s">
        <v>1410</v>
      </c>
      <c r="B774" s="9">
        <v>45816</v>
      </c>
      <c r="C774" s="8" t="s">
        <v>23</v>
      </c>
      <c r="D774" s="8" t="s">
        <v>24</v>
      </c>
      <c r="E774" s="8" t="s">
        <v>25</v>
      </c>
      <c r="F774" s="8" t="s">
        <v>1411</v>
      </c>
      <c r="G774" s="8" t="s">
        <v>27</v>
      </c>
      <c r="H774" s="8" t="s">
        <v>28</v>
      </c>
      <c r="I774" s="8" t="s">
        <v>68</v>
      </c>
      <c r="J774" s="8" t="s">
        <v>75</v>
      </c>
      <c r="K774" s="8" t="s">
        <v>76</v>
      </c>
      <c r="L774" s="8" t="s">
        <v>32</v>
      </c>
      <c r="M774" s="8">
        <v>2</v>
      </c>
      <c r="N774" s="10">
        <v>826.19</v>
      </c>
      <c r="O774" s="11">
        <v>0.25</v>
      </c>
      <c r="P774" s="10">
        <v>1239.29</v>
      </c>
      <c r="Q774" s="10">
        <v>669.28</v>
      </c>
      <c r="R774" s="10">
        <v>570.01</v>
      </c>
      <c r="S774" s="8" t="s">
        <v>53</v>
      </c>
      <c r="T774" s="8" t="s">
        <v>119</v>
      </c>
      <c r="U774" s="8">
        <v>4</v>
      </c>
      <c r="V774" s="8" t="s">
        <v>157</v>
      </c>
    </row>
    <row r="775" spans="1:22" x14ac:dyDescent="0.3">
      <c r="A775" s="12" t="s">
        <v>1412</v>
      </c>
      <c r="B775" s="13">
        <v>45976</v>
      </c>
      <c r="C775" s="12" t="s">
        <v>107</v>
      </c>
      <c r="D775" s="12" t="s">
        <v>108</v>
      </c>
      <c r="E775" s="12" t="s">
        <v>39</v>
      </c>
      <c r="F775" s="12" t="s">
        <v>1413</v>
      </c>
      <c r="G775" s="12" t="s">
        <v>27</v>
      </c>
      <c r="H775" s="12" t="s">
        <v>81</v>
      </c>
      <c r="I775" s="12" t="s">
        <v>29</v>
      </c>
      <c r="J775" s="12" t="s">
        <v>89</v>
      </c>
      <c r="K775" s="12" t="s">
        <v>89</v>
      </c>
      <c r="L775" s="12" t="s">
        <v>175</v>
      </c>
      <c r="M775" s="12">
        <v>3</v>
      </c>
      <c r="N775" s="14">
        <v>1272.8399999999999</v>
      </c>
      <c r="O775" s="15">
        <v>0.1</v>
      </c>
      <c r="P775" s="14">
        <v>3436.67</v>
      </c>
      <c r="Q775" s="14">
        <v>2081.75</v>
      </c>
      <c r="R775" s="14">
        <v>1354.92</v>
      </c>
      <c r="S775" s="12" t="s">
        <v>46</v>
      </c>
      <c r="T775" s="12" t="s">
        <v>147</v>
      </c>
      <c r="U775" s="12">
        <v>5</v>
      </c>
      <c r="V775" s="12" t="s">
        <v>65</v>
      </c>
    </row>
    <row r="776" spans="1:22" x14ac:dyDescent="0.3">
      <c r="A776" s="8" t="s">
        <v>1414</v>
      </c>
      <c r="B776" s="9">
        <v>45791</v>
      </c>
      <c r="C776" s="8" t="s">
        <v>57</v>
      </c>
      <c r="D776" s="8" t="s">
        <v>58</v>
      </c>
      <c r="E776" s="8" t="s">
        <v>59</v>
      </c>
      <c r="F776" s="8" t="s">
        <v>1415</v>
      </c>
      <c r="G776" s="8" t="s">
        <v>27</v>
      </c>
      <c r="H776" s="8" t="s">
        <v>28</v>
      </c>
      <c r="I776" s="8" t="s">
        <v>61</v>
      </c>
      <c r="J776" s="8" t="s">
        <v>69</v>
      </c>
      <c r="K776" s="8" t="s">
        <v>70</v>
      </c>
      <c r="L776" s="8" t="s">
        <v>32</v>
      </c>
      <c r="M776" s="8">
        <v>4</v>
      </c>
      <c r="N776" s="10">
        <v>936.72</v>
      </c>
      <c r="O776" s="11">
        <v>0.15</v>
      </c>
      <c r="P776" s="10">
        <v>3184.85</v>
      </c>
      <c r="Q776" s="10">
        <v>1854.65</v>
      </c>
      <c r="R776" s="10">
        <v>1330.2</v>
      </c>
      <c r="S776" s="8" t="s">
        <v>46</v>
      </c>
      <c r="T776" s="8" t="s">
        <v>71</v>
      </c>
      <c r="U776" s="8">
        <v>4</v>
      </c>
      <c r="V776" s="8" t="s">
        <v>134</v>
      </c>
    </row>
    <row r="777" spans="1:22" x14ac:dyDescent="0.3">
      <c r="A777" s="12" t="s">
        <v>1416</v>
      </c>
      <c r="B777" s="13">
        <v>45849</v>
      </c>
      <c r="C777" s="12" t="s">
        <v>48</v>
      </c>
      <c r="D777" s="12" t="s">
        <v>49</v>
      </c>
      <c r="E777" s="12" t="s">
        <v>39</v>
      </c>
      <c r="F777" s="12" t="s">
        <v>1417</v>
      </c>
      <c r="G777" s="12" t="s">
        <v>27</v>
      </c>
      <c r="H777" s="12" t="s">
        <v>81</v>
      </c>
      <c r="I777" s="12" t="s">
        <v>61</v>
      </c>
      <c r="J777" s="12" t="s">
        <v>69</v>
      </c>
      <c r="K777" s="12" t="s">
        <v>180</v>
      </c>
      <c r="L777" s="12" t="s">
        <v>103</v>
      </c>
      <c r="M777" s="12">
        <v>1</v>
      </c>
      <c r="N777" s="14">
        <v>1529.64</v>
      </c>
      <c r="O777" s="15">
        <v>0.3</v>
      </c>
      <c r="P777" s="14">
        <v>1070.75</v>
      </c>
      <c r="Q777" s="14">
        <v>881.17</v>
      </c>
      <c r="R777" s="14">
        <v>189.58</v>
      </c>
      <c r="S777" s="12" t="s">
        <v>53</v>
      </c>
      <c r="T777" s="12" t="s">
        <v>64</v>
      </c>
      <c r="U777" s="12">
        <v>5</v>
      </c>
      <c r="V777" s="12" t="s">
        <v>120</v>
      </c>
    </row>
    <row r="778" spans="1:22" x14ac:dyDescent="0.3">
      <c r="A778" s="8" t="s">
        <v>1418</v>
      </c>
      <c r="B778" s="9">
        <v>45891</v>
      </c>
      <c r="C778" s="8" t="s">
        <v>86</v>
      </c>
      <c r="D778" s="8" t="s">
        <v>87</v>
      </c>
      <c r="E778" s="8" t="s">
        <v>59</v>
      </c>
      <c r="F778" s="8" t="s">
        <v>1419</v>
      </c>
      <c r="G778" s="8" t="s">
        <v>27</v>
      </c>
      <c r="H778" s="8" t="s">
        <v>81</v>
      </c>
      <c r="I778" s="8" t="s">
        <v>61</v>
      </c>
      <c r="J778" s="8" t="s">
        <v>43</v>
      </c>
      <c r="K778" s="8" t="s">
        <v>162</v>
      </c>
      <c r="L778" s="8" t="s">
        <v>45</v>
      </c>
      <c r="M778" s="8">
        <v>4</v>
      </c>
      <c r="N778" s="10">
        <v>907.72</v>
      </c>
      <c r="O778" s="11">
        <v>0.3</v>
      </c>
      <c r="P778" s="10">
        <v>2541.62</v>
      </c>
      <c r="Q778" s="10">
        <v>1556.34</v>
      </c>
      <c r="R778" s="10">
        <v>985.28</v>
      </c>
      <c r="S778" s="8" t="s">
        <v>53</v>
      </c>
      <c r="T778" s="8" t="s">
        <v>111</v>
      </c>
      <c r="U778" s="8">
        <v>5</v>
      </c>
      <c r="V778" s="8" t="s">
        <v>72</v>
      </c>
    </row>
    <row r="779" spans="1:22" x14ac:dyDescent="0.3">
      <c r="A779" s="12" t="s">
        <v>1420</v>
      </c>
      <c r="B779" s="13">
        <v>45765</v>
      </c>
      <c r="C779" s="12" t="s">
        <v>125</v>
      </c>
      <c r="D779" s="12" t="s">
        <v>126</v>
      </c>
      <c r="E779" s="12" t="s">
        <v>25</v>
      </c>
      <c r="F779" s="12" t="s">
        <v>475</v>
      </c>
      <c r="G779" s="12" t="s">
        <v>27</v>
      </c>
      <c r="H779" s="12" t="s">
        <v>94</v>
      </c>
      <c r="I779" s="12" t="s">
        <v>68</v>
      </c>
      <c r="J779" s="12" t="s">
        <v>43</v>
      </c>
      <c r="K779" s="12" t="s">
        <v>44</v>
      </c>
      <c r="L779" s="12" t="s">
        <v>52</v>
      </c>
      <c r="M779" s="12">
        <v>3</v>
      </c>
      <c r="N779" s="14">
        <v>612.08000000000004</v>
      </c>
      <c r="O779" s="15">
        <v>0</v>
      </c>
      <c r="P779" s="14">
        <v>1836.24</v>
      </c>
      <c r="Q779" s="14">
        <v>795.17</v>
      </c>
      <c r="R779" s="14">
        <v>1041.07</v>
      </c>
      <c r="S779" s="12" t="s">
        <v>33</v>
      </c>
      <c r="T779" s="12" t="s">
        <v>104</v>
      </c>
      <c r="U779" s="12">
        <v>5</v>
      </c>
      <c r="V779" s="12" t="s">
        <v>96</v>
      </c>
    </row>
    <row r="780" spans="1:22" x14ac:dyDescent="0.3">
      <c r="A780" s="8" t="s">
        <v>1421</v>
      </c>
      <c r="B780" s="9">
        <v>45883</v>
      </c>
      <c r="C780" s="8" t="s">
        <v>125</v>
      </c>
      <c r="D780" s="8" t="s">
        <v>126</v>
      </c>
      <c r="E780" s="8" t="s">
        <v>25</v>
      </c>
      <c r="F780" s="8" t="s">
        <v>1422</v>
      </c>
      <c r="G780" s="8" t="s">
        <v>27</v>
      </c>
      <c r="H780" s="8" t="s">
        <v>42</v>
      </c>
      <c r="I780" s="8" t="s">
        <v>29</v>
      </c>
      <c r="J780" s="8" t="s">
        <v>101</v>
      </c>
      <c r="K780" s="8" t="s">
        <v>110</v>
      </c>
      <c r="L780" s="8" t="s">
        <v>82</v>
      </c>
      <c r="M780" s="8">
        <v>5</v>
      </c>
      <c r="N780" s="10">
        <v>4873.76</v>
      </c>
      <c r="O780" s="11">
        <v>0</v>
      </c>
      <c r="P780" s="10">
        <v>24368.799999999999</v>
      </c>
      <c r="Q780" s="10">
        <v>15906.78</v>
      </c>
      <c r="R780" s="10">
        <v>8462.02</v>
      </c>
      <c r="S780" s="8" t="s">
        <v>83</v>
      </c>
      <c r="T780" s="8" t="s">
        <v>34</v>
      </c>
      <c r="U780" s="8">
        <v>5</v>
      </c>
      <c r="V780" s="8" t="s">
        <v>72</v>
      </c>
    </row>
    <row r="781" spans="1:22" x14ac:dyDescent="0.3">
      <c r="A781" s="12" t="s">
        <v>1423</v>
      </c>
      <c r="B781" s="13">
        <v>45975</v>
      </c>
      <c r="C781" s="12" t="s">
        <v>131</v>
      </c>
      <c r="D781" s="12" t="s">
        <v>132</v>
      </c>
      <c r="E781" s="12" t="s">
        <v>25</v>
      </c>
      <c r="F781" s="12" t="s">
        <v>1320</v>
      </c>
      <c r="G781" s="12" t="s">
        <v>27</v>
      </c>
      <c r="H781" s="12" t="s">
        <v>94</v>
      </c>
      <c r="I781" s="12" t="s">
        <v>68</v>
      </c>
      <c r="J781" s="12" t="s">
        <v>75</v>
      </c>
      <c r="K781" s="12" t="s">
        <v>154</v>
      </c>
      <c r="L781" s="12" t="s">
        <v>32</v>
      </c>
      <c r="M781" s="12">
        <v>5</v>
      </c>
      <c r="N781" s="14">
        <v>1977.13</v>
      </c>
      <c r="O781" s="15">
        <v>0.15</v>
      </c>
      <c r="P781" s="14">
        <v>8402.7999999999993</v>
      </c>
      <c r="Q781" s="14">
        <v>5250.89</v>
      </c>
      <c r="R781" s="14">
        <v>3151.91</v>
      </c>
      <c r="S781" s="12" t="s">
        <v>53</v>
      </c>
      <c r="T781" s="12" t="s">
        <v>147</v>
      </c>
      <c r="U781" s="12">
        <v>5</v>
      </c>
      <c r="V781" s="12" t="s">
        <v>65</v>
      </c>
    </row>
    <row r="782" spans="1:22" x14ac:dyDescent="0.3">
      <c r="A782" s="8" t="s">
        <v>1424</v>
      </c>
      <c r="B782" s="9">
        <v>46018</v>
      </c>
      <c r="C782" s="8" t="s">
        <v>37</v>
      </c>
      <c r="D782" s="8" t="s">
        <v>38</v>
      </c>
      <c r="E782" s="8" t="s">
        <v>39</v>
      </c>
      <c r="F782" s="8" t="s">
        <v>326</v>
      </c>
      <c r="G782" s="8" t="s">
        <v>27</v>
      </c>
      <c r="H782" s="8" t="s">
        <v>94</v>
      </c>
      <c r="I782" s="8" t="s">
        <v>68</v>
      </c>
      <c r="J782" s="8" t="s">
        <v>69</v>
      </c>
      <c r="K782" s="8" t="s">
        <v>137</v>
      </c>
      <c r="L782" s="8" t="s">
        <v>77</v>
      </c>
      <c r="M782" s="8">
        <v>4</v>
      </c>
      <c r="N782" s="10">
        <v>516.26</v>
      </c>
      <c r="O782" s="11">
        <v>0</v>
      </c>
      <c r="P782" s="10">
        <v>2065.04</v>
      </c>
      <c r="Q782" s="10">
        <v>921.19</v>
      </c>
      <c r="R782" s="10">
        <v>1143.8499999999999</v>
      </c>
      <c r="S782" s="8" t="s">
        <v>33</v>
      </c>
      <c r="T782" s="8" t="s">
        <v>78</v>
      </c>
      <c r="U782" s="8">
        <v>5</v>
      </c>
      <c r="V782" s="8" t="s">
        <v>35</v>
      </c>
    </row>
    <row r="783" spans="1:22" x14ac:dyDescent="0.3">
      <c r="A783" s="12" t="s">
        <v>1425</v>
      </c>
      <c r="B783" s="13">
        <v>45934</v>
      </c>
      <c r="C783" s="12" t="s">
        <v>48</v>
      </c>
      <c r="D783" s="12" t="s">
        <v>49</v>
      </c>
      <c r="E783" s="12" t="s">
        <v>39</v>
      </c>
      <c r="F783" s="12" t="s">
        <v>1426</v>
      </c>
      <c r="G783" s="12" t="s">
        <v>27</v>
      </c>
      <c r="H783" s="12" t="s">
        <v>28</v>
      </c>
      <c r="I783" s="12" t="s">
        <v>61</v>
      </c>
      <c r="J783" s="12" t="s">
        <v>43</v>
      </c>
      <c r="K783" s="12" t="s">
        <v>162</v>
      </c>
      <c r="L783" s="12" t="s">
        <v>175</v>
      </c>
      <c r="M783" s="12">
        <v>1</v>
      </c>
      <c r="N783" s="14">
        <v>914.09</v>
      </c>
      <c r="O783" s="15">
        <v>0.25</v>
      </c>
      <c r="P783" s="14">
        <v>685.57</v>
      </c>
      <c r="Q783" s="14">
        <v>402.05</v>
      </c>
      <c r="R783" s="14">
        <v>283.52</v>
      </c>
      <c r="S783" s="12" t="s">
        <v>33</v>
      </c>
      <c r="T783" s="12" t="s">
        <v>104</v>
      </c>
      <c r="U783" s="12">
        <v>4</v>
      </c>
      <c r="V783" s="12" t="s">
        <v>123</v>
      </c>
    </row>
    <row r="784" spans="1:22" x14ac:dyDescent="0.3">
      <c r="A784" s="8" t="s">
        <v>1427</v>
      </c>
      <c r="B784" s="9">
        <v>45858</v>
      </c>
      <c r="C784" s="8" t="s">
        <v>48</v>
      </c>
      <c r="D784" s="8" t="s">
        <v>49</v>
      </c>
      <c r="E784" s="8" t="s">
        <v>39</v>
      </c>
      <c r="F784" s="8" t="s">
        <v>885</v>
      </c>
      <c r="G784" s="8" t="s">
        <v>27</v>
      </c>
      <c r="H784" s="8" t="s">
        <v>94</v>
      </c>
      <c r="I784" s="8" t="s">
        <v>29</v>
      </c>
      <c r="J784" s="8" t="s">
        <v>69</v>
      </c>
      <c r="K784" s="8" t="s">
        <v>180</v>
      </c>
      <c r="L784" s="8" t="s">
        <v>52</v>
      </c>
      <c r="M784" s="8">
        <v>1</v>
      </c>
      <c r="N784" s="10">
        <v>1434.25</v>
      </c>
      <c r="O784" s="11">
        <v>0.15</v>
      </c>
      <c r="P784" s="10">
        <v>1219.1099999999999</v>
      </c>
      <c r="Q784" s="10">
        <v>815.49</v>
      </c>
      <c r="R784" s="10">
        <v>403.62</v>
      </c>
      <c r="S784" s="8" t="s">
        <v>83</v>
      </c>
      <c r="T784" s="8" t="s">
        <v>54</v>
      </c>
      <c r="U784" s="8">
        <v>4</v>
      </c>
      <c r="V784" s="8" t="s">
        <v>120</v>
      </c>
    </row>
    <row r="785" spans="1:22" x14ac:dyDescent="0.3">
      <c r="A785" s="12" t="s">
        <v>1428</v>
      </c>
      <c r="B785" s="13">
        <v>45667</v>
      </c>
      <c r="C785" s="12" t="s">
        <v>131</v>
      </c>
      <c r="D785" s="12" t="s">
        <v>132</v>
      </c>
      <c r="E785" s="12" t="s">
        <v>25</v>
      </c>
      <c r="F785" s="12" t="s">
        <v>1429</v>
      </c>
      <c r="G785" s="12" t="s">
        <v>41</v>
      </c>
      <c r="H785" s="12" t="s">
        <v>42</v>
      </c>
      <c r="I785" s="12" t="s">
        <v>29</v>
      </c>
      <c r="J785" s="12" t="s">
        <v>43</v>
      </c>
      <c r="K785" s="12" t="s">
        <v>162</v>
      </c>
      <c r="L785" s="12" t="s">
        <v>82</v>
      </c>
      <c r="M785" s="12">
        <v>2</v>
      </c>
      <c r="N785" s="14">
        <v>902.42</v>
      </c>
      <c r="O785" s="15">
        <v>0.3</v>
      </c>
      <c r="P785" s="14">
        <v>1263.3900000000001</v>
      </c>
      <c r="Q785" s="14">
        <v>793.54</v>
      </c>
      <c r="R785" s="14">
        <v>469.85</v>
      </c>
      <c r="S785" s="12" t="s">
        <v>53</v>
      </c>
      <c r="T785" s="12" t="s">
        <v>78</v>
      </c>
      <c r="U785" s="12">
        <v>3</v>
      </c>
      <c r="V785" s="12" t="s">
        <v>84</v>
      </c>
    </row>
    <row r="786" spans="1:22" x14ac:dyDescent="0.3">
      <c r="A786" s="8" t="s">
        <v>1430</v>
      </c>
      <c r="B786" s="9">
        <v>46012</v>
      </c>
      <c r="C786" s="8" t="s">
        <v>125</v>
      </c>
      <c r="D786" s="8" t="s">
        <v>126</v>
      </c>
      <c r="E786" s="8" t="s">
        <v>25</v>
      </c>
      <c r="F786" s="8" t="s">
        <v>212</v>
      </c>
      <c r="G786" s="8" t="s">
        <v>41</v>
      </c>
      <c r="H786" s="8" t="s">
        <v>81</v>
      </c>
      <c r="I786" s="8" t="s">
        <v>68</v>
      </c>
      <c r="J786" s="8" t="s">
        <v>75</v>
      </c>
      <c r="K786" s="8" t="s">
        <v>76</v>
      </c>
      <c r="L786" s="8" t="s">
        <v>82</v>
      </c>
      <c r="M786" s="8">
        <v>4</v>
      </c>
      <c r="N786" s="10">
        <v>807.56</v>
      </c>
      <c r="O786" s="11">
        <v>0.2</v>
      </c>
      <c r="P786" s="10">
        <v>2584.19</v>
      </c>
      <c r="Q786" s="10">
        <v>1429.37</v>
      </c>
      <c r="R786" s="10">
        <v>1154.82</v>
      </c>
      <c r="S786" s="8" t="s">
        <v>53</v>
      </c>
      <c r="T786" s="8" t="s">
        <v>111</v>
      </c>
      <c r="U786" s="8">
        <v>5</v>
      </c>
      <c r="V786" s="8" t="s">
        <v>35</v>
      </c>
    </row>
    <row r="787" spans="1:22" x14ac:dyDescent="0.3">
      <c r="A787" s="12" t="s">
        <v>1431</v>
      </c>
      <c r="B787" s="13">
        <v>45720</v>
      </c>
      <c r="C787" s="12" t="s">
        <v>125</v>
      </c>
      <c r="D787" s="12" t="s">
        <v>126</v>
      </c>
      <c r="E787" s="12" t="s">
        <v>25</v>
      </c>
      <c r="F787" s="12" t="s">
        <v>1432</v>
      </c>
      <c r="G787" s="12" t="s">
        <v>41</v>
      </c>
      <c r="H787" s="12" t="s">
        <v>94</v>
      </c>
      <c r="I787" s="12" t="s">
        <v>29</v>
      </c>
      <c r="J787" s="12" t="s">
        <v>69</v>
      </c>
      <c r="K787" s="12" t="s">
        <v>137</v>
      </c>
      <c r="L787" s="12" t="s">
        <v>91</v>
      </c>
      <c r="M787" s="12">
        <v>4</v>
      </c>
      <c r="N787" s="14">
        <v>521.55999999999995</v>
      </c>
      <c r="O787" s="15">
        <v>0.25</v>
      </c>
      <c r="P787" s="14">
        <v>1564.68</v>
      </c>
      <c r="Q787" s="14">
        <v>850.31</v>
      </c>
      <c r="R787" s="14">
        <v>714.37</v>
      </c>
      <c r="S787" s="12" t="s">
        <v>33</v>
      </c>
      <c r="T787" s="12" t="s">
        <v>34</v>
      </c>
      <c r="U787" s="12">
        <v>5</v>
      </c>
      <c r="V787" s="12" t="s">
        <v>55</v>
      </c>
    </row>
    <row r="788" spans="1:22" x14ac:dyDescent="0.3">
      <c r="A788" s="8" t="s">
        <v>1433</v>
      </c>
      <c r="B788" s="9">
        <v>45832</v>
      </c>
      <c r="C788" s="8" t="s">
        <v>57</v>
      </c>
      <c r="D788" s="8" t="s">
        <v>58</v>
      </c>
      <c r="E788" s="8" t="s">
        <v>59</v>
      </c>
      <c r="F788" s="8" t="s">
        <v>1434</v>
      </c>
      <c r="G788" s="8" t="s">
        <v>41</v>
      </c>
      <c r="H788" s="8" t="s">
        <v>42</v>
      </c>
      <c r="I788" s="8" t="s">
        <v>68</v>
      </c>
      <c r="J788" s="8" t="s">
        <v>30</v>
      </c>
      <c r="K788" s="8" t="s">
        <v>31</v>
      </c>
      <c r="L788" s="8" t="s">
        <v>77</v>
      </c>
      <c r="M788" s="8">
        <v>5</v>
      </c>
      <c r="N788" s="10">
        <v>3976.04</v>
      </c>
      <c r="O788" s="11">
        <v>0.2</v>
      </c>
      <c r="P788" s="10">
        <v>15904.16</v>
      </c>
      <c r="Q788" s="10">
        <v>11090.55</v>
      </c>
      <c r="R788" s="10">
        <v>4813.6099999999997</v>
      </c>
      <c r="S788" s="8" t="s">
        <v>33</v>
      </c>
      <c r="T788" s="8" t="s">
        <v>54</v>
      </c>
      <c r="U788" s="8">
        <v>5</v>
      </c>
      <c r="V788" s="8" t="s">
        <v>157</v>
      </c>
    </row>
    <row r="789" spans="1:22" x14ac:dyDescent="0.3">
      <c r="A789" s="12" t="s">
        <v>1435</v>
      </c>
      <c r="B789" s="13">
        <v>45681</v>
      </c>
      <c r="C789" s="12" t="s">
        <v>107</v>
      </c>
      <c r="D789" s="12" t="s">
        <v>108</v>
      </c>
      <c r="E789" s="12" t="s">
        <v>39</v>
      </c>
      <c r="F789" s="12" t="s">
        <v>1436</v>
      </c>
      <c r="G789" s="12" t="s">
        <v>27</v>
      </c>
      <c r="H789" s="12" t="s">
        <v>94</v>
      </c>
      <c r="I789" s="12" t="s">
        <v>68</v>
      </c>
      <c r="J789" s="12" t="s">
        <v>30</v>
      </c>
      <c r="K789" s="12" t="s">
        <v>144</v>
      </c>
      <c r="L789" s="12" t="s">
        <v>91</v>
      </c>
      <c r="M789" s="12">
        <v>1</v>
      </c>
      <c r="N789" s="14">
        <v>2553.88</v>
      </c>
      <c r="O789" s="15">
        <v>0.15</v>
      </c>
      <c r="P789" s="14">
        <v>2170.8000000000002</v>
      </c>
      <c r="Q789" s="14">
        <v>1467.78</v>
      </c>
      <c r="R789" s="14">
        <v>703.02</v>
      </c>
      <c r="S789" s="12" t="s">
        <v>53</v>
      </c>
      <c r="T789" s="12" t="s">
        <v>64</v>
      </c>
      <c r="U789" s="12">
        <v>5</v>
      </c>
      <c r="V789" s="12" t="s">
        <v>84</v>
      </c>
    </row>
    <row r="790" spans="1:22" x14ac:dyDescent="0.3">
      <c r="A790" s="8" t="s">
        <v>1437</v>
      </c>
      <c r="B790" s="9">
        <v>45921</v>
      </c>
      <c r="C790" s="8" t="s">
        <v>113</v>
      </c>
      <c r="D790" s="8" t="s">
        <v>114</v>
      </c>
      <c r="E790" s="8" t="s">
        <v>59</v>
      </c>
      <c r="F790" s="8" t="s">
        <v>1438</v>
      </c>
      <c r="G790" s="8" t="s">
        <v>41</v>
      </c>
      <c r="H790" s="8" t="s">
        <v>94</v>
      </c>
      <c r="I790" s="8" t="s">
        <v>61</v>
      </c>
      <c r="J790" s="8" t="s">
        <v>30</v>
      </c>
      <c r="K790" s="8" t="s">
        <v>31</v>
      </c>
      <c r="L790" s="8" t="s">
        <v>45</v>
      </c>
      <c r="M790" s="8">
        <v>5</v>
      </c>
      <c r="N790" s="10">
        <v>4194.6499999999996</v>
      </c>
      <c r="O790" s="11">
        <v>0.15</v>
      </c>
      <c r="P790" s="10">
        <v>17827.259999999998</v>
      </c>
      <c r="Q790" s="10">
        <v>11397.5</v>
      </c>
      <c r="R790" s="10">
        <v>6429.76</v>
      </c>
      <c r="S790" s="8" t="s">
        <v>83</v>
      </c>
      <c r="T790" s="8" t="s">
        <v>54</v>
      </c>
      <c r="U790" s="8">
        <v>5</v>
      </c>
      <c r="V790" s="8" t="s">
        <v>116</v>
      </c>
    </row>
    <row r="791" spans="1:22" x14ac:dyDescent="0.3">
      <c r="A791" s="12" t="s">
        <v>1439</v>
      </c>
      <c r="B791" s="13">
        <v>45817</v>
      </c>
      <c r="C791" s="12" t="s">
        <v>57</v>
      </c>
      <c r="D791" s="12" t="s">
        <v>58</v>
      </c>
      <c r="E791" s="12" t="s">
        <v>59</v>
      </c>
      <c r="F791" s="12" t="s">
        <v>690</v>
      </c>
      <c r="G791" s="12" t="s">
        <v>27</v>
      </c>
      <c r="H791" s="12" t="s">
        <v>94</v>
      </c>
      <c r="I791" s="12" t="s">
        <v>29</v>
      </c>
      <c r="J791" s="12" t="s">
        <v>30</v>
      </c>
      <c r="K791" s="12" t="s">
        <v>62</v>
      </c>
      <c r="L791" s="12" t="s">
        <v>52</v>
      </c>
      <c r="M791" s="12">
        <v>2</v>
      </c>
      <c r="N791" s="14">
        <v>998.14</v>
      </c>
      <c r="O791" s="15">
        <v>0.1</v>
      </c>
      <c r="P791" s="14">
        <v>1796.65</v>
      </c>
      <c r="Q791" s="14">
        <v>925.84</v>
      </c>
      <c r="R791" s="14">
        <v>870.81</v>
      </c>
      <c r="S791" s="12" t="s">
        <v>46</v>
      </c>
      <c r="T791" s="12" t="s">
        <v>147</v>
      </c>
      <c r="U791" s="12">
        <v>4</v>
      </c>
      <c r="V791" s="12" t="s">
        <v>157</v>
      </c>
    </row>
    <row r="792" spans="1:22" x14ac:dyDescent="0.3">
      <c r="A792" s="8" t="s">
        <v>1440</v>
      </c>
      <c r="B792" s="9">
        <v>45667</v>
      </c>
      <c r="C792" s="8" t="s">
        <v>107</v>
      </c>
      <c r="D792" s="8" t="s">
        <v>108</v>
      </c>
      <c r="E792" s="8" t="s">
        <v>39</v>
      </c>
      <c r="F792" s="8" t="s">
        <v>1441</v>
      </c>
      <c r="G792" s="8" t="s">
        <v>41</v>
      </c>
      <c r="H792" s="8" t="s">
        <v>28</v>
      </c>
      <c r="I792" s="8" t="s">
        <v>29</v>
      </c>
      <c r="J792" s="8" t="s">
        <v>30</v>
      </c>
      <c r="K792" s="8" t="s">
        <v>144</v>
      </c>
      <c r="L792" s="8" t="s">
        <v>32</v>
      </c>
      <c r="M792" s="8">
        <v>2</v>
      </c>
      <c r="N792" s="10">
        <v>2623.08</v>
      </c>
      <c r="O792" s="11">
        <v>0.1</v>
      </c>
      <c r="P792" s="10">
        <v>4721.54</v>
      </c>
      <c r="Q792" s="10">
        <v>3117.02</v>
      </c>
      <c r="R792" s="10">
        <v>1604.52</v>
      </c>
      <c r="S792" s="8" t="s">
        <v>46</v>
      </c>
      <c r="T792" s="8" t="s">
        <v>119</v>
      </c>
      <c r="U792" s="8">
        <v>5</v>
      </c>
      <c r="V792" s="8" t="s">
        <v>84</v>
      </c>
    </row>
    <row r="793" spans="1:22" x14ac:dyDescent="0.3">
      <c r="A793" s="12" t="s">
        <v>1442</v>
      </c>
      <c r="B793" s="13">
        <v>45717</v>
      </c>
      <c r="C793" s="12" t="s">
        <v>48</v>
      </c>
      <c r="D793" s="12" t="s">
        <v>49</v>
      </c>
      <c r="E793" s="12" t="s">
        <v>39</v>
      </c>
      <c r="F793" s="12" t="s">
        <v>1415</v>
      </c>
      <c r="G793" s="12" t="s">
        <v>27</v>
      </c>
      <c r="H793" s="12" t="s">
        <v>42</v>
      </c>
      <c r="I793" s="12" t="s">
        <v>61</v>
      </c>
      <c r="J793" s="12" t="s">
        <v>101</v>
      </c>
      <c r="K793" s="12" t="s">
        <v>217</v>
      </c>
      <c r="L793" s="12" t="s">
        <v>103</v>
      </c>
      <c r="M793" s="12">
        <v>3</v>
      </c>
      <c r="N793" s="14">
        <v>3146.4</v>
      </c>
      <c r="O793" s="15">
        <v>0.2</v>
      </c>
      <c r="P793" s="14">
        <v>7551.36</v>
      </c>
      <c r="Q793" s="14">
        <v>5097.13</v>
      </c>
      <c r="R793" s="14">
        <v>2454.23</v>
      </c>
      <c r="S793" s="12" t="s">
        <v>63</v>
      </c>
      <c r="T793" s="12" t="s">
        <v>64</v>
      </c>
      <c r="U793" s="12">
        <v>5</v>
      </c>
      <c r="V793" s="12" t="s">
        <v>55</v>
      </c>
    </row>
    <row r="794" spans="1:22" x14ac:dyDescent="0.3">
      <c r="A794" s="8" t="s">
        <v>1443</v>
      </c>
      <c r="B794" s="9">
        <v>45952</v>
      </c>
      <c r="C794" s="8" t="s">
        <v>57</v>
      </c>
      <c r="D794" s="8" t="s">
        <v>58</v>
      </c>
      <c r="E794" s="8" t="s">
        <v>59</v>
      </c>
      <c r="F794" s="8" t="s">
        <v>432</v>
      </c>
      <c r="G794" s="8" t="s">
        <v>27</v>
      </c>
      <c r="H794" s="8" t="s">
        <v>28</v>
      </c>
      <c r="I794" s="8" t="s">
        <v>68</v>
      </c>
      <c r="J794" s="8" t="s">
        <v>89</v>
      </c>
      <c r="K794" s="8" t="s">
        <v>151</v>
      </c>
      <c r="L794" s="8" t="s">
        <v>52</v>
      </c>
      <c r="M794" s="8">
        <v>1</v>
      </c>
      <c r="N794" s="10">
        <v>954.58</v>
      </c>
      <c r="O794" s="11">
        <v>0.3</v>
      </c>
      <c r="P794" s="10">
        <v>668.21</v>
      </c>
      <c r="Q794" s="10">
        <v>502.01</v>
      </c>
      <c r="R794" s="10">
        <v>166.2</v>
      </c>
      <c r="S794" s="8" t="s">
        <v>63</v>
      </c>
      <c r="T794" s="8" t="s">
        <v>64</v>
      </c>
      <c r="U794" s="8">
        <v>5</v>
      </c>
      <c r="V794" s="8" t="s">
        <v>123</v>
      </c>
    </row>
    <row r="795" spans="1:22" x14ac:dyDescent="0.3">
      <c r="A795" s="12" t="s">
        <v>1444</v>
      </c>
      <c r="B795" s="13">
        <v>45718</v>
      </c>
      <c r="C795" s="12" t="s">
        <v>23</v>
      </c>
      <c r="D795" s="12" t="s">
        <v>24</v>
      </c>
      <c r="E795" s="12" t="s">
        <v>25</v>
      </c>
      <c r="F795" s="12" t="s">
        <v>408</v>
      </c>
      <c r="G795" s="12" t="s">
        <v>41</v>
      </c>
      <c r="H795" s="12" t="s">
        <v>28</v>
      </c>
      <c r="I795" s="12" t="s">
        <v>29</v>
      </c>
      <c r="J795" s="12" t="s">
        <v>89</v>
      </c>
      <c r="K795" s="12" t="s">
        <v>90</v>
      </c>
      <c r="L795" s="12" t="s">
        <v>175</v>
      </c>
      <c r="M795" s="12">
        <v>2</v>
      </c>
      <c r="N795" s="14">
        <v>3331.81</v>
      </c>
      <c r="O795" s="15">
        <v>0.05</v>
      </c>
      <c r="P795" s="14">
        <v>6330.44</v>
      </c>
      <c r="Q795" s="14">
        <v>4391.4399999999996</v>
      </c>
      <c r="R795" s="14">
        <v>1939</v>
      </c>
      <c r="S795" s="12" t="s">
        <v>33</v>
      </c>
      <c r="T795" s="12" t="s">
        <v>156</v>
      </c>
      <c r="U795" s="12">
        <v>5</v>
      </c>
      <c r="V795" s="12" t="s">
        <v>55</v>
      </c>
    </row>
    <row r="796" spans="1:22" x14ac:dyDescent="0.3">
      <c r="A796" s="8" t="s">
        <v>1445</v>
      </c>
      <c r="B796" s="9">
        <v>45872</v>
      </c>
      <c r="C796" s="8" t="s">
        <v>37</v>
      </c>
      <c r="D796" s="8" t="s">
        <v>38</v>
      </c>
      <c r="E796" s="8" t="s">
        <v>39</v>
      </c>
      <c r="F796" s="8" t="s">
        <v>1446</v>
      </c>
      <c r="G796" s="8" t="s">
        <v>27</v>
      </c>
      <c r="H796" s="8" t="s">
        <v>94</v>
      </c>
      <c r="I796" s="8" t="s">
        <v>68</v>
      </c>
      <c r="J796" s="8" t="s">
        <v>89</v>
      </c>
      <c r="K796" s="8" t="s">
        <v>90</v>
      </c>
      <c r="L796" s="8" t="s">
        <v>175</v>
      </c>
      <c r="M796" s="8">
        <v>1</v>
      </c>
      <c r="N796" s="10">
        <v>3457.68</v>
      </c>
      <c r="O796" s="11">
        <v>0.05</v>
      </c>
      <c r="P796" s="10">
        <v>3284.8</v>
      </c>
      <c r="Q796" s="10">
        <v>2036.89</v>
      </c>
      <c r="R796" s="10">
        <v>1247.9100000000001</v>
      </c>
      <c r="S796" s="8" t="s">
        <v>33</v>
      </c>
      <c r="T796" s="8" t="s">
        <v>64</v>
      </c>
      <c r="U796" s="8">
        <v>3</v>
      </c>
      <c r="V796" s="8" t="s">
        <v>72</v>
      </c>
    </row>
    <row r="797" spans="1:22" x14ac:dyDescent="0.3">
      <c r="A797" s="12" t="s">
        <v>1447</v>
      </c>
      <c r="B797" s="13">
        <v>46017</v>
      </c>
      <c r="C797" s="12" t="s">
        <v>57</v>
      </c>
      <c r="D797" s="12" t="s">
        <v>58</v>
      </c>
      <c r="E797" s="12" t="s">
        <v>59</v>
      </c>
      <c r="F797" s="12" t="s">
        <v>251</v>
      </c>
      <c r="G797" s="12" t="s">
        <v>27</v>
      </c>
      <c r="H797" s="12" t="s">
        <v>94</v>
      </c>
      <c r="I797" s="12" t="s">
        <v>61</v>
      </c>
      <c r="J797" s="12" t="s">
        <v>75</v>
      </c>
      <c r="K797" s="12" t="s">
        <v>95</v>
      </c>
      <c r="L797" s="12" t="s">
        <v>45</v>
      </c>
      <c r="M797" s="12">
        <v>1</v>
      </c>
      <c r="N797" s="14">
        <v>23850.51</v>
      </c>
      <c r="O797" s="15">
        <v>0.25</v>
      </c>
      <c r="P797" s="14">
        <v>17887.88</v>
      </c>
      <c r="Q797" s="14">
        <v>18688.47</v>
      </c>
      <c r="R797" s="14">
        <v>-800.59</v>
      </c>
      <c r="S797" s="12" t="s">
        <v>53</v>
      </c>
      <c r="T797" s="12" t="s">
        <v>147</v>
      </c>
      <c r="U797" s="12">
        <v>4</v>
      </c>
      <c r="V797" s="12" t="s">
        <v>35</v>
      </c>
    </row>
    <row r="798" spans="1:22" x14ac:dyDescent="0.3">
      <c r="A798" s="8" t="s">
        <v>1448</v>
      </c>
      <c r="B798" s="9">
        <v>45992</v>
      </c>
      <c r="C798" s="8" t="s">
        <v>57</v>
      </c>
      <c r="D798" s="8" t="s">
        <v>58</v>
      </c>
      <c r="E798" s="8" t="s">
        <v>59</v>
      </c>
      <c r="F798" s="8" t="s">
        <v>1449</v>
      </c>
      <c r="G798" s="8" t="s">
        <v>41</v>
      </c>
      <c r="H798" s="8" t="s">
        <v>28</v>
      </c>
      <c r="I798" s="8" t="s">
        <v>61</v>
      </c>
      <c r="J798" s="8" t="s">
        <v>43</v>
      </c>
      <c r="K798" s="8" t="s">
        <v>44</v>
      </c>
      <c r="L798" s="8" t="s">
        <v>52</v>
      </c>
      <c r="M798" s="8">
        <v>3</v>
      </c>
      <c r="N798" s="10">
        <v>626.11</v>
      </c>
      <c r="O798" s="11">
        <v>0.1</v>
      </c>
      <c r="P798" s="10">
        <v>1690.5</v>
      </c>
      <c r="Q798" s="10">
        <v>766.34</v>
      </c>
      <c r="R798" s="10">
        <v>924.16</v>
      </c>
      <c r="S798" s="8" t="s">
        <v>83</v>
      </c>
      <c r="T798" s="8" t="s">
        <v>78</v>
      </c>
      <c r="U798" s="8">
        <v>5</v>
      </c>
      <c r="V798" s="8" t="s">
        <v>35</v>
      </c>
    </row>
    <row r="799" spans="1:22" x14ac:dyDescent="0.3">
      <c r="A799" s="12" t="s">
        <v>1450</v>
      </c>
      <c r="B799" s="13">
        <v>45731</v>
      </c>
      <c r="C799" s="12" t="s">
        <v>113</v>
      </c>
      <c r="D799" s="12" t="s">
        <v>114</v>
      </c>
      <c r="E799" s="12" t="s">
        <v>59</v>
      </c>
      <c r="F799" s="12" t="s">
        <v>1451</v>
      </c>
      <c r="G799" s="12" t="s">
        <v>27</v>
      </c>
      <c r="H799" s="12" t="s">
        <v>94</v>
      </c>
      <c r="I799" s="12" t="s">
        <v>68</v>
      </c>
      <c r="J799" s="12" t="s">
        <v>101</v>
      </c>
      <c r="K799" s="12" t="s">
        <v>110</v>
      </c>
      <c r="L799" s="12" t="s">
        <v>32</v>
      </c>
      <c r="M799" s="12">
        <v>3</v>
      </c>
      <c r="N799" s="14">
        <v>4764.41</v>
      </c>
      <c r="O799" s="15">
        <v>0.05</v>
      </c>
      <c r="P799" s="14">
        <v>13578.57</v>
      </c>
      <c r="Q799" s="14">
        <v>9269.16</v>
      </c>
      <c r="R799" s="14">
        <v>4309.41</v>
      </c>
      <c r="S799" s="12" t="s">
        <v>46</v>
      </c>
      <c r="T799" s="12" t="s">
        <v>156</v>
      </c>
      <c r="U799" s="12">
        <v>5</v>
      </c>
      <c r="V799" s="12" t="s">
        <v>55</v>
      </c>
    </row>
    <row r="800" spans="1:22" x14ac:dyDescent="0.3">
      <c r="A800" s="8" t="s">
        <v>1452</v>
      </c>
      <c r="B800" s="9">
        <v>46012</v>
      </c>
      <c r="C800" s="8" t="s">
        <v>113</v>
      </c>
      <c r="D800" s="8" t="s">
        <v>114</v>
      </c>
      <c r="E800" s="8" t="s">
        <v>59</v>
      </c>
      <c r="F800" s="8" t="s">
        <v>324</v>
      </c>
      <c r="G800" s="8" t="s">
        <v>41</v>
      </c>
      <c r="H800" s="8" t="s">
        <v>94</v>
      </c>
      <c r="I800" s="8" t="s">
        <v>29</v>
      </c>
      <c r="J800" s="8" t="s">
        <v>75</v>
      </c>
      <c r="K800" s="8" t="s">
        <v>76</v>
      </c>
      <c r="L800" s="8" t="s">
        <v>52</v>
      </c>
      <c r="M800" s="8">
        <v>5</v>
      </c>
      <c r="N800" s="10">
        <v>781.17</v>
      </c>
      <c r="O800" s="11">
        <v>0.25</v>
      </c>
      <c r="P800" s="10">
        <v>2929.39</v>
      </c>
      <c r="Q800" s="10">
        <v>1811.44</v>
      </c>
      <c r="R800" s="10">
        <v>1117.95</v>
      </c>
      <c r="S800" s="8" t="s">
        <v>83</v>
      </c>
      <c r="T800" s="8" t="s">
        <v>54</v>
      </c>
      <c r="U800" s="8">
        <v>5</v>
      </c>
      <c r="V800" s="8" t="s">
        <v>35</v>
      </c>
    </row>
    <row r="801" spans="1:22" x14ac:dyDescent="0.3">
      <c r="A801" s="12" t="s">
        <v>1453</v>
      </c>
      <c r="B801" s="13">
        <v>45936</v>
      </c>
      <c r="C801" s="12" t="s">
        <v>57</v>
      </c>
      <c r="D801" s="12" t="s">
        <v>58</v>
      </c>
      <c r="E801" s="12" t="s">
        <v>59</v>
      </c>
      <c r="F801" s="12" t="s">
        <v>354</v>
      </c>
      <c r="G801" s="12" t="s">
        <v>27</v>
      </c>
      <c r="H801" s="12" t="s">
        <v>42</v>
      </c>
      <c r="I801" s="12" t="s">
        <v>29</v>
      </c>
      <c r="J801" s="12" t="s">
        <v>43</v>
      </c>
      <c r="K801" s="12" t="s">
        <v>51</v>
      </c>
      <c r="L801" s="12" t="s">
        <v>91</v>
      </c>
      <c r="M801" s="12">
        <v>5</v>
      </c>
      <c r="N801" s="14">
        <v>1457.99</v>
      </c>
      <c r="O801" s="15">
        <v>0.05</v>
      </c>
      <c r="P801" s="14">
        <v>6925.45</v>
      </c>
      <c r="Q801" s="14">
        <v>3430.81</v>
      </c>
      <c r="R801" s="14">
        <v>3494.64</v>
      </c>
      <c r="S801" s="12" t="s">
        <v>63</v>
      </c>
      <c r="T801" s="12" t="s">
        <v>78</v>
      </c>
      <c r="U801" s="12">
        <v>3</v>
      </c>
      <c r="V801" s="12" t="s">
        <v>123</v>
      </c>
    </row>
    <row r="802" spans="1:22" x14ac:dyDescent="0.3">
      <c r="A802" s="8" t="s">
        <v>1454</v>
      </c>
      <c r="B802" s="9">
        <v>45919</v>
      </c>
      <c r="C802" s="8" t="s">
        <v>125</v>
      </c>
      <c r="D802" s="8" t="s">
        <v>126</v>
      </c>
      <c r="E802" s="8" t="s">
        <v>25</v>
      </c>
      <c r="F802" s="8" t="s">
        <v>1455</v>
      </c>
      <c r="G802" s="8" t="s">
        <v>41</v>
      </c>
      <c r="H802" s="8" t="s">
        <v>28</v>
      </c>
      <c r="I802" s="8" t="s">
        <v>29</v>
      </c>
      <c r="J802" s="8" t="s">
        <v>101</v>
      </c>
      <c r="K802" s="8" t="s">
        <v>102</v>
      </c>
      <c r="L802" s="8" t="s">
        <v>45</v>
      </c>
      <c r="M802" s="8">
        <v>1</v>
      </c>
      <c r="N802" s="10">
        <v>682.56</v>
      </c>
      <c r="O802" s="11">
        <v>0.1</v>
      </c>
      <c r="P802" s="10">
        <v>614.29999999999995</v>
      </c>
      <c r="Q802" s="10">
        <v>250.77</v>
      </c>
      <c r="R802" s="10">
        <v>363.53</v>
      </c>
      <c r="S802" s="8" t="s">
        <v>63</v>
      </c>
      <c r="T802" s="8" t="s">
        <v>147</v>
      </c>
      <c r="U802" s="8">
        <v>4</v>
      </c>
      <c r="V802" s="8" t="s">
        <v>116</v>
      </c>
    </row>
    <row r="803" spans="1:22" x14ac:dyDescent="0.3">
      <c r="A803" s="12" t="s">
        <v>1456</v>
      </c>
      <c r="B803" s="13">
        <v>45837</v>
      </c>
      <c r="C803" s="12" t="s">
        <v>57</v>
      </c>
      <c r="D803" s="12" t="s">
        <v>58</v>
      </c>
      <c r="E803" s="12" t="s">
        <v>59</v>
      </c>
      <c r="F803" s="12" t="s">
        <v>710</v>
      </c>
      <c r="G803" s="12" t="s">
        <v>27</v>
      </c>
      <c r="H803" s="12" t="s">
        <v>28</v>
      </c>
      <c r="I803" s="12" t="s">
        <v>68</v>
      </c>
      <c r="J803" s="12" t="s">
        <v>69</v>
      </c>
      <c r="K803" s="12" t="s">
        <v>70</v>
      </c>
      <c r="L803" s="12" t="s">
        <v>82</v>
      </c>
      <c r="M803" s="12">
        <v>3</v>
      </c>
      <c r="N803" s="14">
        <v>927.56</v>
      </c>
      <c r="O803" s="15">
        <v>0.3</v>
      </c>
      <c r="P803" s="14">
        <v>1947.88</v>
      </c>
      <c r="Q803" s="14">
        <v>1360.47</v>
      </c>
      <c r="R803" s="14">
        <v>587.41</v>
      </c>
      <c r="S803" s="12" t="s">
        <v>63</v>
      </c>
      <c r="T803" s="12" t="s">
        <v>64</v>
      </c>
      <c r="U803" s="12">
        <v>3</v>
      </c>
      <c r="V803" s="12" t="s">
        <v>157</v>
      </c>
    </row>
    <row r="804" spans="1:22" x14ac:dyDescent="0.3">
      <c r="A804" s="8" t="s">
        <v>1457</v>
      </c>
      <c r="B804" s="9">
        <v>45848</v>
      </c>
      <c r="C804" s="8" t="s">
        <v>98</v>
      </c>
      <c r="D804" s="8" t="s">
        <v>99</v>
      </c>
      <c r="E804" s="8" t="s">
        <v>25</v>
      </c>
      <c r="F804" s="8" t="s">
        <v>1458</v>
      </c>
      <c r="G804" s="8" t="s">
        <v>27</v>
      </c>
      <c r="H804" s="8" t="s">
        <v>94</v>
      </c>
      <c r="I804" s="8" t="s">
        <v>29</v>
      </c>
      <c r="J804" s="8" t="s">
        <v>101</v>
      </c>
      <c r="K804" s="8" t="s">
        <v>110</v>
      </c>
      <c r="L804" s="8" t="s">
        <v>52</v>
      </c>
      <c r="M804" s="8">
        <v>4</v>
      </c>
      <c r="N804" s="10">
        <v>4779.1499999999996</v>
      </c>
      <c r="O804" s="11">
        <v>0.25</v>
      </c>
      <c r="P804" s="10">
        <v>14337.45</v>
      </c>
      <c r="Q804" s="10">
        <v>13379.77</v>
      </c>
      <c r="R804" s="10">
        <v>957.68</v>
      </c>
      <c r="S804" s="8" t="s">
        <v>53</v>
      </c>
      <c r="T804" s="8" t="s">
        <v>64</v>
      </c>
      <c r="U804" s="8">
        <v>4</v>
      </c>
      <c r="V804" s="8" t="s">
        <v>120</v>
      </c>
    </row>
    <row r="805" spans="1:22" x14ac:dyDescent="0.3">
      <c r="A805" s="12" t="s">
        <v>1459</v>
      </c>
      <c r="B805" s="13">
        <v>45809</v>
      </c>
      <c r="C805" s="12" t="s">
        <v>37</v>
      </c>
      <c r="D805" s="12" t="s">
        <v>38</v>
      </c>
      <c r="E805" s="12" t="s">
        <v>39</v>
      </c>
      <c r="F805" s="12" t="s">
        <v>1460</v>
      </c>
      <c r="G805" s="12" t="s">
        <v>41</v>
      </c>
      <c r="H805" s="12" t="s">
        <v>81</v>
      </c>
      <c r="I805" s="12" t="s">
        <v>68</v>
      </c>
      <c r="J805" s="12" t="s">
        <v>75</v>
      </c>
      <c r="K805" s="12" t="s">
        <v>95</v>
      </c>
      <c r="L805" s="12" t="s">
        <v>77</v>
      </c>
      <c r="M805" s="12">
        <v>1</v>
      </c>
      <c r="N805" s="14">
        <v>25378.03</v>
      </c>
      <c r="O805" s="15">
        <v>0.25</v>
      </c>
      <c r="P805" s="14">
        <v>19033.52</v>
      </c>
      <c r="Q805" s="14">
        <v>17198.240000000002</v>
      </c>
      <c r="R805" s="14">
        <v>1835.28</v>
      </c>
      <c r="S805" s="12" t="s">
        <v>46</v>
      </c>
      <c r="T805" s="12" t="s">
        <v>147</v>
      </c>
      <c r="U805" s="12">
        <v>3</v>
      </c>
      <c r="V805" s="12" t="s">
        <v>157</v>
      </c>
    </row>
    <row r="806" spans="1:22" x14ac:dyDescent="0.3">
      <c r="A806" s="8" t="s">
        <v>1461</v>
      </c>
      <c r="B806" s="9">
        <v>45971</v>
      </c>
      <c r="C806" s="8" t="s">
        <v>86</v>
      </c>
      <c r="D806" s="8" t="s">
        <v>87</v>
      </c>
      <c r="E806" s="8" t="s">
        <v>59</v>
      </c>
      <c r="F806" s="8" t="s">
        <v>1462</v>
      </c>
      <c r="G806" s="8" t="s">
        <v>27</v>
      </c>
      <c r="H806" s="8" t="s">
        <v>28</v>
      </c>
      <c r="I806" s="8" t="s">
        <v>61</v>
      </c>
      <c r="J806" s="8" t="s">
        <v>75</v>
      </c>
      <c r="K806" s="8" t="s">
        <v>154</v>
      </c>
      <c r="L806" s="8" t="s">
        <v>91</v>
      </c>
      <c r="M806" s="8">
        <v>2</v>
      </c>
      <c r="N806" s="10">
        <v>2041.03</v>
      </c>
      <c r="O806" s="11">
        <v>0</v>
      </c>
      <c r="P806" s="10">
        <v>4082.06</v>
      </c>
      <c r="Q806" s="10">
        <v>2300.77</v>
      </c>
      <c r="R806" s="10">
        <v>1781.29</v>
      </c>
      <c r="S806" s="8" t="s">
        <v>53</v>
      </c>
      <c r="T806" s="8" t="s">
        <v>78</v>
      </c>
      <c r="U806" s="8">
        <v>5</v>
      </c>
      <c r="V806" s="8" t="s">
        <v>65</v>
      </c>
    </row>
    <row r="807" spans="1:22" x14ac:dyDescent="0.3">
      <c r="A807" s="12" t="s">
        <v>1463</v>
      </c>
      <c r="B807" s="13">
        <v>45966</v>
      </c>
      <c r="C807" s="12" t="s">
        <v>23</v>
      </c>
      <c r="D807" s="12" t="s">
        <v>24</v>
      </c>
      <c r="E807" s="12" t="s">
        <v>25</v>
      </c>
      <c r="F807" s="12" t="s">
        <v>1314</v>
      </c>
      <c r="G807" s="12" t="s">
        <v>27</v>
      </c>
      <c r="H807" s="12" t="s">
        <v>94</v>
      </c>
      <c r="I807" s="12" t="s">
        <v>61</v>
      </c>
      <c r="J807" s="12" t="s">
        <v>89</v>
      </c>
      <c r="K807" s="12" t="s">
        <v>151</v>
      </c>
      <c r="L807" s="12" t="s">
        <v>175</v>
      </c>
      <c r="M807" s="12">
        <v>1</v>
      </c>
      <c r="N807" s="14">
        <v>993.67</v>
      </c>
      <c r="O807" s="15">
        <v>0.15</v>
      </c>
      <c r="P807" s="14">
        <v>844.62</v>
      </c>
      <c r="Q807" s="14">
        <v>500.1</v>
      </c>
      <c r="R807" s="14">
        <v>344.52</v>
      </c>
      <c r="S807" s="12" t="s">
        <v>53</v>
      </c>
      <c r="T807" s="12" t="s">
        <v>71</v>
      </c>
      <c r="U807" s="12">
        <v>5</v>
      </c>
      <c r="V807" s="12" t="s">
        <v>65</v>
      </c>
    </row>
    <row r="808" spans="1:22" x14ac:dyDescent="0.3">
      <c r="A808" s="8" t="s">
        <v>1464</v>
      </c>
      <c r="B808" s="9">
        <v>45708</v>
      </c>
      <c r="C808" s="8" t="s">
        <v>37</v>
      </c>
      <c r="D808" s="8" t="s">
        <v>38</v>
      </c>
      <c r="E808" s="8" t="s">
        <v>39</v>
      </c>
      <c r="F808" s="8" t="s">
        <v>1465</v>
      </c>
      <c r="G808" s="8" t="s">
        <v>27</v>
      </c>
      <c r="H808" s="8" t="s">
        <v>42</v>
      </c>
      <c r="I808" s="8" t="s">
        <v>61</v>
      </c>
      <c r="J808" s="8" t="s">
        <v>30</v>
      </c>
      <c r="K808" s="8" t="s">
        <v>62</v>
      </c>
      <c r="L808" s="8" t="s">
        <v>82</v>
      </c>
      <c r="M808" s="8">
        <v>4</v>
      </c>
      <c r="N808" s="10">
        <v>967.3</v>
      </c>
      <c r="O808" s="11">
        <v>0.3</v>
      </c>
      <c r="P808" s="10">
        <v>2708.44</v>
      </c>
      <c r="Q808" s="10">
        <v>1865.08</v>
      </c>
      <c r="R808" s="10">
        <v>843.36</v>
      </c>
      <c r="S808" s="8" t="s">
        <v>83</v>
      </c>
      <c r="T808" s="8" t="s">
        <v>156</v>
      </c>
      <c r="U808" s="8">
        <v>3</v>
      </c>
      <c r="V808" s="8" t="s">
        <v>105</v>
      </c>
    </row>
    <row r="809" spans="1:22" x14ac:dyDescent="0.3">
      <c r="A809" s="12" t="s">
        <v>1466</v>
      </c>
      <c r="B809" s="13">
        <v>45680</v>
      </c>
      <c r="C809" s="12" t="s">
        <v>98</v>
      </c>
      <c r="D809" s="12" t="s">
        <v>99</v>
      </c>
      <c r="E809" s="12" t="s">
        <v>25</v>
      </c>
      <c r="F809" s="12" t="s">
        <v>933</v>
      </c>
      <c r="G809" s="12" t="s">
        <v>41</v>
      </c>
      <c r="H809" s="12" t="s">
        <v>94</v>
      </c>
      <c r="I809" s="12" t="s">
        <v>61</v>
      </c>
      <c r="J809" s="12" t="s">
        <v>69</v>
      </c>
      <c r="K809" s="12" t="s">
        <v>70</v>
      </c>
      <c r="L809" s="12" t="s">
        <v>175</v>
      </c>
      <c r="M809" s="12">
        <v>2</v>
      </c>
      <c r="N809" s="14">
        <v>935.34</v>
      </c>
      <c r="O809" s="15">
        <v>0.05</v>
      </c>
      <c r="P809" s="14">
        <v>1777.15</v>
      </c>
      <c r="Q809" s="14">
        <v>903.88</v>
      </c>
      <c r="R809" s="14">
        <v>873.27</v>
      </c>
      <c r="S809" s="12" t="s">
        <v>53</v>
      </c>
      <c r="T809" s="12" t="s">
        <v>71</v>
      </c>
      <c r="U809" s="12">
        <v>5</v>
      </c>
      <c r="V809" s="12" t="s">
        <v>84</v>
      </c>
    </row>
    <row r="810" spans="1:22" x14ac:dyDescent="0.3">
      <c r="A810" s="8" t="s">
        <v>1467</v>
      </c>
      <c r="B810" s="9">
        <v>45959</v>
      </c>
      <c r="C810" s="8" t="s">
        <v>131</v>
      </c>
      <c r="D810" s="8" t="s">
        <v>132</v>
      </c>
      <c r="E810" s="8" t="s">
        <v>25</v>
      </c>
      <c r="F810" s="8" t="s">
        <v>257</v>
      </c>
      <c r="G810" s="8" t="s">
        <v>41</v>
      </c>
      <c r="H810" s="8" t="s">
        <v>42</v>
      </c>
      <c r="I810" s="8" t="s">
        <v>29</v>
      </c>
      <c r="J810" s="8" t="s">
        <v>89</v>
      </c>
      <c r="K810" s="8" t="s">
        <v>90</v>
      </c>
      <c r="L810" s="8" t="s">
        <v>32</v>
      </c>
      <c r="M810" s="8">
        <v>3</v>
      </c>
      <c r="N810" s="10">
        <v>3510.88</v>
      </c>
      <c r="O810" s="11">
        <v>0.05</v>
      </c>
      <c r="P810" s="10">
        <v>10006.01</v>
      </c>
      <c r="Q810" s="10">
        <v>6367.03</v>
      </c>
      <c r="R810" s="10">
        <v>3638.98</v>
      </c>
      <c r="S810" s="8" t="s">
        <v>83</v>
      </c>
      <c r="T810" s="8" t="s">
        <v>156</v>
      </c>
      <c r="U810" s="8">
        <v>4</v>
      </c>
      <c r="V810" s="8" t="s">
        <v>123</v>
      </c>
    </row>
    <row r="811" spans="1:22" x14ac:dyDescent="0.3">
      <c r="A811" s="12" t="s">
        <v>1468</v>
      </c>
      <c r="B811" s="13">
        <v>45692</v>
      </c>
      <c r="C811" s="12" t="s">
        <v>57</v>
      </c>
      <c r="D811" s="12" t="s">
        <v>58</v>
      </c>
      <c r="E811" s="12" t="s">
        <v>59</v>
      </c>
      <c r="F811" s="12" t="s">
        <v>1165</v>
      </c>
      <c r="G811" s="12" t="s">
        <v>41</v>
      </c>
      <c r="H811" s="12" t="s">
        <v>28</v>
      </c>
      <c r="I811" s="12" t="s">
        <v>29</v>
      </c>
      <c r="J811" s="12" t="s">
        <v>43</v>
      </c>
      <c r="K811" s="12" t="s">
        <v>51</v>
      </c>
      <c r="L811" s="12" t="s">
        <v>175</v>
      </c>
      <c r="M811" s="12">
        <v>4</v>
      </c>
      <c r="N811" s="14">
        <v>1456.07</v>
      </c>
      <c r="O811" s="15">
        <v>0.2</v>
      </c>
      <c r="P811" s="14">
        <v>4659.42</v>
      </c>
      <c r="Q811" s="14">
        <v>2863.89</v>
      </c>
      <c r="R811" s="14">
        <v>1795.53</v>
      </c>
      <c r="S811" s="12" t="s">
        <v>63</v>
      </c>
      <c r="T811" s="12" t="s">
        <v>119</v>
      </c>
      <c r="U811" s="12">
        <v>4</v>
      </c>
      <c r="V811" s="12" t="s">
        <v>105</v>
      </c>
    </row>
    <row r="812" spans="1:22" x14ac:dyDescent="0.3">
      <c r="A812" s="8" t="s">
        <v>1469</v>
      </c>
      <c r="B812" s="9">
        <v>45693</v>
      </c>
      <c r="C812" s="8" t="s">
        <v>48</v>
      </c>
      <c r="D812" s="8" t="s">
        <v>49</v>
      </c>
      <c r="E812" s="8" t="s">
        <v>39</v>
      </c>
      <c r="F812" s="8" t="s">
        <v>664</v>
      </c>
      <c r="G812" s="8" t="s">
        <v>41</v>
      </c>
      <c r="H812" s="8" t="s">
        <v>81</v>
      </c>
      <c r="I812" s="8" t="s">
        <v>68</v>
      </c>
      <c r="J812" s="8" t="s">
        <v>89</v>
      </c>
      <c r="K812" s="8" t="s">
        <v>90</v>
      </c>
      <c r="L812" s="8" t="s">
        <v>91</v>
      </c>
      <c r="M812" s="8">
        <v>1</v>
      </c>
      <c r="N812" s="10">
        <v>3639.52</v>
      </c>
      <c r="O812" s="11">
        <v>0.1</v>
      </c>
      <c r="P812" s="10">
        <v>3275.57</v>
      </c>
      <c r="Q812" s="10">
        <v>2034.79</v>
      </c>
      <c r="R812" s="10">
        <v>1240.78</v>
      </c>
      <c r="S812" s="8" t="s">
        <v>33</v>
      </c>
      <c r="T812" s="8" t="s">
        <v>147</v>
      </c>
      <c r="U812" s="8">
        <v>5</v>
      </c>
      <c r="V812" s="8" t="s">
        <v>105</v>
      </c>
    </row>
    <row r="813" spans="1:22" x14ac:dyDescent="0.3">
      <c r="A813" s="12" t="s">
        <v>1470</v>
      </c>
      <c r="B813" s="13">
        <v>45823</v>
      </c>
      <c r="C813" s="12" t="s">
        <v>23</v>
      </c>
      <c r="D813" s="12" t="s">
        <v>24</v>
      </c>
      <c r="E813" s="12" t="s">
        <v>25</v>
      </c>
      <c r="F813" s="12" t="s">
        <v>271</v>
      </c>
      <c r="G813" s="12" t="s">
        <v>41</v>
      </c>
      <c r="H813" s="12" t="s">
        <v>42</v>
      </c>
      <c r="I813" s="12" t="s">
        <v>61</v>
      </c>
      <c r="J813" s="12" t="s">
        <v>89</v>
      </c>
      <c r="K813" s="12" t="s">
        <v>151</v>
      </c>
      <c r="L813" s="12" t="s">
        <v>77</v>
      </c>
      <c r="M813" s="12">
        <v>1</v>
      </c>
      <c r="N813" s="14">
        <v>967.82</v>
      </c>
      <c r="O813" s="15">
        <v>0.3</v>
      </c>
      <c r="P813" s="14">
        <v>677.47</v>
      </c>
      <c r="Q813" s="14">
        <v>522.08000000000004</v>
      </c>
      <c r="R813" s="14">
        <v>155.38999999999999</v>
      </c>
      <c r="S813" s="12" t="s">
        <v>83</v>
      </c>
      <c r="T813" s="12" t="s">
        <v>104</v>
      </c>
      <c r="U813" s="12">
        <v>3</v>
      </c>
      <c r="V813" s="12" t="s">
        <v>157</v>
      </c>
    </row>
    <row r="814" spans="1:22" x14ac:dyDescent="0.3">
      <c r="A814" s="8" t="s">
        <v>1471</v>
      </c>
      <c r="B814" s="9">
        <v>45663</v>
      </c>
      <c r="C814" s="8" t="s">
        <v>48</v>
      </c>
      <c r="D814" s="8" t="s">
        <v>49</v>
      </c>
      <c r="E814" s="8" t="s">
        <v>39</v>
      </c>
      <c r="F814" s="8" t="s">
        <v>1026</v>
      </c>
      <c r="G814" s="8" t="s">
        <v>27</v>
      </c>
      <c r="H814" s="8" t="s">
        <v>81</v>
      </c>
      <c r="I814" s="8" t="s">
        <v>68</v>
      </c>
      <c r="J814" s="8" t="s">
        <v>75</v>
      </c>
      <c r="K814" s="8" t="s">
        <v>154</v>
      </c>
      <c r="L814" s="8" t="s">
        <v>103</v>
      </c>
      <c r="M814" s="8">
        <v>2</v>
      </c>
      <c r="N814" s="10">
        <v>2053.8200000000002</v>
      </c>
      <c r="O814" s="11">
        <v>0.25</v>
      </c>
      <c r="P814" s="10">
        <v>3080.73</v>
      </c>
      <c r="Q814" s="10">
        <v>2248.3000000000002</v>
      </c>
      <c r="R814" s="10">
        <v>832.43</v>
      </c>
      <c r="S814" s="8" t="s">
        <v>53</v>
      </c>
      <c r="T814" s="8" t="s">
        <v>34</v>
      </c>
      <c r="U814" s="8">
        <v>5</v>
      </c>
      <c r="V814" s="8" t="s">
        <v>84</v>
      </c>
    </row>
    <row r="815" spans="1:22" x14ac:dyDescent="0.3">
      <c r="A815" s="12" t="s">
        <v>1472</v>
      </c>
      <c r="B815" s="13">
        <v>45898</v>
      </c>
      <c r="C815" s="12" t="s">
        <v>57</v>
      </c>
      <c r="D815" s="12" t="s">
        <v>58</v>
      </c>
      <c r="E815" s="12" t="s">
        <v>59</v>
      </c>
      <c r="F815" s="12" t="s">
        <v>1473</v>
      </c>
      <c r="G815" s="12" t="s">
        <v>41</v>
      </c>
      <c r="H815" s="12" t="s">
        <v>81</v>
      </c>
      <c r="I815" s="12" t="s">
        <v>29</v>
      </c>
      <c r="J815" s="12" t="s">
        <v>101</v>
      </c>
      <c r="K815" s="12" t="s">
        <v>110</v>
      </c>
      <c r="L815" s="12" t="s">
        <v>82</v>
      </c>
      <c r="M815" s="12">
        <v>2</v>
      </c>
      <c r="N815" s="14">
        <v>4758.43</v>
      </c>
      <c r="O815" s="15">
        <v>0</v>
      </c>
      <c r="P815" s="14">
        <v>9516.86</v>
      </c>
      <c r="Q815" s="14">
        <v>6359.08</v>
      </c>
      <c r="R815" s="14">
        <v>3157.78</v>
      </c>
      <c r="S815" s="12" t="s">
        <v>53</v>
      </c>
      <c r="T815" s="12" t="s">
        <v>64</v>
      </c>
      <c r="U815" s="12">
        <v>3</v>
      </c>
      <c r="V815" s="12" t="s">
        <v>72</v>
      </c>
    </row>
    <row r="816" spans="1:22" x14ac:dyDescent="0.3">
      <c r="A816" s="8" t="s">
        <v>1474</v>
      </c>
      <c r="B816" s="9">
        <v>45827</v>
      </c>
      <c r="C816" s="8" t="s">
        <v>98</v>
      </c>
      <c r="D816" s="8" t="s">
        <v>99</v>
      </c>
      <c r="E816" s="8" t="s">
        <v>25</v>
      </c>
      <c r="F816" s="8" t="s">
        <v>542</v>
      </c>
      <c r="G816" s="8" t="s">
        <v>41</v>
      </c>
      <c r="H816" s="8" t="s">
        <v>81</v>
      </c>
      <c r="I816" s="8" t="s">
        <v>68</v>
      </c>
      <c r="J816" s="8" t="s">
        <v>69</v>
      </c>
      <c r="K816" s="8" t="s">
        <v>137</v>
      </c>
      <c r="L816" s="8" t="s">
        <v>103</v>
      </c>
      <c r="M816" s="8">
        <v>5</v>
      </c>
      <c r="N816" s="10">
        <v>508.3</v>
      </c>
      <c r="O816" s="11">
        <v>0.05</v>
      </c>
      <c r="P816" s="10">
        <v>2414.42</v>
      </c>
      <c r="Q816" s="10">
        <v>1146.8499999999999</v>
      </c>
      <c r="R816" s="10">
        <v>1267.57</v>
      </c>
      <c r="S816" s="8" t="s">
        <v>33</v>
      </c>
      <c r="T816" s="8" t="s">
        <v>54</v>
      </c>
      <c r="U816" s="8">
        <v>3</v>
      </c>
      <c r="V816" s="8" t="s">
        <v>157</v>
      </c>
    </row>
    <row r="817" spans="1:22" x14ac:dyDescent="0.3">
      <c r="A817" s="12" t="s">
        <v>1475</v>
      </c>
      <c r="B817" s="13">
        <v>45962</v>
      </c>
      <c r="C817" s="12" t="s">
        <v>48</v>
      </c>
      <c r="D817" s="12" t="s">
        <v>49</v>
      </c>
      <c r="E817" s="12" t="s">
        <v>39</v>
      </c>
      <c r="F817" s="12" t="s">
        <v>1476</v>
      </c>
      <c r="G817" s="12" t="s">
        <v>41</v>
      </c>
      <c r="H817" s="12" t="s">
        <v>81</v>
      </c>
      <c r="I817" s="12" t="s">
        <v>68</v>
      </c>
      <c r="J817" s="12" t="s">
        <v>75</v>
      </c>
      <c r="K817" s="12" t="s">
        <v>95</v>
      </c>
      <c r="L817" s="12" t="s">
        <v>103</v>
      </c>
      <c r="M817" s="12">
        <v>1</v>
      </c>
      <c r="N817" s="14">
        <v>26094.75</v>
      </c>
      <c r="O817" s="15">
        <v>0.1</v>
      </c>
      <c r="P817" s="14">
        <v>23485.279999999999</v>
      </c>
      <c r="Q817" s="14">
        <v>18417.650000000001</v>
      </c>
      <c r="R817" s="14">
        <v>5067.63</v>
      </c>
      <c r="S817" s="12" t="s">
        <v>46</v>
      </c>
      <c r="T817" s="12" t="s">
        <v>111</v>
      </c>
      <c r="U817" s="12">
        <v>5</v>
      </c>
      <c r="V817" s="12" t="s">
        <v>65</v>
      </c>
    </row>
    <row r="818" spans="1:22" x14ac:dyDescent="0.3">
      <c r="A818" s="8" t="s">
        <v>1477</v>
      </c>
      <c r="B818" s="9">
        <v>45737</v>
      </c>
      <c r="C818" s="8" t="s">
        <v>98</v>
      </c>
      <c r="D818" s="8" t="s">
        <v>99</v>
      </c>
      <c r="E818" s="8" t="s">
        <v>25</v>
      </c>
      <c r="F818" s="8" t="s">
        <v>1132</v>
      </c>
      <c r="G818" s="8" t="s">
        <v>41</v>
      </c>
      <c r="H818" s="8" t="s">
        <v>42</v>
      </c>
      <c r="I818" s="8" t="s">
        <v>61</v>
      </c>
      <c r="J818" s="8" t="s">
        <v>30</v>
      </c>
      <c r="K818" s="8" t="s">
        <v>144</v>
      </c>
      <c r="L818" s="8" t="s">
        <v>52</v>
      </c>
      <c r="M818" s="8">
        <v>5</v>
      </c>
      <c r="N818" s="10">
        <v>2587.48</v>
      </c>
      <c r="O818" s="11">
        <v>0</v>
      </c>
      <c r="P818" s="10">
        <v>12937.4</v>
      </c>
      <c r="Q818" s="10">
        <v>7605.2</v>
      </c>
      <c r="R818" s="10">
        <v>5332.2</v>
      </c>
      <c r="S818" s="8" t="s">
        <v>53</v>
      </c>
      <c r="T818" s="8" t="s">
        <v>111</v>
      </c>
      <c r="U818" s="8">
        <v>3</v>
      </c>
      <c r="V818" s="8" t="s">
        <v>55</v>
      </c>
    </row>
    <row r="819" spans="1:22" x14ac:dyDescent="0.3">
      <c r="A819" s="12" t="s">
        <v>1478</v>
      </c>
      <c r="B819" s="13">
        <v>45932</v>
      </c>
      <c r="C819" s="12" t="s">
        <v>37</v>
      </c>
      <c r="D819" s="12" t="s">
        <v>38</v>
      </c>
      <c r="E819" s="12" t="s">
        <v>39</v>
      </c>
      <c r="F819" s="12" t="s">
        <v>753</v>
      </c>
      <c r="G819" s="12" t="s">
        <v>41</v>
      </c>
      <c r="H819" s="12" t="s">
        <v>94</v>
      </c>
      <c r="I819" s="12" t="s">
        <v>68</v>
      </c>
      <c r="J819" s="12" t="s">
        <v>75</v>
      </c>
      <c r="K819" s="12" t="s">
        <v>76</v>
      </c>
      <c r="L819" s="12" t="s">
        <v>82</v>
      </c>
      <c r="M819" s="12">
        <v>5</v>
      </c>
      <c r="N819" s="14">
        <v>809.82</v>
      </c>
      <c r="O819" s="15">
        <v>0.25</v>
      </c>
      <c r="P819" s="14">
        <v>3036.83</v>
      </c>
      <c r="Q819" s="14">
        <v>1722.19</v>
      </c>
      <c r="R819" s="14">
        <v>1314.64</v>
      </c>
      <c r="S819" s="12" t="s">
        <v>53</v>
      </c>
      <c r="T819" s="12" t="s">
        <v>156</v>
      </c>
      <c r="U819" s="12">
        <v>3</v>
      </c>
      <c r="V819" s="12" t="s">
        <v>123</v>
      </c>
    </row>
    <row r="820" spans="1:22" x14ac:dyDescent="0.3">
      <c r="A820" s="8" t="s">
        <v>1479</v>
      </c>
      <c r="B820" s="9">
        <v>45959</v>
      </c>
      <c r="C820" s="8" t="s">
        <v>125</v>
      </c>
      <c r="D820" s="8" t="s">
        <v>126</v>
      </c>
      <c r="E820" s="8" t="s">
        <v>25</v>
      </c>
      <c r="F820" s="8" t="s">
        <v>127</v>
      </c>
      <c r="G820" s="8" t="s">
        <v>27</v>
      </c>
      <c r="H820" s="8" t="s">
        <v>42</v>
      </c>
      <c r="I820" s="8" t="s">
        <v>68</v>
      </c>
      <c r="J820" s="8" t="s">
        <v>43</v>
      </c>
      <c r="K820" s="8" t="s">
        <v>51</v>
      </c>
      <c r="L820" s="8" t="s">
        <v>103</v>
      </c>
      <c r="M820" s="8">
        <v>1</v>
      </c>
      <c r="N820" s="10">
        <v>1525.6</v>
      </c>
      <c r="O820" s="11">
        <v>0.15</v>
      </c>
      <c r="P820" s="10">
        <v>1296.76</v>
      </c>
      <c r="Q820" s="10">
        <v>678.49</v>
      </c>
      <c r="R820" s="10">
        <v>618.27</v>
      </c>
      <c r="S820" s="8" t="s">
        <v>83</v>
      </c>
      <c r="T820" s="8" t="s">
        <v>111</v>
      </c>
      <c r="U820" s="8">
        <v>4</v>
      </c>
      <c r="V820" s="8" t="s">
        <v>123</v>
      </c>
    </row>
    <row r="821" spans="1:22" x14ac:dyDescent="0.3">
      <c r="A821" s="12" t="s">
        <v>1480</v>
      </c>
      <c r="B821" s="13">
        <v>45866</v>
      </c>
      <c r="C821" s="12" t="s">
        <v>23</v>
      </c>
      <c r="D821" s="12" t="s">
        <v>24</v>
      </c>
      <c r="E821" s="12" t="s">
        <v>25</v>
      </c>
      <c r="F821" s="12" t="s">
        <v>534</v>
      </c>
      <c r="G821" s="12" t="s">
        <v>41</v>
      </c>
      <c r="H821" s="12" t="s">
        <v>42</v>
      </c>
      <c r="I821" s="12" t="s">
        <v>61</v>
      </c>
      <c r="J821" s="12" t="s">
        <v>30</v>
      </c>
      <c r="K821" s="12" t="s">
        <v>31</v>
      </c>
      <c r="L821" s="12" t="s">
        <v>45</v>
      </c>
      <c r="M821" s="12">
        <v>4</v>
      </c>
      <c r="N821" s="14">
        <v>3938.22</v>
      </c>
      <c r="O821" s="15">
        <v>0.2</v>
      </c>
      <c r="P821" s="14">
        <v>12602.3</v>
      </c>
      <c r="Q821" s="14">
        <v>8786.7000000000007</v>
      </c>
      <c r="R821" s="14">
        <v>3815.6</v>
      </c>
      <c r="S821" s="12" t="s">
        <v>46</v>
      </c>
      <c r="T821" s="12" t="s">
        <v>119</v>
      </c>
      <c r="U821" s="12">
        <v>3</v>
      </c>
      <c r="V821" s="12" t="s">
        <v>120</v>
      </c>
    </row>
    <row r="822" spans="1:22" x14ac:dyDescent="0.3">
      <c r="A822" s="8" t="s">
        <v>1481</v>
      </c>
      <c r="B822" s="9">
        <v>45759</v>
      </c>
      <c r="C822" s="8" t="s">
        <v>131</v>
      </c>
      <c r="D822" s="8" t="s">
        <v>132</v>
      </c>
      <c r="E822" s="8" t="s">
        <v>25</v>
      </c>
      <c r="F822" s="8" t="s">
        <v>1482</v>
      </c>
      <c r="G822" s="8" t="s">
        <v>41</v>
      </c>
      <c r="H822" s="8" t="s">
        <v>81</v>
      </c>
      <c r="I822" s="8" t="s">
        <v>68</v>
      </c>
      <c r="J822" s="8" t="s">
        <v>43</v>
      </c>
      <c r="K822" s="8" t="s">
        <v>44</v>
      </c>
      <c r="L822" s="8" t="s">
        <v>103</v>
      </c>
      <c r="M822" s="8">
        <v>4</v>
      </c>
      <c r="N822" s="10">
        <v>621.96</v>
      </c>
      <c r="O822" s="11">
        <v>0.2</v>
      </c>
      <c r="P822" s="10">
        <v>1990.27</v>
      </c>
      <c r="Q822" s="10">
        <v>1006.78</v>
      </c>
      <c r="R822" s="10">
        <v>983.49</v>
      </c>
      <c r="S822" s="8" t="s">
        <v>33</v>
      </c>
      <c r="T822" s="8" t="s">
        <v>104</v>
      </c>
      <c r="U822" s="8">
        <v>3</v>
      </c>
      <c r="V822" s="8" t="s">
        <v>96</v>
      </c>
    </row>
    <row r="823" spans="1:22" x14ac:dyDescent="0.3">
      <c r="A823" s="12" t="s">
        <v>1483</v>
      </c>
      <c r="B823" s="13">
        <v>45888</v>
      </c>
      <c r="C823" s="12" t="s">
        <v>107</v>
      </c>
      <c r="D823" s="12" t="s">
        <v>108</v>
      </c>
      <c r="E823" s="12" t="s">
        <v>39</v>
      </c>
      <c r="F823" s="12" t="s">
        <v>1484</v>
      </c>
      <c r="G823" s="12" t="s">
        <v>41</v>
      </c>
      <c r="H823" s="12" t="s">
        <v>28</v>
      </c>
      <c r="I823" s="12" t="s">
        <v>61</v>
      </c>
      <c r="J823" s="12" t="s">
        <v>101</v>
      </c>
      <c r="K823" s="12" t="s">
        <v>102</v>
      </c>
      <c r="L823" s="12" t="s">
        <v>103</v>
      </c>
      <c r="M823" s="12">
        <v>4</v>
      </c>
      <c r="N823" s="14">
        <v>693.25</v>
      </c>
      <c r="O823" s="15">
        <v>0.25</v>
      </c>
      <c r="P823" s="14">
        <v>2079.75</v>
      </c>
      <c r="Q823" s="14">
        <v>959.78</v>
      </c>
      <c r="R823" s="14">
        <v>1119.97</v>
      </c>
      <c r="S823" s="12" t="s">
        <v>63</v>
      </c>
      <c r="T823" s="12" t="s">
        <v>71</v>
      </c>
      <c r="U823" s="12">
        <v>3</v>
      </c>
      <c r="V823" s="12" t="s">
        <v>72</v>
      </c>
    </row>
    <row r="824" spans="1:22" x14ac:dyDescent="0.3">
      <c r="A824" s="8" t="s">
        <v>1485</v>
      </c>
      <c r="B824" s="9">
        <v>45852</v>
      </c>
      <c r="C824" s="8" t="s">
        <v>131</v>
      </c>
      <c r="D824" s="8" t="s">
        <v>132</v>
      </c>
      <c r="E824" s="8" t="s">
        <v>25</v>
      </c>
      <c r="F824" s="8" t="s">
        <v>1486</v>
      </c>
      <c r="G824" s="8" t="s">
        <v>41</v>
      </c>
      <c r="H824" s="8" t="s">
        <v>28</v>
      </c>
      <c r="I824" s="8" t="s">
        <v>29</v>
      </c>
      <c r="J824" s="8" t="s">
        <v>75</v>
      </c>
      <c r="K824" s="8" t="s">
        <v>154</v>
      </c>
      <c r="L824" s="8" t="s">
        <v>45</v>
      </c>
      <c r="M824" s="8">
        <v>4</v>
      </c>
      <c r="N824" s="10">
        <v>1961.78</v>
      </c>
      <c r="O824" s="11">
        <v>0.15</v>
      </c>
      <c r="P824" s="10">
        <v>6670.05</v>
      </c>
      <c r="Q824" s="10">
        <v>4298.5</v>
      </c>
      <c r="R824" s="10">
        <v>2371.5500000000002</v>
      </c>
      <c r="S824" s="8" t="s">
        <v>53</v>
      </c>
      <c r="T824" s="8" t="s">
        <v>119</v>
      </c>
      <c r="U824" s="8">
        <v>4</v>
      </c>
      <c r="V824" s="8" t="s">
        <v>120</v>
      </c>
    </row>
    <row r="825" spans="1:22" x14ac:dyDescent="0.3">
      <c r="A825" s="12" t="s">
        <v>1487</v>
      </c>
      <c r="B825" s="13">
        <v>45700</v>
      </c>
      <c r="C825" s="12" t="s">
        <v>98</v>
      </c>
      <c r="D825" s="12" t="s">
        <v>99</v>
      </c>
      <c r="E825" s="12" t="s">
        <v>25</v>
      </c>
      <c r="F825" s="12" t="s">
        <v>610</v>
      </c>
      <c r="G825" s="12" t="s">
        <v>41</v>
      </c>
      <c r="H825" s="12" t="s">
        <v>94</v>
      </c>
      <c r="I825" s="12" t="s">
        <v>68</v>
      </c>
      <c r="J825" s="12" t="s">
        <v>69</v>
      </c>
      <c r="K825" s="12" t="s">
        <v>180</v>
      </c>
      <c r="L825" s="12" t="s">
        <v>45</v>
      </c>
      <c r="M825" s="12">
        <v>4</v>
      </c>
      <c r="N825" s="14">
        <v>1549.41</v>
      </c>
      <c r="O825" s="15">
        <v>0</v>
      </c>
      <c r="P825" s="14">
        <v>6197.64</v>
      </c>
      <c r="Q825" s="14">
        <v>3379.14</v>
      </c>
      <c r="R825" s="14">
        <v>2818.5</v>
      </c>
      <c r="S825" s="12" t="s">
        <v>83</v>
      </c>
      <c r="T825" s="12" t="s">
        <v>111</v>
      </c>
      <c r="U825" s="12">
        <v>4</v>
      </c>
      <c r="V825" s="12" t="s">
        <v>105</v>
      </c>
    </row>
    <row r="826" spans="1:22" x14ac:dyDescent="0.3">
      <c r="A826" s="8" t="s">
        <v>1488</v>
      </c>
      <c r="B826" s="9">
        <v>45957</v>
      </c>
      <c r="C826" s="8" t="s">
        <v>113</v>
      </c>
      <c r="D826" s="8" t="s">
        <v>114</v>
      </c>
      <c r="E826" s="8" t="s">
        <v>59</v>
      </c>
      <c r="F826" s="8" t="s">
        <v>638</v>
      </c>
      <c r="G826" s="8" t="s">
        <v>41</v>
      </c>
      <c r="H826" s="8" t="s">
        <v>94</v>
      </c>
      <c r="I826" s="8" t="s">
        <v>29</v>
      </c>
      <c r="J826" s="8" t="s">
        <v>101</v>
      </c>
      <c r="K826" s="8" t="s">
        <v>217</v>
      </c>
      <c r="L826" s="8" t="s">
        <v>103</v>
      </c>
      <c r="M826" s="8">
        <v>5</v>
      </c>
      <c r="N826" s="10">
        <v>3095.5</v>
      </c>
      <c r="O826" s="11">
        <v>0.2</v>
      </c>
      <c r="P826" s="10">
        <v>12382</v>
      </c>
      <c r="Q826" s="10">
        <v>8231.89</v>
      </c>
      <c r="R826" s="10">
        <v>4150.1099999999997</v>
      </c>
      <c r="S826" s="8" t="s">
        <v>53</v>
      </c>
      <c r="T826" s="8" t="s">
        <v>78</v>
      </c>
      <c r="U826" s="8">
        <v>3</v>
      </c>
      <c r="V826" s="8" t="s">
        <v>123</v>
      </c>
    </row>
    <row r="827" spans="1:22" x14ac:dyDescent="0.3">
      <c r="A827" s="12" t="s">
        <v>1489</v>
      </c>
      <c r="B827" s="13">
        <v>45815</v>
      </c>
      <c r="C827" s="12" t="s">
        <v>98</v>
      </c>
      <c r="D827" s="12" t="s">
        <v>99</v>
      </c>
      <c r="E827" s="12" t="s">
        <v>25</v>
      </c>
      <c r="F827" s="12" t="s">
        <v>1394</v>
      </c>
      <c r="G827" s="12" t="s">
        <v>41</v>
      </c>
      <c r="H827" s="12" t="s">
        <v>94</v>
      </c>
      <c r="I827" s="12" t="s">
        <v>61</v>
      </c>
      <c r="J827" s="12" t="s">
        <v>75</v>
      </c>
      <c r="K827" s="12" t="s">
        <v>76</v>
      </c>
      <c r="L827" s="12" t="s">
        <v>45</v>
      </c>
      <c r="M827" s="12">
        <v>5</v>
      </c>
      <c r="N827" s="14">
        <v>795.4</v>
      </c>
      <c r="O827" s="15">
        <v>0.05</v>
      </c>
      <c r="P827" s="14">
        <v>3778.15</v>
      </c>
      <c r="Q827" s="14">
        <v>1690.4</v>
      </c>
      <c r="R827" s="14">
        <v>2087.75</v>
      </c>
      <c r="S827" s="12" t="s">
        <v>46</v>
      </c>
      <c r="T827" s="12" t="s">
        <v>71</v>
      </c>
      <c r="U827" s="12">
        <v>3</v>
      </c>
      <c r="V827" s="12" t="s">
        <v>157</v>
      </c>
    </row>
    <row r="828" spans="1:22" x14ac:dyDescent="0.3">
      <c r="A828" s="8" t="s">
        <v>1490</v>
      </c>
      <c r="B828" s="9">
        <v>45751</v>
      </c>
      <c r="C828" s="8" t="s">
        <v>113</v>
      </c>
      <c r="D828" s="8" t="s">
        <v>114</v>
      </c>
      <c r="E828" s="8" t="s">
        <v>59</v>
      </c>
      <c r="F828" s="8" t="s">
        <v>1197</v>
      </c>
      <c r="G828" s="8" t="s">
        <v>27</v>
      </c>
      <c r="H828" s="8" t="s">
        <v>81</v>
      </c>
      <c r="I828" s="8" t="s">
        <v>61</v>
      </c>
      <c r="J828" s="8" t="s">
        <v>89</v>
      </c>
      <c r="K828" s="8" t="s">
        <v>89</v>
      </c>
      <c r="L828" s="8" t="s">
        <v>32</v>
      </c>
      <c r="M828" s="8">
        <v>4</v>
      </c>
      <c r="N828" s="10">
        <v>1358.11</v>
      </c>
      <c r="O828" s="11">
        <v>0.3</v>
      </c>
      <c r="P828" s="10">
        <v>3802.71</v>
      </c>
      <c r="Q828" s="10">
        <v>2860.92</v>
      </c>
      <c r="R828" s="10">
        <v>941.79</v>
      </c>
      <c r="S828" s="8" t="s">
        <v>53</v>
      </c>
      <c r="T828" s="8" t="s">
        <v>64</v>
      </c>
      <c r="U828" s="8">
        <v>3</v>
      </c>
      <c r="V828" s="8" t="s">
        <v>96</v>
      </c>
    </row>
    <row r="829" spans="1:22" x14ac:dyDescent="0.3">
      <c r="A829" s="12" t="s">
        <v>1491</v>
      </c>
      <c r="B829" s="13">
        <v>45776</v>
      </c>
      <c r="C829" s="12" t="s">
        <v>23</v>
      </c>
      <c r="D829" s="12" t="s">
        <v>24</v>
      </c>
      <c r="E829" s="12" t="s">
        <v>25</v>
      </c>
      <c r="F829" s="12" t="s">
        <v>372</v>
      </c>
      <c r="G829" s="12" t="s">
        <v>41</v>
      </c>
      <c r="H829" s="12" t="s">
        <v>42</v>
      </c>
      <c r="I829" s="12" t="s">
        <v>29</v>
      </c>
      <c r="J829" s="12" t="s">
        <v>69</v>
      </c>
      <c r="K829" s="12" t="s">
        <v>180</v>
      </c>
      <c r="L829" s="12" t="s">
        <v>103</v>
      </c>
      <c r="M829" s="12">
        <v>3</v>
      </c>
      <c r="N829" s="14">
        <v>1458.06</v>
      </c>
      <c r="O829" s="15">
        <v>0.05</v>
      </c>
      <c r="P829" s="14">
        <v>4155.47</v>
      </c>
      <c r="Q829" s="14">
        <v>2469.58</v>
      </c>
      <c r="R829" s="14">
        <v>1685.89</v>
      </c>
      <c r="S829" s="12" t="s">
        <v>53</v>
      </c>
      <c r="T829" s="12" t="s">
        <v>34</v>
      </c>
      <c r="U829" s="12">
        <v>5</v>
      </c>
      <c r="V829" s="12" t="s">
        <v>96</v>
      </c>
    </row>
    <row r="830" spans="1:22" x14ac:dyDescent="0.3">
      <c r="A830" s="8" t="s">
        <v>1492</v>
      </c>
      <c r="B830" s="9">
        <v>46020</v>
      </c>
      <c r="C830" s="8" t="s">
        <v>131</v>
      </c>
      <c r="D830" s="8" t="s">
        <v>132</v>
      </c>
      <c r="E830" s="8" t="s">
        <v>25</v>
      </c>
      <c r="F830" s="8" t="s">
        <v>159</v>
      </c>
      <c r="G830" s="8" t="s">
        <v>41</v>
      </c>
      <c r="H830" s="8" t="s">
        <v>94</v>
      </c>
      <c r="I830" s="8" t="s">
        <v>61</v>
      </c>
      <c r="J830" s="8" t="s">
        <v>101</v>
      </c>
      <c r="K830" s="8" t="s">
        <v>102</v>
      </c>
      <c r="L830" s="8" t="s">
        <v>103</v>
      </c>
      <c r="M830" s="8">
        <v>2</v>
      </c>
      <c r="N830" s="10">
        <v>678.58</v>
      </c>
      <c r="O830" s="11">
        <v>0.1</v>
      </c>
      <c r="P830" s="10">
        <v>1221.44</v>
      </c>
      <c r="Q830" s="10">
        <v>496.44</v>
      </c>
      <c r="R830" s="10">
        <v>725</v>
      </c>
      <c r="S830" s="8" t="s">
        <v>46</v>
      </c>
      <c r="T830" s="8" t="s">
        <v>54</v>
      </c>
      <c r="U830" s="8">
        <v>4</v>
      </c>
      <c r="V830" s="8" t="s">
        <v>35</v>
      </c>
    </row>
    <row r="831" spans="1:22" x14ac:dyDescent="0.3">
      <c r="A831" s="12" t="s">
        <v>1493</v>
      </c>
      <c r="B831" s="13">
        <v>45701</v>
      </c>
      <c r="C831" s="12" t="s">
        <v>98</v>
      </c>
      <c r="D831" s="12" t="s">
        <v>99</v>
      </c>
      <c r="E831" s="12" t="s">
        <v>25</v>
      </c>
      <c r="F831" s="12" t="s">
        <v>1494</v>
      </c>
      <c r="G831" s="12" t="s">
        <v>41</v>
      </c>
      <c r="H831" s="12" t="s">
        <v>81</v>
      </c>
      <c r="I831" s="12" t="s">
        <v>61</v>
      </c>
      <c r="J831" s="12" t="s">
        <v>43</v>
      </c>
      <c r="K831" s="12" t="s">
        <v>44</v>
      </c>
      <c r="L831" s="12" t="s">
        <v>32</v>
      </c>
      <c r="M831" s="12">
        <v>2</v>
      </c>
      <c r="N831" s="14">
        <v>579.65</v>
      </c>
      <c r="O831" s="15">
        <v>0.05</v>
      </c>
      <c r="P831" s="14">
        <v>1101.33</v>
      </c>
      <c r="Q831" s="14">
        <v>501.29</v>
      </c>
      <c r="R831" s="14">
        <v>600.04</v>
      </c>
      <c r="S831" s="12" t="s">
        <v>33</v>
      </c>
      <c r="T831" s="12" t="s">
        <v>78</v>
      </c>
      <c r="U831" s="12">
        <v>5</v>
      </c>
      <c r="V831" s="12" t="s">
        <v>105</v>
      </c>
    </row>
    <row r="832" spans="1:22" x14ac:dyDescent="0.3">
      <c r="A832" s="8" t="s">
        <v>1495</v>
      </c>
      <c r="B832" s="9">
        <v>45887</v>
      </c>
      <c r="C832" s="8" t="s">
        <v>57</v>
      </c>
      <c r="D832" s="8" t="s">
        <v>58</v>
      </c>
      <c r="E832" s="8" t="s">
        <v>59</v>
      </c>
      <c r="F832" s="8" t="s">
        <v>109</v>
      </c>
      <c r="G832" s="8" t="s">
        <v>27</v>
      </c>
      <c r="H832" s="8" t="s">
        <v>28</v>
      </c>
      <c r="I832" s="8" t="s">
        <v>61</v>
      </c>
      <c r="J832" s="8" t="s">
        <v>89</v>
      </c>
      <c r="K832" s="8" t="s">
        <v>90</v>
      </c>
      <c r="L832" s="8" t="s">
        <v>32</v>
      </c>
      <c r="M832" s="8">
        <v>4</v>
      </c>
      <c r="N832" s="10">
        <v>3413.35</v>
      </c>
      <c r="O832" s="11">
        <v>0.1</v>
      </c>
      <c r="P832" s="10">
        <v>12288.06</v>
      </c>
      <c r="Q832" s="10">
        <v>8641.14</v>
      </c>
      <c r="R832" s="10">
        <v>3646.92</v>
      </c>
      <c r="S832" s="8" t="s">
        <v>46</v>
      </c>
      <c r="T832" s="8" t="s">
        <v>54</v>
      </c>
      <c r="U832" s="8">
        <v>3</v>
      </c>
      <c r="V832" s="8" t="s">
        <v>72</v>
      </c>
    </row>
    <row r="833" spans="1:22" x14ac:dyDescent="0.3">
      <c r="A833" s="12" t="s">
        <v>1496</v>
      </c>
      <c r="B833" s="13">
        <v>45949</v>
      </c>
      <c r="C833" s="12" t="s">
        <v>107</v>
      </c>
      <c r="D833" s="12" t="s">
        <v>108</v>
      </c>
      <c r="E833" s="12" t="s">
        <v>39</v>
      </c>
      <c r="F833" s="12" t="s">
        <v>1084</v>
      </c>
      <c r="G833" s="12" t="s">
        <v>27</v>
      </c>
      <c r="H833" s="12" t="s">
        <v>42</v>
      </c>
      <c r="I833" s="12" t="s">
        <v>68</v>
      </c>
      <c r="J833" s="12" t="s">
        <v>30</v>
      </c>
      <c r="K833" s="12" t="s">
        <v>144</v>
      </c>
      <c r="L833" s="12" t="s">
        <v>77</v>
      </c>
      <c r="M833" s="12">
        <v>1</v>
      </c>
      <c r="N833" s="14">
        <v>2465.66</v>
      </c>
      <c r="O833" s="15">
        <v>0.1</v>
      </c>
      <c r="P833" s="14">
        <v>2219.09</v>
      </c>
      <c r="Q833" s="14">
        <v>1431.05</v>
      </c>
      <c r="R833" s="14">
        <v>788.04</v>
      </c>
      <c r="S833" s="12" t="s">
        <v>63</v>
      </c>
      <c r="T833" s="12" t="s">
        <v>104</v>
      </c>
      <c r="U833" s="12">
        <v>5</v>
      </c>
      <c r="V833" s="12" t="s">
        <v>123</v>
      </c>
    </row>
    <row r="834" spans="1:22" x14ac:dyDescent="0.3">
      <c r="A834" s="8" t="s">
        <v>1497</v>
      </c>
      <c r="B834" s="9">
        <v>45907</v>
      </c>
      <c r="C834" s="8" t="s">
        <v>57</v>
      </c>
      <c r="D834" s="8" t="s">
        <v>58</v>
      </c>
      <c r="E834" s="8" t="s">
        <v>59</v>
      </c>
      <c r="F834" s="8" t="s">
        <v>452</v>
      </c>
      <c r="G834" s="8" t="s">
        <v>41</v>
      </c>
      <c r="H834" s="8" t="s">
        <v>94</v>
      </c>
      <c r="I834" s="8" t="s">
        <v>68</v>
      </c>
      <c r="J834" s="8" t="s">
        <v>101</v>
      </c>
      <c r="K834" s="8" t="s">
        <v>102</v>
      </c>
      <c r="L834" s="8" t="s">
        <v>82</v>
      </c>
      <c r="M834" s="8">
        <v>5</v>
      </c>
      <c r="N834" s="10">
        <v>726.61</v>
      </c>
      <c r="O834" s="11">
        <v>0.25</v>
      </c>
      <c r="P834" s="10">
        <v>2724.79</v>
      </c>
      <c r="Q834" s="10">
        <v>1298.46</v>
      </c>
      <c r="R834" s="10">
        <v>1426.33</v>
      </c>
      <c r="S834" s="8" t="s">
        <v>83</v>
      </c>
      <c r="T834" s="8" t="s">
        <v>71</v>
      </c>
      <c r="U834" s="8">
        <v>4</v>
      </c>
      <c r="V834" s="8" t="s">
        <v>116</v>
      </c>
    </row>
    <row r="835" spans="1:22" x14ac:dyDescent="0.3">
      <c r="A835" s="12" t="s">
        <v>1498</v>
      </c>
      <c r="B835" s="13">
        <v>45663</v>
      </c>
      <c r="C835" s="12" t="s">
        <v>23</v>
      </c>
      <c r="D835" s="12" t="s">
        <v>24</v>
      </c>
      <c r="E835" s="12" t="s">
        <v>25</v>
      </c>
      <c r="F835" s="12" t="s">
        <v>1499</v>
      </c>
      <c r="G835" s="12" t="s">
        <v>27</v>
      </c>
      <c r="H835" s="12" t="s">
        <v>28</v>
      </c>
      <c r="I835" s="12" t="s">
        <v>29</v>
      </c>
      <c r="J835" s="12" t="s">
        <v>43</v>
      </c>
      <c r="K835" s="12" t="s">
        <v>44</v>
      </c>
      <c r="L835" s="12" t="s">
        <v>91</v>
      </c>
      <c r="M835" s="12">
        <v>2</v>
      </c>
      <c r="N835" s="14">
        <v>578.47</v>
      </c>
      <c r="O835" s="15">
        <v>0.2</v>
      </c>
      <c r="P835" s="14">
        <v>925.55</v>
      </c>
      <c r="Q835" s="14">
        <v>541.19000000000005</v>
      </c>
      <c r="R835" s="14">
        <v>384.36</v>
      </c>
      <c r="S835" s="12" t="s">
        <v>46</v>
      </c>
      <c r="T835" s="12" t="s">
        <v>71</v>
      </c>
      <c r="U835" s="12">
        <v>3</v>
      </c>
      <c r="V835" s="12" t="s">
        <v>84</v>
      </c>
    </row>
    <row r="836" spans="1:22" x14ac:dyDescent="0.3">
      <c r="A836" s="8" t="s">
        <v>1500</v>
      </c>
      <c r="B836" s="9">
        <v>45952</v>
      </c>
      <c r="C836" s="8" t="s">
        <v>57</v>
      </c>
      <c r="D836" s="8" t="s">
        <v>58</v>
      </c>
      <c r="E836" s="8" t="s">
        <v>59</v>
      </c>
      <c r="F836" s="8" t="s">
        <v>780</v>
      </c>
      <c r="G836" s="8" t="s">
        <v>41</v>
      </c>
      <c r="H836" s="8" t="s">
        <v>28</v>
      </c>
      <c r="I836" s="8" t="s">
        <v>29</v>
      </c>
      <c r="J836" s="8" t="s">
        <v>75</v>
      </c>
      <c r="K836" s="8" t="s">
        <v>95</v>
      </c>
      <c r="L836" s="8" t="s">
        <v>103</v>
      </c>
      <c r="M836" s="8">
        <v>4</v>
      </c>
      <c r="N836" s="10">
        <v>25757.74</v>
      </c>
      <c r="O836" s="11">
        <v>0.2</v>
      </c>
      <c r="P836" s="10">
        <v>82424.77</v>
      </c>
      <c r="Q836" s="10">
        <v>71827.179999999993</v>
      </c>
      <c r="R836" s="10">
        <v>10597.59</v>
      </c>
      <c r="S836" s="8" t="s">
        <v>53</v>
      </c>
      <c r="T836" s="8" t="s">
        <v>71</v>
      </c>
      <c r="U836" s="8">
        <v>4</v>
      </c>
      <c r="V836" s="8" t="s">
        <v>123</v>
      </c>
    </row>
    <row r="837" spans="1:22" x14ac:dyDescent="0.3">
      <c r="A837" s="12" t="s">
        <v>1501</v>
      </c>
      <c r="B837" s="13">
        <v>45708</v>
      </c>
      <c r="C837" s="12" t="s">
        <v>107</v>
      </c>
      <c r="D837" s="12" t="s">
        <v>108</v>
      </c>
      <c r="E837" s="12" t="s">
        <v>39</v>
      </c>
      <c r="F837" s="12" t="s">
        <v>1502</v>
      </c>
      <c r="G837" s="12" t="s">
        <v>41</v>
      </c>
      <c r="H837" s="12" t="s">
        <v>42</v>
      </c>
      <c r="I837" s="12" t="s">
        <v>68</v>
      </c>
      <c r="J837" s="12" t="s">
        <v>89</v>
      </c>
      <c r="K837" s="12" t="s">
        <v>151</v>
      </c>
      <c r="L837" s="12" t="s">
        <v>52</v>
      </c>
      <c r="M837" s="12">
        <v>3</v>
      </c>
      <c r="N837" s="14">
        <v>950.66</v>
      </c>
      <c r="O837" s="15">
        <v>0</v>
      </c>
      <c r="P837" s="14">
        <v>2851.98</v>
      </c>
      <c r="Q837" s="14">
        <v>1534.53</v>
      </c>
      <c r="R837" s="14">
        <v>1317.45</v>
      </c>
      <c r="S837" s="12" t="s">
        <v>63</v>
      </c>
      <c r="T837" s="12" t="s">
        <v>78</v>
      </c>
      <c r="U837" s="12">
        <v>5</v>
      </c>
      <c r="V837" s="12" t="s">
        <v>105</v>
      </c>
    </row>
    <row r="838" spans="1:22" x14ac:dyDescent="0.3">
      <c r="A838" s="8" t="s">
        <v>1503</v>
      </c>
      <c r="B838" s="9">
        <v>45818</v>
      </c>
      <c r="C838" s="8" t="s">
        <v>107</v>
      </c>
      <c r="D838" s="8" t="s">
        <v>108</v>
      </c>
      <c r="E838" s="8" t="s">
        <v>39</v>
      </c>
      <c r="F838" s="8" t="s">
        <v>1504</v>
      </c>
      <c r="G838" s="8" t="s">
        <v>27</v>
      </c>
      <c r="H838" s="8" t="s">
        <v>42</v>
      </c>
      <c r="I838" s="8" t="s">
        <v>61</v>
      </c>
      <c r="J838" s="8" t="s">
        <v>30</v>
      </c>
      <c r="K838" s="8" t="s">
        <v>31</v>
      </c>
      <c r="L838" s="8" t="s">
        <v>77</v>
      </c>
      <c r="M838" s="8">
        <v>1</v>
      </c>
      <c r="N838" s="10">
        <v>3910.3</v>
      </c>
      <c r="O838" s="11">
        <v>0.3</v>
      </c>
      <c r="P838" s="10">
        <v>2737.21</v>
      </c>
      <c r="Q838" s="10">
        <v>2309.58</v>
      </c>
      <c r="R838" s="10">
        <v>427.63</v>
      </c>
      <c r="S838" s="8" t="s">
        <v>63</v>
      </c>
      <c r="T838" s="8" t="s">
        <v>119</v>
      </c>
      <c r="U838" s="8">
        <v>3</v>
      </c>
      <c r="V838" s="8" t="s">
        <v>157</v>
      </c>
    </row>
    <row r="839" spans="1:22" x14ac:dyDescent="0.3">
      <c r="A839" s="12" t="s">
        <v>1505</v>
      </c>
      <c r="B839" s="13">
        <v>45902</v>
      </c>
      <c r="C839" s="12" t="s">
        <v>113</v>
      </c>
      <c r="D839" s="12" t="s">
        <v>114</v>
      </c>
      <c r="E839" s="12" t="s">
        <v>59</v>
      </c>
      <c r="F839" s="12" t="s">
        <v>1086</v>
      </c>
      <c r="G839" s="12" t="s">
        <v>41</v>
      </c>
      <c r="H839" s="12" t="s">
        <v>28</v>
      </c>
      <c r="I839" s="12" t="s">
        <v>29</v>
      </c>
      <c r="J839" s="12" t="s">
        <v>89</v>
      </c>
      <c r="K839" s="12" t="s">
        <v>90</v>
      </c>
      <c r="L839" s="12" t="s">
        <v>82</v>
      </c>
      <c r="M839" s="12">
        <v>1</v>
      </c>
      <c r="N839" s="14">
        <v>3539.05</v>
      </c>
      <c r="O839" s="15">
        <v>0.3</v>
      </c>
      <c r="P839" s="14">
        <v>2477.34</v>
      </c>
      <c r="Q839" s="14">
        <v>2159.75</v>
      </c>
      <c r="R839" s="14">
        <v>317.58999999999997</v>
      </c>
      <c r="S839" s="12" t="s">
        <v>46</v>
      </c>
      <c r="T839" s="12" t="s">
        <v>111</v>
      </c>
      <c r="U839" s="12">
        <v>3</v>
      </c>
      <c r="V839" s="12" t="s">
        <v>116</v>
      </c>
    </row>
    <row r="840" spans="1:22" x14ac:dyDescent="0.3">
      <c r="A840" s="8" t="s">
        <v>1506</v>
      </c>
      <c r="B840" s="9">
        <v>45771</v>
      </c>
      <c r="C840" s="8" t="s">
        <v>131</v>
      </c>
      <c r="D840" s="8" t="s">
        <v>132</v>
      </c>
      <c r="E840" s="8" t="s">
        <v>25</v>
      </c>
      <c r="F840" s="8" t="s">
        <v>1507</v>
      </c>
      <c r="G840" s="8" t="s">
        <v>41</v>
      </c>
      <c r="H840" s="8" t="s">
        <v>81</v>
      </c>
      <c r="I840" s="8" t="s">
        <v>68</v>
      </c>
      <c r="J840" s="8" t="s">
        <v>101</v>
      </c>
      <c r="K840" s="8" t="s">
        <v>102</v>
      </c>
      <c r="L840" s="8" t="s">
        <v>52</v>
      </c>
      <c r="M840" s="8">
        <v>4</v>
      </c>
      <c r="N840" s="10">
        <v>702.31</v>
      </c>
      <c r="O840" s="11">
        <v>0</v>
      </c>
      <c r="P840" s="10">
        <v>2809.24</v>
      </c>
      <c r="Q840" s="10">
        <v>1034.73</v>
      </c>
      <c r="R840" s="10">
        <v>1774.51</v>
      </c>
      <c r="S840" s="8" t="s">
        <v>33</v>
      </c>
      <c r="T840" s="8" t="s">
        <v>156</v>
      </c>
      <c r="U840" s="8">
        <v>4</v>
      </c>
      <c r="V840" s="8" t="s">
        <v>96</v>
      </c>
    </row>
    <row r="841" spans="1:22" x14ac:dyDescent="0.3">
      <c r="A841" s="12" t="s">
        <v>1508</v>
      </c>
      <c r="B841" s="13">
        <v>45954</v>
      </c>
      <c r="C841" s="12" t="s">
        <v>86</v>
      </c>
      <c r="D841" s="12" t="s">
        <v>87</v>
      </c>
      <c r="E841" s="12" t="s">
        <v>59</v>
      </c>
      <c r="F841" s="12" t="s">
        <v>1140</v>
      </c>
      <c r="G841" s="12" t="s">
        <v>27</v>
      </c>
      <c r="H841" s="12" t="s">
        <v>42</v>
      </c>
      <c r="I841" s="12" t="s">
        <v>29</v>
      </c>
      <c r="J841" s="12" t="s">
        <v>89</v>
      </c>
      <c r="K841" s="12" t="s">
        <v>90</v>
      </c>
      <c r="L841" s="12" t="s">
        <v>91</v>
      </c>
      <c r="M841" s="12">
        <v>4</v>
      </c>
      <c r="N841" s="14">
        <v>3366.62</v>
      </c>
      <c r="O841" s="15">
        <v>0.05</v>
      </c>
      <c r="P841" s="14">
        <v>12793.16</v>
      </c>
      <c r="Q841" s="14">
        <v>8529.61</v>
      </c>
      <c r="R841" s="14">
        <v>4263.55</v>
      </c>
      <c r="S841" s="12" t="s">
        <v>46</v>
      </c>
      <c r="T841" s="12" t="s">
        <v>71</v>
      </c>
      <c r="U841" s="12">
        <v>3</v>
      </c>
      <c r="V841" s="12" t="s">
        <v>123</v>
      </c>
    </row>
    <row r="842" spans="1:22" x14ac:dyDescent="0.3">
      <c r="A842" s="8" t="s">
        <v>1509</v>
      </c>
      <c r="B842" s="9">
        <v>45685</v>
      </c>
      <c r="C842" s="8" t="s">
        <v>98</v>
      </c>
      <c r="D842" s="8" t="s">
        <v>99</v>
      </c>
      <c r="E842" s="8" t="s">
        <v>25</v>
      </c>
      <c r="F842" s="8" t="s">
        <v>1061</v>
      </c>
      <c r="G842" s="8" t="s">
        <v>27</v>
      </c>
      <c r="H842" s="8" t="s">
        <v>94</v>
      </c>
      <c r="I842" s="8" t="s">
        <v>61</v>
      </c>
      <c r="J842" s="8" t="s">
        <v>101</v>
      </c>
      <c r="K842" s="8" t="s">
        <v>217</v>
      </c>
      <c r="L842" s="8" t="s">
        <v>103</v>
      </c>
      <c r="M842" s="8">
        <v>1</v>
      </c>
      <c r="N842" s="10">
        <v>2892.69</v>
      </c>
      <c r="O842" s="11">
        <v>0</v>
      </c>
      <c r="P842" s="10">
        <v>2892.69</v>
      </c>
      <c r="Q842" s="10">
        <v>1715.17</v>
      </c>
      <c r="R842" s="10">
        <v>1177.52</v>
      </c>
      <c r="S842" s="8" t="s">
        <v>83</v>
      </c>
      <c r="T842" s="8" t="s">
        <v>78</v>
      </c>
      <c r="U842" s="8">
        <v>3</v>
      </c>
      <c r="V842" s="8" t="s">
        <v>84</v>
      </c>
    </row>
    <row r="843" spans="1:22" x14ac:dyDescent="0.3">
      <c r="A843" s="12" t="s">
        <v>1510</v>
      </c>
      <c r="B843" s="13">
        <v>45913</v>
      </c>
      <c r="C843" s="12" t="s">
        <v>113</v>
      </c>
      <c r="D843" s="12" t="s">
        <v>114</v>
      </c>
      <c r="E843" s="12" t="s">
        <v>59</v>
      </c>
      <c r="F843" s="12" t="s">
        <v>1511</v>
      </c>
      <c r="G843" s="12" t="s">
        <v>27</v>
      </c>
      <c r="H843" s="12" t="s">
        <v>81</v>
      </c>
      <c r="I843" s="12" t="s">
        <v>29</v>
      </c>
      <c r="J843" s="12" t="s">
        <v>69</v>
      </c>
      <c r="K843" s="12" t="s">
        <v>70</v>
      </c>
      <c r="L843" s="12" t="s">
        <v>77</v>
      </c>
      <c r="M843" s="12">
        <v>5</v>
      </c>
      <c r="N843" s="14">
        <v>907.48</v>
      </c>
      <c r="O843" s="15">
        <v>0</v>
      </c>
      <c r="P843" s="14">
        <v>4537.3999999999996</v>
      </c>
      <c r="Q843" s="14">
        <v>2167.14</v>
      </c>
      <c r="R843" s="14">
        <v>2370.2600000000002</v>
      </c>
      <c r="S843" s="12" t="s">
        <v>83</v>
      </c>
      <c r="T843" s="12" t="s">
        <v>34</v>
      </c>
      <c r="U843" s="12">
        <v>5</v>
      </c>
      <c r="V843" s="12" t="s">
        <v>116</v>
      </c>
    </row>
    <row r="844" spans="1:22" x14ac:dyDescent="0.3">
      <c r="A844" s="8" t="s">
        <v>1512</v>
      </c>
      <c r="B844" s="9">
        <v>45975</v>
      </c>
      <c r="C844" s="8" t="s">
        <v>57</v>
      </c>
      <c r="D844" s="8" t="s">
        <v>58</v>
      </c>
      <c r="E844" s="8" t="s">
        <v>59</v>
      </c>
      <c r="F844" s="8" t="s">
        <v>1238</v>
      </c>
      <c r="G844" s="8" t="s">
        <v>27</v>
      </c>
      <c r="H844" s="8" t="s">
        <v>28</v>
      </c>
      <c r="I844" s="8" t="s">
        <v>68</v>
      </c>
      <c r="J844" s="8" t="s">
        <v>69</v>
      </c>
      <c r="K844" s="8" t="s">
        <v>70</v>
      </c>
      <c r="L844" s="8" t="s">
        <v>77</v>
      </c>
      <c r="M844" s="8">
        <v>3</v>
      </c>
      <c r="N844" s="10">
        <v>873.28</v>
      </c>
      <c r="O844" s="11">
        <v>0.3</v>
      </c>
      <c r="P844" s="10">
        <v>1833.89</v>
      </c>
      <c r="Q844" s="10">
        <v>1387.46</v>
      </c>
      <c r="R844" s="10">
        <v>446.43</v>
      </c>
      <c r="S844" s="8" t="s">
        <v>33</v>
      </c>
      <c r="T844" s="8" t="s">
        <v>54</v>
      </c>
      <c r="U844" s="8">
        <v>4</v>
      </c>
      <c r="V844" s="8" t="s">
        <v>65</v>
      </c>
    </row>
    <row r="845" spans="1:22" x14ac:dyDescent="0.3">
      <c r="A845" s="12" t="s">
        <v>1513</v>
      </c>
      <c r="B845" s="13">
        <v>45698</v>
      </c>
      <c r="C845" s="12" t="s">
        <v>98</v>
      </c>
      <c r="D845" s="12" t="s">
        <v>99</v>
      </c>
      <c r="E845" s="12" t="s">
        <v>25</v>
      </c>
      <c r="F845" s="12" t="s">
        <v>1514</v>
      </c>
      <c r="G845" s="12" t="s">
        <v>27</v>
      </c>
      <c r="H845" s="12" t="s">
        <v>28</v>
      </c>
      <c r="I845" s="12" t="s">
        <v>61</v>
      </c>
      <c r="J845" s="12" t="s">
        <v>101</v>
      </c>
      <c r="K845" s="12" t="s">
        <v>217</v>
      </c>
      <c r="L845" s="12" t="s">
        <v>52</v>
      </c>
      <c r="M845" s="12">
        <v>3</v>
      </c>
      <c r="N845" s="14">
        <v>3132.1</v>
      </c>
      <c r="O845" s="15">
        <v>0</v>
      </c>
      <c r="P845" s="14">
        <v>9396.2999999999993</v>
      </c>
      <c r="Q845" s="14">
        <v>5204.25</v>
      </c>
      <c r="R845" s="14">
        <v>4192.05</v>
      </c>
      <c r="S845" s="12" t="s">
        <v>53</v>
      </c>
      <c r="T845" s="12" t="s">
        <v>147</v>
      </c>
      <c r="U845" s="12">
        <v>5</v>
      </c>
      <c r="V845" s="12" t="s">
        <v>105</v>
      </c>
    </row>
    <row r="846" spans="1:22" x14ac:dyDescent="0.3">
      <c r="A846" s="8" t="s">
        <v>1515</v>
      </c>
      <c r="B846" s="9">
        <v>46010</v>
      </c>
      <c r="C846" s="8" t="s">
        <v>86</v>
      </c>
      <c r="D846" s="8" t="s">
        <v>87</v>
      </c>
      <c r="E846" s="8" t="s">
        <v>59</v>
      </c>
      <c r="F846" s="8" t="s">
        <v>1516</v>
      </c>
      <c r="G846" s="8" t="s">
        <v>41</v>
      </c>
      <c r="H846" s="8" t="s">
        <v>81</v>
      </c>
      <c r="I846" s="8" t="s">
        <v>68</v>
      </c>
      <c r="J846" s="8" t="s">
        <v>101</v>
      </c>
      <c r="K846" s="8" t="s">
        <v>110</v>
      </c>
      <c r="L846" s="8" t="s">
        <v>82</v>
      </c>
      <c r="M846" s="8">
        <v>4</v>
      </c>
      <c r="N846" s="10">
        <v>4966.8900000000003</v>
      </c>
      <c r="O846" s="11">
        <v>0.1</v>
      </c>
      <c r="P846" s="10">
        <v>17880.8</v>
      </c>
      <c r="Q846" s="10">
        <v>12246.05</v>
      </c>
      <c r="R846" s="10">
        <v>5634.75</v>
      </c>
      <c r="S846" s="8" t="s">
        <v>83</v>
      </c>
      <c r="T846" s="8" t="s">
        <v>54</v>
      </c>
      <c r="U846" s="8">
        <v>4</v>
      </c>
      <c r="V846" s="8" t="s">
        <v>35</v>
      </c>
    </row>
    <row r="847" spans="1:22" x14ac:dyDescent="0.3">
      <c r="A847" s="12" t="s">
        <v>1517</v>
      </c>
      <c r="B847" s="13">
        <v>45822</v>
      </c>
      <c r="C847" s="12" t="s">
        <v>107</v>
      </c>
      <c r="D847" s="12" t="s">
        <v>108</v>
      </c>
      <c r="E847" s="12" t="s">
        <v>39</v>
      </c>
      <c r="F847" s="12" t="s">
        <v>1132</v>
      </c>
      <c r="G847" s="12" t="s">
        <v>27</v>
      </c>
      <c r="H847" s="12" t="s">
        <v>81</v>
      </c>
      <c r="I847" s="12" t="s">
        <v>68</v>
      </c>
      <c r="J847" s="12" t="s">
        <v>75</v>
      </c>
      <c r="K847" s="12" t="s">
        <v>154</v>
      </c>
      <c r="L847" s="12" t="s">
        <v>91</v>
      </c>
      <c r="M847" s="12">
        <v>1</v>
      </c>
      <c r="N847" s="14">
        <v>1982.37</v>
      </c>
      <c r="O847" s="15">
        <v>0.15</v>
      </c>
      <c r="P847" s="14">
        <v>1685.01</v>
      </c>
      <c r="Q847" s="14">
        <v>1139.3699999999999</v>
      </c>
      <c r="R847" s="14">
        <v>545.64</v>
      </c>
      <c r="S847" s="12" t="s">
        <v>53</v>
      </c>
      <c r="T847" s="12" t="s">
        <v>78</v>
      </c>
      <c r="U847" s="12">
        <v>4</v>
      </c>
      <c r="V847" s="12" t="s">
        <v>157</v>
      </c>
    </row>
    <row r="848" spans="1:22" x14ac:dyDescent="0.3">
      <c r="A848" s="8" t="s">
        <v>1518</v>
      </c>
      <c r="B848" s="9">
        <v>45718</v>
      </c>
      <c r="C848" s="8" t="s">
        <v>131</v>
      </c>
      <c r="D848" s="8" t="s">
        <v>132</v>
      </c>
      <c r="E848" s="8" t="s">
        <v>25</v>
      </c>
      <c r="F848" s="8" t="s">
        <v>1519</v>
      </c>
      <c r="G848" s="8" t="s">
        <v>41</v>
      </c>
      <c r="H848" s="8" t="s">
        <v>81</v>
      </c>
      <c r="I848" s="8" t="s">
        <v>29</v>
      </c>
      <c r="J848" s="8" t="s">
        <v>89</v>
      </c>
      <c r="K848" s="8" t="s">
        <v>89</v>
      </c>
      <c r="L848" s="8" t="s">
        <v>32</v>
      </c>
      <c r="M848" s="8">
        <v>3</v>
      </c>
      <c r="N848" s="10">
        <v>1263.81</v>
      </c>
      <c r="O848" s="11">
        <v>0.2</v>
      </c>
      <c r="P848" s="10">
        <v>3033.14</v>
      </c>
      <c r="Q848" s="10">
        <v>2090.04</v>
      </c>
      <c r="R848" s="10">
        <v>943.1</v>
      </c>
      <c r="S848" s="8" t="s">
        <v>33</v>
      </c>
      <c r="T848" s="8" t="s">
        <v>104</v>
      </c>
      <c r="U848" s="8">
        <v>3</v>
      </c>
      <c r="V848" s="8" t="s">
        <v>55</v>
      </c>
    </row>
    <row r="849" spans="1:22" x14ac:dyDescent="0.3">
      <c r="A849" s="12" t="s">
        <v>1520</v>
      </c>
      <c r="B849" s="13">
        <v>45853</v>
      </c>
      <c r="C849" s="12" t="s">
        <v>131</v>
      </c>
      <c r="D849" s="12" t="s">
        <v>132</v>
      </c>
      <c r="E849" s="12" t="s">
        <v>25</v>
      </c>
      <c r="F849" s="12" t="s">
        <v>1216</v>
      </c>
      <c r="G849" s="12" t="s">
        <v>27</v>
      </c>
      <c r="H849" s="12" t="s">
        <v>94</v>
      </c>
      <c r="I849" s="12" t="s">
        <v>61</v>
      </c>
      <c r="J849" s="12" t="s">
        <v>89</v>
      </c>
      <c r="K849" s="12" t="s">
        <v>89</v>
      </c>
      <c r="L849" s="12" t="s">
        <v>82</v>
      </c>
      <c r="M849" s="12">
        <v>2</v>
      </c>
      <c r="N849" s="14">
        <v>1347</v>
      </c>
      <c r="O849" s="15">
        <v>0</v>
      </c>
      <c r="P849" s="14">
        <v>2694</v>
      </c>
      <c r="Q849" s="14">
        <v>1370.24</v>
      </c>
      <c r="R849" s="14">
        <v>1323.76</v>
      </c>
      <c r="S849" s="12" t="s">
        <v>63</v>
      </c>
      <c r="T849" s="12" t="s">
        <v>34</v>
      </c>
      <c r="U849" s="12">
        <v>3</v>
      </c>
      <c r="V849" s="12" t="s">
        <v>120</v>
      </c>
    </row>
    <row r="850" spans="1:22" x14ac:dyDescent="0.3">
      <c r="A850" s="8" t="s">
        <v>1521</v>
      </c>
      <c r="B850" s="9">
        <v>45868</v>
      </c>
      <c r="C850" s="8" t="s">
        <v>86</v>
      </c>
      <c r="D850" s="8" t="s">
        <v>87</v>
      </c>
      <c r="E850" s="8" t="s">
        <v>59</v>
      </c>
      <c r="F850" s="8" t="s">
        <v>801</v>
      </c>
      <c r="G850" s="8" t="s">
        <v>41</v>
      </c>
      <c r="H850" s="8" t="s">
        <v>94</v>
      </c>
      <c r="I850" s="8" t="s">
        <v>61</v>
      </c>
      <c r="J850" s="8" t="s">
        <v>43</v>
      </c>
      <c r="K850" s="8" t="s">
        <v>162</v>
      </c>
      <c r="L850" s="8" t="s">
        <v>91</v>
      </c>
      <c r="M850" s="8">
        <v>2</v>
      </c>
      <c r="N850" s="10">
        <v>919.54</v>
      </c>
      <c r="O850" s="11">
        <v>0.25</v>
      </c>
      <c r="P850" s="10">
        <v>1379.31</v>
      </c>
      <c r="Q850" s="10">
        <v>826.18</v>
      </c>
      <c r="R850" s="10">
        <v>553.13</v>
      </c>
      <c r="S850" s="8" t="s">
        <v>63</v>
      </c>
      <c r="T850" s="8" t="s">
        <v>111</v>
      </c>
      <c r="U850" s="8">
        <v>3</v>
      </c>
      <c r="V850" s="8" t="s">
        <v>120</v>
      </c>
    </row>
    <row r="851" spans="1:22" x14ac:dyDescent="0.3">
      <c r="A851" s="12" t="s">
        <v>1522</v>
      </c>
      <c r="B851" s="13">
        <v>45946</v>
      </c>
      <c r="C851" s="12" t="s">
        <v>23</v>
      </c>
      <c r="D851" s="12" t="s">
        <v>24</v>
      </c>
      <c r="E851" s="12" t="s">
        <v>25</v>
      </c>
      <c r="F851" s="12" t="s">
        <v>1523</v>
      </c>
      <c r="G851" s="12" t="s">
        <v>27</v>
      </c>
      <c r="H851" s="12" t="s">
        <v>81</v>
      </c>
      <c r="I851" s="12" t="s">
        <v>29</v>
      </c>
      <c r="J851" s="12" t="s">
        <v>43</v>
      </c>
      <c r="K851" s="12" t="s">
        <v>162</v>
      </c>
      <c r="L851" s="12" t="s">
        <v>103</v>
      </c>
      <c r="M851" s="12">
        <v>5</v>
      </c>
      <c r="N851" s="14">
        <v>890.33</v>
      </c>
      <c r="O851" s="15">
        <v>0.05</v>
      </c>
      <c r="P851" s="14">
        <v>4229.07</v>
      </c>
      <c r="Q851" s="14">
        <v>1967.11</v>
      </c>
      <c r="R851" s="14">
        <v>2261.96</v>
      </c>
      <c r="S851" s="12" t="s">
        <v>53</v>
      </c>
      <c r="T851" s="12" t="s">
        <v>64</v>
      </c>
      <c r="U851" s="12">
        <v>4</v>
      </c>
      <c r="V851" s="12" t="s">
        <v>123</v>
      </c>
    </row>
    <row r="852" spans="1:22" x14ac:dyDescent="0.3">
      <c r="A852" s="8" t="s">
        <v>1524</v>
      </c>
      <c r="B852" s="9">
        <v>45857</v>
      </c>
      <c r="C852" s="8" t="s">
        <v>125</v>
      </c>
      <c r="D852" s="8" t="s">
        <v>126</v>
      </c>
      <c r="E852" s="8" t="s">
        <v>25</v>
      </c>
      <c r="F852" s="8" t="s">
        <v>1525</v>
      </c>
      <c r="G852" s="8" t="s">
        <v>27</v>
      </c>
      <c r="H852" s="8" t="s">
        <v>28</v>
      </c>
      <c r="I852" s="8" t="s">
        <v>29</v>
      </c>
      <c r="J852" s="8" t="s">
        <v>89</v>
      </c>
      <c r="K852" s="8" t="s">
        <v>151</v>
      </c>
      <c r="L852" s="8" t="s">
        <v>52</v>
      </c>
      <c r="M852" s="8">
        <v>1</v>
      </c>
      <c r="N852" s="10">
        <v>988.73</v>
      </c>
      <c r="O852" s="11">
        <v>0.2</v>
      </c>
      <c r="P852" s="10">
        <v>790.98</v>
      </c>
      <c r="Q852" s="10">
        <v>484.41</v>
      </c>
      <c r="R852" s="10">
        <v>306.57</v>
      </c>
      <c r="S852" s="8" t="s">
        <v>46</v>
      </c>
      <c r="T852" s="8" t="s">
        <v>54</v>
      </c>
      <c r="U852" s="8">
        <v>5</v>
      </c>
      <c r="V852" s="8" t="s">
        <v>120</v>
      </c>
    </row>
    <row r="853" spans="1:22" x14ac:dyDescent="0.3">
      <c r="A853" s="12" t="s">
        <v>1526</v>
      </c>
      <c r="B853" s="13">
        <v>45800</v>
      </c>
      <c r="C853" s="12" t="s">
        <v>48</v>
      </c>
      <c r="D853" s="12" t="s">
        <v>49</v>
      </c>
      <c r="E853" s="12" t="s">
        <v>39</v>
      </c>
      <c r="F853" s="12" t="s">
        <v>843</v>
      </c>
      <c r="G853" s="12" t="s">
        <v>41</v>
      </c>
      <c r="H853" s="12" t="s">
        <v>94</v>
      </c>
      <c r="I853" s="12" t="s">
        <v>68</v>
      </c>
      <c r="J853" s="12" t="s">
        <v>43</v>
      </c>
      <c r="K853" s="12" t="s">
        <v>44</v>
      </c>
      <c r="L853" s="12" t="s">
        <v>82</v>
      </c>
      <c r="M853" s="12">
        <v>3</v>
      </c>
      <c r="N853" s="14">
        <v>602.78</v>
      </c>
      <c r="O853" s="15">
        <v>0.25</v>
      </c>
      <c r="P853" s="14">
        <v>1356.25</v>
      </c>
      <c r="Q853" s="14">
        <v>761.56</v>
      </c>
      <c r="R853" s="14">
        <v>594.69000000000005</v>
      </c>
      <c r="S853" s="12" t="s">
        <v>33</v>
      </c>
      <c r="T853" s="12" t="s">
        <v>34</v>
      </c>
      <c r="U853" s="12">
        <v>4</v>
      </c>
      <c r="V853" s="12" t="s">
        <v>134</v>
      </c>
    </row>
    <row r="854" spans="1:22" x14ac:dyDescent="0.3">
      <c r="A854" s="8" t="s">
        <v>1527</v>
      </c>
      <c r="B854" s="9">
        <v>45743</v>
      </c>
      <c r="C854" s="8" t="s">
        <v>57</v>
      </c>
      <c r="D854" s="8" t="s">
        <v>58</v>
      </c>
      <c r="E854" s="8" t="s">
        <v>59</v>
      </c>
      <c r="F854" s="8" t="s">
        <v>67</v>
      </c>
      <c r="G854" s="8" t="s">
        <v>27</v>
      </c>
      <c r="H854" s="8" t="s">
        <v>81</v>
      </c>
      <c r="I854" s="8" t="s">
        <v>68</v>
      </c>
      <c r="J854" s="8" t="s">
        <v>75</v>
      </c>
      <c r="K854" s="8" t="s">
        <v>76</v>
      </c>
      <c r="L854" s="8" t="s">
        <v>91</v>
      </c>
      <c r="M854" s="8">
        <v>5</v>
      </c>
      <c r="N854" s="10">
        <v>761.66</v>
      </c>
      <c r="O854" s="11">
        <v>0.25</v>
      </c>
      <c r="P854" s="10">
        <v>2856.22</v>
      </c>
      <c r="Q854" s="10">
        <v>1768.42</v>
      </c>
      <c r="R854" s="10">
        <v>1087.8</v>
      </c>
      <c r="S854" s="8" t="s">
        <v>46</v>
      </c>
      <c r="T854" s="8" t="s">
        <v>78</v>
      </c>
      <c r="U854" s="8">
        <v>3</v>
      </c>
      <c r="V854" s="8" t="s">
        <v>55</v>
      </c>
    </row>
    <row r="855" spans="1:22" x14ac:dyDescent="0.3">
      <c r="A855" s="12" t="s">
        <v>1528</v>
      </c>
      <c r="B855" s="13">
        <v>45938</v>
      </c>
      <c r="C855" s="12" t="s">
        <v>37</v>
      </c>
      <c r="D855" s="12" t="s">
        <v>38</v>
      </c>
      <c r="E855" s="12" t="s">
        <v>39</v>
      </c>
      <c r="F855" s="12" t="s">
        <v>1529</v>
      </c>
      <c r="G855" s="12" t="s">
        <v>41</v>
      </c>
      <c r="H855" s="12" t="s">
        <v>28</v>
      </c>
      <c r="I855" s="12" t="s">
        <v>61</v>
      </c>
      <c r="J855" s="12" t="s">
        <v>89</v>
      </c>
      <c r="K855" s="12" t="s">
        <v>90</v>
      </c>
      <c r="L855" s="12" t="s">
        <v>82</v>
      </c>
      <c r="M855" s="12">
        <v>2</v>
      </c>
      <c r="N855" s="14">
        <v>3504.23</v>
      </c>
      <c r="O855" s="15">
        <v>0.15</v>
      </c>
      <c r="P855" s="14">
        <v>5957.19</v>
      </c>
      <c r="Q855" s="14">
        <v>4388.82</v>
      </c>
      <c r="R855" s="14">
        <v>1568.37</v>
      </c>
      <c r="S855" s="12" t="s">
        <v>63</v>
      </c>
      <c r="T855" s="12" t="s">
        <v>119</v>
      </c>
      <c r="U855" s="12">
        <v>4</v>
      </c>
      <c r="V855" s="12" t="s">
        <v>123</v>
      </c>
    </row>
    <row r="856" spans="1:22" x14ac:dyDescent="0.3">
      <c r="A856" s="8" t="s">
        <v>1530</v>
      </c>
      <c r="B856" s="9">
        <v>45763</v>
      </c>
      <c r="C856" s="8" t="s">
        <v>48</v>
      </c>
      <c r="D856" s="8" t="s">
        <v>49</v>
      </c>
      <c r="E856" s="8" t="s">
        <v>39</v>
      </c>
      <c r="F856" s="8" t="s">
        <v>1473</v>
      </c>
      <c r="G856" s="8" t="s">
        <v>41</v>
      </c>
      <c r="H856" s="8" t="s">
        <v>94</v>
      </c>
      <c r="I856" s="8" t="s">
        <v>68</v>
      </c>
      <c r="J856" s="8" t="s">
        <v>75</v>
      </c>
      <c r="K856" s="8" t="s">
        <v>154</v>
      </c>
      <c r="L856" s="8" t="s">
        <v>91</v>
      </c>
      <c r="M856" s="8">
        <v>2</v>
      </c>
      <c r="N856" s="10">
        <v>2004.71</v>
      </c>
      <c r="O856" s="11">
        <v>0.05</v>
      </c>
      <c r="P856" s="10">
        <v>3808.95</v>
      </c>
      <c r="Q856" s="10">
        <v>2295.4299999999998</v>
      </c>
      <c r="R856" s="10">
        <v>1513.52</v>
      </c>
      <c r="S856" s="8" t="s">
        <v>46</v>
      </c>
      <c r="T856" s="8" t="s">
        <v>104</v>
      </c>
      <c r="U856" s="8">
        <v>3</v>
      </c>
      <c r="V856" s="8" t="s">
        <v>96</v>
      </c>
    </row>
    <row r="857" spans="1:22" x14ac:dyDescent="0.3">
      <c r="A857" s="12" t="s">
        <v>1531</v>
      </c>
      <c r="B857" s="13">
        <v>45994</v>
      </c>
      <c r="C857" s="12" t="s">
        <v>107</v>
      </c>
      <c r="D857" s="12" t="s">
        <v>108</v>
      </c>
      <c r="E857" s="12" t="s">
        <v>39</v>
      </c>
      <c r="F857" s="12" t="s">
        <v>1436</v>
      </c>
      <c r="G857" s="12" t="s">
        <v>41</v>
      </c>
      <c r="H857" s="12" t="s">
        <v>81</v>
      </c>
      <c r="I857" s="12" t="s">
        <v>29</v>
      </c>
      <c r="J857" s="12" t="s">
        <v>89</v>
      </c>
      <c r="K857" s="12" t="s">
        <v>151</v>
      </c>
      <c r="L857" s="12" t="s">
        <v>103</v>
      </c>
      <c r="M857" s="12">
        <v>4</v>
      </c>
      <c r="N857" s="14">
        <v>1020.25</v>
      </c>
      <c r="O857" s="15">
        <v>0.25</v>
      </c>
      <c r="P857" s="14">
        <v>3060.75</v>
      </c>
      <c r="Q857" s="14">
        <v>1937.75</v>
      </c>
      <c r="R857" s="14">
        <v>1123</v>
      </c>
      <c r="S857" s="12" t="s">
        <v>63</v>
      </c>
      <c r="T857" s="12" t="s">
        <v>54</v>
      </c>
      <c r="U857" s="12">
        <v>3</v>
      </c>
      <c r="V857" s="12" t="s">
        <v>35</v>
      </c>
    </row>
    <row r="858" spans="1:22" x14ac:dyDescent="0.3">
      <c r="A858" s="8" t="s">
        <v>1532</v>
      </c>
      <c r="B858" s="9">
        <v>45685</v>
      </c>
      <c r="C858" s="8" t="s">
        <v>113</v>
      </c>
      <c r="D858" s="8" t="s">
        <v>114</v>
      </c>
      <c r="E858" s="8" t="s">
        <v>59</v>
      </c>
      <c r="F858" s="8" t="s">
        <v>1533</v>
      </c>
      <c r="G858" s="8" t="s">
        <v>27</v>
      </c>
      <c r="H858" s="8" t="s">
        <v>28</v>
      </c>
      <c r="I858" s="8" t="s">
        <v>68</v>
      </c>
      <c r="J858" s="8" t="s">
        <v>69</v>
      </c>
      <c r="K858" s="8" t="s">
        <v>70</v>
      </c>
      <c r="L858" s="8" t="s">
        <v>52</v>
      </c>
      <c r="M858" s="8">
        <v>3</v>
      </c>
      <c r="N858" s="10">
        <v>938.6</v>
      </c>
      <c r="O858" s="11">
        <v>0</v>
      </c>
      <c r="P858" s="10">
        <v>2815.8</v>
      </c>
      <c r="Q858" s="10">
        <v>1372.5</v>
      </c>
      <c r="R858" s="10">
        <v>1443.3</v>
      </c>
      <c r="S858" s="8" t="s">
        <v>63</v>
      </c>
      <c r="T858" s="8" t="s">
        <v>34</v>
      </c>
      <c r="U858" s="8">
        <v>5</v>
      </c>
      <c r="V858" s="8" t="s">
        <v>84</v>
      </c>
    </row>
    <row r="859" spans="1:22" x14ac:dyDescent="0.3">
      <c r="A859" s="12" t="s">
        <v>1534</v>
      </c>
      <c r="B859" s="13">
        <v>45885</v>
      </c>
      <c r="C859" s="12" t="s">
        <v>131</v>
      </c>
      <c r="D859" s="12" t="s">
        <v>132</v>
      </c>
      <c r="E859" s="12" t="s">
        <v>25</v>
      </c>
      <c r="F859" s="12" t="s">
        <v>638</v>
      </c>
      <c r="G859" s="12" t="s">
        <v>27</v>
      </c>
      <c r="H859" s="12" t="s">
        <v>94</v>
      </c>
      <c r="I859" s="12" t="s">
        <v>29</v>
      </c>
      <c r="J859" s="12" t="s">
        <v>75</v>
      </c>
      <c r="K859" s="12" t="s">
        <v>76</v>
      </c>
      <c r="L859" s="12" t="s">
        <v>52</v>
      </c>
      <c r="M859" s="12">
        <v>2</v>
      </c>
      <c r="N859" s="14">
        <v>765.58</v>
      </c>
      <c r="O859" s="15">
        <v>0</v>
      </c>
      <c r="P859" s="14">
        <v>1531.16</v>
      </c>
      <c r="Q859" s="14">
        <v>671.4</v>
      </c>
      <c r="R859" s="14">
        <v>859.76</v>
      </c>
      <c r="S859" s="12" t="s">
        <v>63</v>
      </c>
      <c r="T859" s="12" t="s">
        <v>71</v>
      </c>
      <c r="U859" s="12">
        <v>3</v>
      </c>
      <c r="V859" s="12" t="s">
        <v>72</v>
      </c>
    </row>
    <row r="860" spans="1:22" x14ac:dyDescent="0.3">
      <c r="A860" s="8" t="s">
        <v>1535</v>
      </c>
      <c r="B860" s="9">
        <v>45996</v>
      </c>
      <c r="C860" s="8" t="s">
        <v>113</v>
      </c>
      <c r="D860" s="8" t="s">
        <v>114</v>
      </c>
      <c r="E860" s="8" t="s">
        <v>59</v>
      </c>
      <c r="F860" s="8" t="s">
        <v>1197</v>
      </c>
      <c r="G860" s="8" t="s">
        <v>27</v>
      </c>
      <c r="H860" s="8" t="s">
        <v>28</v>
      </c>
      <c r="I860" s="8" t="s">
        <v>68</v>
      </c>
      <c r="J860" s="8" t="s">
        <v>30</v>
      </c>
      <c r="K860" s="8" t="s">
        <v>62</v>
      </c>
      <c r="L860" s="8" t="s">
        <v>91</v>
      </c>
      <c r="M860" s="8">
        <v>4</v>
      </c>
      <c r="N860" s="10">
        <v>981.21</v>
      </c>
      <c r="O860" s="11">
        <v>0.15</v>
      </c>
      <c r="P860" s="10">
        <v>3336.11</v>
      </c>
      <c r="Q860" s="10">
        <v>1847.55</v>
      </c>
      <c r="R860" s="10">
        <v>1488.56</v>
      </c>
      <c r="S860" s="8" t="s">
        <v>46</v>
      </c>
      <c r="T860" s="8" t="s">
        <v>34</v>
      </c>
      <c r="U860" s="8">
        <v>4</v>
      </c>
      <c r="V860" s="8" t="s">
        <v>35</v>
      </c>
    </row>
    <row r="861" spans="1:22" x14ac:dyDescent="0.3">
      <c r="A861" s="12" t="s">
        <v>1536</v>
      </c>
      <c r="B861" s="13">
        <v>45981</v>
      </c>
      <c r="C861" s="12" t="s">
        <v>125</v>
      </c>
      <c r="D861" s="12" t="s">
        <v>126</v>
      </c>
      <c r="E861" s="12" t="s">
        <v>25</v>
      </c>
      <c r="F861" s="12" t="s">
        <v>1297</v>
      </c>
      <c r="G861" s="12" t="s">
        <v>41</v>
      </c>
      <c r="H861" s="12" t="s">
        <v>81</v>
      </c>
      <c r="I861" s="12" t="s">
        <v>68</v>
      </c>
      <c r="J861" s="12" t="s">
        <v>69</v>
      </c>
      <c r="K861" s="12" t="s">
        <v>70</v>
      </c>
      <c r="L861" s="12" t="s">
        <v>52</v>
      </c>
      <c r="M861" s="12">
        <v>4</v>
      </c>
      <c r="N861" s="14">
        <v>875.71</v>
      </c>
      <c r="O861" s="15">
        <v>0.25</v>
      </c>
      <c r="P861" s="14">
        <v>2627.13</v>
      </c>
      <c r="Q861" s="14">
        <v>1828.37</v>
      </c>
      <c r="R861" s="14">
        <v>798.76</v>
      </c>
      <c r="S861" s="12" t="s">
        <v>46</v>
      </c>
      <c r="T861" s="12" t="s">
        <v>78</v>
      </c>
      <c r="U861" s="12">
        <v>4</v>
      </c>
      <c r="V861" s="12" t="s">
        <v>65</v>
      </c>
    </row>
    <row r="862" spans="1:22" x14ac:dyDescent="0.3">
      <c r="A862" s="8" t="s">
        <v>1537</v>
      </c>
      <c r="B862" s="9">
        <v>45784</v>
      </c>
      <c r="C862" s="8" t="s">
        <v>98</v>
      </c>
      <c r="D862" s="8" t="s">
        <v>99</v>
      </c>
      <c r="E862" s="8" t="s">
        <v>25</v>
      </c>
      <c r="F862" s="8" t="s">
        <v>799</v>
      </c>
      <c r="G862" s="8" t="s">
        <v>27</v>
      </c>
      <c r="H862" s="8" t="s">
        <v>94</v>
      </c>
      <c r="I862" s="8" t="s">
        <v>68</v>
      </c>
      <c r="J862" s="8" t="s">
        <v>75</v>
      </c>
      <c r="K862" s="8" t="s">
        <v>76</v>
      </c>
      <c r="L862" s="8" t="s">
        <v>45</v>
      </c>
      <c r="M862" s="8">
        <v>3</v>
      </c>
      <c r="N862" s="10">
        <v>815.19</v>
      </c>
      <c r="O862" s="11">
        <v>0.2</v>
      </c>
      <c r="P862" s="10">
        <v>1956.46</v>
      </c>
      <c r="Q862" s="10">
        <v>1002.32</v>
      </c>
      <c r="R862" s="10">
        <v>954.14</v>
      </c>
      <c r="S862" s="8" t="s">
        <v>53</v>
      </c>
      <c r="T862" s="8" t="s">
        <v>156</v>
      </c>
      <c r="U862" s="8">
        <v>3</v>
      </c>
      <c r="V862" s="8" t="s">
        <v>134</v>
      </c>
    </row>
    <row r="863" spans="1:22" x14ac:dyDescent="0.3">
      <c r="A863" s="12" t="s">
        <v>1538</v>
      </c>
      <c r="B863" s="13">
        <v>45677</v>
      </c>
      <c r="C863" s="12" t="s">
        <v>23</v>
      </c>
      <c r="D863" s="12" t="s">
        <v>24</v>
      </c>
      <c r="E863" s="12" t="s">
        <v>25</v>
      </c>
      <c r="F863" s="12" t="s">
        <v>1539</v>
      </c>
      <c r="G863" s="12" t="s">
        <v>41</v>
      </c>
      <c r="H863" s="12" t="s">
        <v>42</v>
      </c>
      <c r="I863" s="12" t="s">
        <v>29</v>
      </c>
      <c r="J863" s="12" t="s">
        <v>89</v>
      </c>
      <c r="K863" s="12" t="s">
        <v>90</v>
      </c>
      <c r="L863" s="12" t="s">
        <v>91</v>
      </c>
      <c r="M863" s="12">
        <v>3</v>
      </c>
      <c r="N863" s="14">
        <v>3388.05</v>
      </c>
      <c r="O863" s="15">
        <v>0.1</v>
      </c>
      <c r="P863" s="14">
        <v>9147.74</v>
      </c>
      <c r="Q863" s="14">
        <v>6387.48</v>
      </c>
      <c r="R863" s="14">
        <v>2760.26</v>
      </c>
      <c r="S863" s="12" t="s">
        <v>83</v>
      </c>
      <c r="T863" s="12" t="s">
        <v>156</v>
      </c>
      <c r="U863" s="12">
        <v>5</v>
      </c>
      <c r="V863" s="12" t="s">
        <v>84</v>
      </c>
    </row>
    <row r="864" spans="1:22" x14ac:dyDescent="0.3">
      <c r="A864" s="8" t="s">
        <v>1540</v>
      </c>
      <c r="B864" s="9">
        <v>45956</v>
      </c>
      <c r="C864" s="8" t="s">
        <v>57</v>
      </c>
      <c r="D864" s="8" t="s">
        <v>58</v>
      </c>
      <c r="E864" s="8" t="s">
        <v>59</v>
      </c>
      <c r="F864" s="8" t="s">
        <v>1341</v>
      </c>
      <c r="G864" s="8" t="s">
        <v>41</v>
      </c>
      <c r="H864" s="8" t="s">
        <v>42</v>
      </c>
      <c r="I864" s="8" t="s">
        <v>29</v>
      </c>
      <c r="J864" s="8" t="s">
        <v>43</v>
      </c>
      <c r="K864" s="8" t="s">
        <v>44</v>
      </c>
      <c r="L864" s="8" t="s">
        <v>45</v>
      </c>
      <c r="M864" s="8">
        <v>4</v>
      </c>
      <c r="N864" s="10">
        <v>588.6</v>
      </c>
      <c r="O864" s="11">
        <v>0.1</v>
      </c>
      <c r="P864" s="10">
        <v>2118.96</v>
      </c>
      <c r="Q864" s="10">
        <v>1083.22</v>
      </c>
      <c r="R864" s="10">
        <v>1035.74</v>
      </c>
      <c r="S864" s="8" t="s">
        <v>83</v>
      </c>
      <c r="T864" s="8" t="s">
        <v>156</v>
      </c>
      <c r="U864" s="8">
        <v>3</v>
      </c>
      <c r="V864" s="8" t="s">
        <v>123</v>
      </c>
    </row>
    <row r="865" spans="1:22" x14ac:dyDescent="0.3">
      <c r="A865" s="12" t="s">
        <v>1541</v>
      </c>
      <c r="B865" s="13">
        <v>45752</v>
      </c>
      <c r="C865" s="12" t="s">
        <v>37</v>
      </c>
      <c r="D865" s="12" t="s">
        <v>38</v>
      </c>
      <c r="E865" s="12" t="s">
        <v>39</v>
      </c>
      <c r="F865" s="12" t="s">
        <v>1542</v>
      </c>
      <c r="G865" s="12" t="s">
        <v>27</v>
      </c>
      <c r="H865" s="12" t="s">
        <v>81</v>
      </c>
      <c r="I865" s="12" t="s">
        <v>29</v>
      </c>
      <c r="J865" s="12" t="s">
        <v>69</v>
      </c>
      <c r="K865" s="12" t="s">
        <v>137</v>
      </c>
      <c r="L865" s="12" t="s">
        <v>175</v>
      </c>
      <c r="M865" s="12">
        <v>4</v>
      </c>
      <c r="N865" s="14">
        <v>504.34</v>
      </c>
      <c r="O865" s="15">
        <v>0.15</v>
      </c>
      <c r="P865" s="14">
        <v>1714.76</v>
      </c>
      <c r="Q865" s="14">
        <v>918.68</v>
      </c>
      <c r="R865" s="14">
        <v>796.08</v>
      </c>
      <c r="S865" s="12" t="s">
        <v>63</v>
      </c>
      <c r="T865" s="12" t="s">
        <v>111</v>
      </c>
      <c r="U865" s="12">
        <v>4</v>
      </c>
      <c r="V865" s="12" t="s">
        <v>96</v>
      </c>
    </row>
    <row r="866" spans="1:22" x14ac:dyDescent="0.3">
      <c r="A866" s="8" t="s">
        <v>1543</v>
      </c>
      <c r="B866" s="9">
        <v>45958</v>
      </c>
      <c r="C866" s="8" t="s">
        <v>131</v>
      </c>
      <c r="D866" s="8" t="s">
        <v>132</v>
      </c>
      <c r="E866" s="8" t="s">
        <v>25</v>
      </c>
      <c r="F866" s="8" t="s">
        <v>510</v>
      </c>
      <c r="G866" s="8" t="s">
        <v>41</v>
      </c>
      <c r="H866" s="8" t="s">
        <v>28</v>
      </c>
      <c r="I866" s="8" t="s">
        <v>29</v>
      </c>
      <c r="J866" s="8" t="s">
        <v>89</v>
      </c>
      <c r="K866" s="8" t="s">
        <v>90</v>
      </c>
      <c r="L866" s="8" t="s">
        <v>91</v>
      </c>
      <c r="M866" s="8">
        <v>2</v>
      </c>
      <c r="N866" s="10">
        <v>3618.61</v>
      </c>
      <c r="O866" s="11">
        <v>0.05</v>
      </c>
      <c r="P866" s="10">
        <v>6875.36</v>
      </c>
      <c r="Q866" s="10">
        <v>4317.26</v>
      </c>
      <c r="R866" s="10">
        <v>2558.1</v>
      </c>
      <c r="S866" s="8" t="s">
        <v>33</v>
      </c>
      <c r="T866" s="8" t="s">
        <v>104</v>
      </c>
      <c r="U866" s="8">
        <v>3</v>
      </c>
      <c r="V866" s="8" t="s">
        <v>123</v>
      </c>
    </row>
    <row r="867" spans="1:22" x14ac:dyDescent="0.3">
      <c r="A867" s="12" t="s">
        <v>1544</v>
      </c>
      <c r="B867" s="13">
        <v>45769</v>
      </c>
      <c r="C867" s="12" t="s">
        <v>125</v>
      </c>
      <c r="D867" s="12" t="s">
        <v>126</v>
      </c>
      <c r="E867" s="12" t="s">
        <v>25</v>
      </c>
      <c r="F867" s="12" t="s">
        <v>1545</v>
      </c>
      <c r="G867" s="12" t="s">
        <v>41</v>
      </c>
      <c r="H867" s="12" t="s">
        <v>81</v>
      </c>
      <c r="I867" s="12" t="s">
        <v>29</v>
      </c>
      <c r="J867" s="12" t="s">
        <v>69</v>
      </c>
      <c r="K867" s="12" t="s">
        <v>137</v>
      </c>
      <c r="L867" s="12" t="s">
        <v>32</v>
      </c>
      <c r="M867" s="12">
        <v>1</v>
      </c>
      <c r="N867" s="14">
        <v>480.68</v>
      </c>
      <c r="O867" s="15">
        <v>0</v>
      </c>
      <c r="P867" s="14">
        <v>480.68</v>
      </c>
      <c r="Q867" s="14">
        <v>219.31</v>
      </c>
      <c r="R867" s="14">
        <v>261.37</v>
      </c>
      <c r="S867" s="12" t="s">
        <v>46</v>
      </c>
      <c r="T867" s="12" t="s">
        <v>64</v>
      </c>
      <c r="U867" s="12">
        <v>3</v>
      </c>
      <c r="V867" s="12" t="s">
        <v>96</v>
      </c>
    </row>
    <row r="868" spans="1:22" x14ac:dyDescent="0.3">
      <c r="A868" s="8" t="s">
        <v>1546</v>
      </c>
      <c r="B868" s="9">
        <v>45733</v>
      </c>
      <c r="C868" s="8" t="s">
        <v>86</v>
      </c>
      <c r="D868" s="8" t="s">
        <v>87</v>
      </c>
      <c r="E868" s="8" t="s">
        <v>59</v>
      </c>
      <c r="F868" s="8" t="s">
        <v>1547</v>
      </c>
      <c r="G868" s="8" t="s">
        <v>27</v>
      </c>
      <c r="H868" s="8" t="s">
        <v>42</v>
      </c>
      <c r="I868" s="8" t="s">
        <v>29</v>
      </c>
      <c r="J868" s="8" t="s">
        <v>89</v>
      </c>
      <c r="K868" s="8" t="s">
        <v>89</v>
      </c>
      <c r="L868" s="8" t="s">
        <v>32</v>
      </c>
      <c r="M868" s="8">
        <v>4</v>
      </c>
      <c r="N868" s="10">
        <v>1334.03</v>
      </c>
      <c r="O868" s="11">
        <v>0.2</v>
      </c>
      <c r="P868" s="10">
        <v>4268.8999999999996</v>
      </c>
      <c r="Q868" s="10">
        <v>2772.73</v>
      </c>
      <c r="R868" s="10">
        <v>1496.17</v>
      </c>
      <c r="S868" s="8" t="s">
        <v>63</v>
      </c>
      <c r="T868" s="8" t="s">
        <v>147</v>
      </c>
      <c r="U868" s="8">
        <v>3</v>
      </c>
      <c r="V868" s="8" t="s">
        <v>55</v>
      </c>
    </row>
    <row r="869" spans="1:22" x14ac:dyDescent="0.3">
      <c r="A869" s="12" t="s">
        <v>1548</v>
      </c>
      <c r="B869" s="13">
        <v>45863</v>
      </c>
      <c r="C869" s="12" t="s">
        <v>23</v>
      </c>
      <c r="D869" s="12" t="s">
        <v>24</v>
      </c>
      <c r="E869" s="12" t="s">
        <v>25</v>
      </c>
      <c r="F869" s="12" t="s">
        <v>1549</v>
      </c>
      <c r="G869" s="12" t="s">
        <v>41</v>
      </c>
      <c r="H869" s="12" t="s">
        <v>42</v>
      </c>
      <c r="I869" s="12" t="s">
        <v>68</v>
      </c>
      <c r="J869" s="12" t="s">
        <v>43</v>
      </c>
      <c r="K869" s="12" t="s">
        <v>162</v>
      </c>
      <c r="L869" s="12" t="s">
        <v>91</v>
      </c>
      <c r="M869" s="12">
        <v>1</v>
      </c>
      <c r="N869" s="14">
        <v>901.36</v>
      </c>
      <c r="O869" s="15">
        <v>0.05</v>
      </c>
      <c r="P869" s="14">
        <v>856.29</v>
      </c>
      <c r="Q869" s="14">
        <v>405.02</v>
      </c>
      <c r="R869" s="14">
        <v>451.27</v>
      </c>
      <c r="S869" s="12" t="s">
        <v>83</v>
      </c>
      <c r="T869" s="12" t="s">
        <v>147</v>
      </c>
      <c r="U869" s="12">
        <v>3</v>
      </c>
      <c r="V869" s="12" t="s">
        <v>120</v>
      </c>
    </row>
    <row r="870" spans="1:22" x14ac:dyDescent="0.3">
      <c r="A870" s="8" t="s">
        <v>1550</v>
      </c>
      <c r="B870" s="9">
        <v>45821</v>
      </c>
      <c r="C870" s="8" t="s">
        <v>48</v>
      </c>
      <c r="D870" s="8" t="s">
        <v>49</v>
      </c>
      <c r="E870" s="8" t="s">
        <v>39</v>
      </c>
      <c r="F870" s="8" t="s">
        <v>1551</v>
      </c>
      <c r="G870" s="8" t="s">
        <v>41</v>
      </c>
      <c r="H870" s="8" t="s">
        <v>28</v>
      </c>
      <c r="I870" s="8" t="s">
        <v>68</v>
      </c>
      <c r="J870" s="8" t="s">
        <v>101</v>
      </c>
      <c r="K870" s="8" t="s">
        <v>217</v>
      </c>
      <c r="L870" s="8" t="s">
        <v>77</v>
      </c>
      <c r="M870" s="8">
        <v>5</v>
      </c>
      <c r="N870" s="10">
        <v>3021.09</v>
      </c>
      <c r="O870" s="11">
        <v>0.25</v>
      </c>
      <c r="P870" s="10">
        <v>11329.09</v>
      </c>
      <c r="Q870" s="10">
        <v>8587.83</v>
      </c>
      <c r="R870" s="10">
        <v>2741.26</v>
      </c>
      <c r="S870" s="8" t="s">
        <v>83</v>
      </c>
      <c r="T870" s="8" t="s">
        <v>71</v>
      </c>
      <c r="U870" s="8">
        <v>4</v>
      </c>
      <c r="V870" s="8" t="s">
        <v>157</v>
      </c>
    </row>
    <row r="871" spans="1:22" x14ac:dyDescent="0.3">
      <c r="A871" s="12" t="s">
        <v>1552</v>
      </c>
      <c r="B871" s="13">
        <v>45905</v>
      </c>
      <c r="C871" s="12" t="s">
        <v>107</v>
      </c>
      <c r="D871" s="12" t="s">
        <v>108</v>
      </c>
      <c r="E871" s="12" t="s">
        <v>39</v>
      </c>
      <c r="F871" s="12" t="s">
        <v>1553</v>
      </c>
      <c r="G871" s="12" t="s">
        <v>41</v>
      </c>
      <c r="H871" s="12" t="s">
        <v>42</v>
      </c>
      <c r="I871" s="12" t="s">
        <v>29</v>
      </c>
      <c r="J871" s="12" t="s">
        <v>43</v>
      </c>
      <c r="K871" s="12" t="s">
        <v>44</v>
      </c>
      <c r="L871" s="12" t="s">
        <v>77</v>
      </c>
      <c r="M871" s="12">
        <v>1</v>
      </c>
      <c r="N871" s="14">
        <v>622</v>
      </c>
      <c r="O871" s="15">
        <v>0.15</v>
      </c>
      <c r="P871" s="14">
        <v>528.70000000000005</v>
      </c>
      <c r="Q871" s="14">
        <v>250.16</v>
      </c>
      <c r="R871" s="14">
        <v>278.54000000000002</v>
      </c>
      <c r="S871" s="12" t="s">
        <v>83</v>
      </c>
      <c r="T871" s="12" t="s">
        <v>147</v>
      </c>
      <c r="U871" s="12">
        <v>5</v>
      </c>
      <c r="V871" s="12" t="s">
        <v>116</v>
      </c>
    </row>
    <row r="872" spans="1:22" x14ac:dyDescent="0.3">
      <c r="A872" s="8" t="s">
        <v>1554</v>
      </c>
      <c r="B872" s="9">
        <v>45776</v>
      </c>
      <c r="C872" s="8" t="s">
        <v>131</v>
      </c>
      <c r="D872" s="8" t="s">
        <v>132</v>
      </c>
      <c r="E872" s="8" t="s">
        <v>25</v>
      </c>
      <c r="F872" s="8" t="s">
        <v>1555</v>
      </c>
      <c r="G872" s="8" t="s">
        <v>41</v>
      </c>
      <c r="H872" s="8" t="s">
        <v>81</v>
      </c>
      <c r="I872" s="8" t="s">
        <v>68</v>
      </c>
      <c r="J872" s="8" t="s">
        <v>89</v>
      </c>
      <c r="K872" s="8" t="s">
        <v>90</v>
      </c>
      <c r="L872" s="8" t="s">
        <v>45</v>
      </c>
      <c r="M872" s="8">
        <v>1</v>
      </c>
      <c r="N872" s="10">
        <v>3617.75</v>
      </c>
      <c r="O872" s="11">
        <v>0.15</v>
      </c>
      <c r="P872" s="10">
        <v>3075.09</v>
      </c>
      <c r="Q872" s="10">
        <v>2176.56</v>
      </c>
      <c r="R872" s="10">
        <v>898.53</v>
      </c>
      <c r="S872" s="8" t="s">
        <v>63</v>
      </c>
      <c r="T872" s="8" t="s">
        <v>111</v>
      </c>
      <c r="U872" s="8">
        <v>4</v>
      </c>
      <c r="V872" s="8" t="s">
        <v>96</v>
      </c>
    </row>
    <row r="873" spans="1:22" x14ac:dyDescent="0.3">
      <c r="A873" s="12" t="s">
        <v>1556</v>
      </c>
      <c r="B873" s="13">
        <v>45965</v>
      </c>
      <c r="C873" s="12" t="s">
        <v>23</v>
      </c>
      <c r="D873" s="12" t="s">
        <v>24</v>
      </c>
      <c r="E873" s="12" t="s">
        <v>25</v>
      </c>
      <c r="F873" s="12" t="s">
        <v>1557</v>
      </c>
      <c r="G873" s="12" t="s">
        <v>41</v>
      </c>
      <c r="H873" s="12" t="s">
        <v>81</v>
      </c>
      <c r="I873" s="12" t="s">
        <v>29</v>
      </c>
      <c r="J873" s="12" t="s">
        <v>75</v>
      </c>
      <c r="K873" s="12" t="s">
        <v>154</v>
      </c>
      <c r="L873" s="12" t="s">
        <v>82</v>
      </c>
      <c r="M873" s="12">
        <v>5</v>
      </c>
      <c r="N873" s="14">
        <v>2047.27</v>
      </c>
      <c r="O873" s="15">
        <v>0</v>
      </c>
      <c r="P873" s="14">
        <v>10236.35</v>
      </c>
      <c r="Q873" s="14">
        <v>5272.32</v>
      </c>
      <c r="R873" s="14">
        <v>4964.03</v>
      </c>
      <c r="S873" s="12" t="s">
        <v>33</v>
      </c>
      <c r="T873" s="12" t="s">
        <v>147</v>
      </c>
      <c r="U873" s="12">
        <v>5</v>
      </c>
      <c r="V873" s="12" t="s">
        <v>65</v>
      </c>
    </row>
    <row r="874" spans="1:22" x14ac:dyDescent="0.3">
      <c r="A874" s="8" t="s">
        <v>1558</v>
      </c>
      <c r="B874" s="9">
        <v>45988</v>
      </c>
      <c r="C874" s="8" t="s">
        <v>98</v>
      </c>
      <c r="D874" s="8" t="s">
        <v>99</v>
      </c>
      <c r="E874" s="8" t="s">
        <v>25</v>
      </c>
      <c r="F874" s="8" t="s">
        <v>1559</v>
      </c>
      <c r="G874" s="8" t="s">
        <v>41</v>
      </c>
      <c r="H874" s="8" t="s">
        <v>81</v>
      </c>
      <c r="I874" s="8" t="s">
        <v>61</v>
      </c>
      <c r="J874" s="8" t="s">
        <v>101</v>
      </c>
      <c r="K874" s="8" t="s">
        <v>217</v>
      </c>
      <c r="L874" s="8" t="s">
        <v>103</v>
      </c>
      <c r="M874" s="8">
        <v>5</v>
      </c>
      <c r="N874" s="10">
        <v>2934.86</v>
      </c>
      <c r="O874" s="11">
        <v>0.3</v>
      </c>
      <c r="P874" s="10">
        <v>10272.01</v>
      </c>
      <c r="Q874" s="10">
        <v>8173.44</v>
      </c>
      <c r="R874" s="10">
        <v>2098.5700000000002</v>
      </c>
      <c r="S874" s="8" t="s">
        <v>46</v>
      </c>
      <c r="T874" s="8" t="s">
        <v>54</v>
      </c>
      <c r="U874" s="8">
        <v>4</v>
      </c>
      <c r="V874" s="8" t="s">
        <v>65</v>
      </c>
    </row>
    <row r="875" spans="1:22" x14ac:dyDescent="0.3">
      <c r="A875" s="12" t="s">
        <v>1560</v>
      </c>
      <c r="B875" s="13">
        <v>45733</v>
      </c>
      <c r="C875" s="12" t="s">
        <v>57</v>
      </c>
      <c r="D875" s="12" t="s">
        <v>58</v>
      </c>
      <c r="E875" s="12" t="s">
        <v>59</v>
      </c>
      <c r="F875" s="12" t="s">
        <v>851</v>
      </c>
      <c r="G875" s="12" t="s">
        <v>27</v>
      </c>
      <c r="H875" s="12" t="s">
        <v>94</v>
      </c>
      <c r="I875" s="12" t="s">
        <v>61</v>
      </c>
      <c r="J875" s="12" t="s">
        <v>75</v>
      </c>
      <c r="K875" s="12" t="s">
        <v>76</v>
      </c>
      <c r="L875" s="12" t="s">
        <v>175</v>
      </c>
      <c r="M875" s="12">
        <v>1</v>
      </c>
      <c r="N875" s="14">
        <v>837.52</v>
      </c>
      <c r="O875" s="15">
        <v>0.25</v>
      </c>
      <c r="P875" s="14">
        <v>628.14</v>
      </c>
      <c r="Q875" s="14">
        <v>333.18</v>
      </c>
      <c r="R875" s="14">
        <v>294.95999999999998</v>
      </c>
      <c r="S875" s="12" t="s">
        <v>46</v>
      </c>
      <c r="T875" s="12" t="s">
        <v>54</v>
      </c>
      <c r="U875" s="12">
        <v>5</v>
      </c>
      <c r="V875" s="12" t="s">
        <v>55</v>
      </c>
    </row>
    <row r="876" spans="1:22" x14ac:dyDescent="0.3">
      <c r="A876" s="8" t="s">
        <v>1561</v>
      </c>
      <c r="B876" s="9">
        <v>45671</v>
      </c>
      <c r="C876" s="8" t="s">
        <v>48</v>
      </c>
      <c r="D876" s="8" t="s">
        <v>49</v>
      </c>
      <c r="E876" s="8" t="s">
        <v>39</v>
      </c>
      <c r="F876" s="8" t="s">
        <v>1562</v>
      </c>
      <c r="G876" s="8" t="s">
        <v>27</v>
      </c>
      <c r="H876" s="8" t="s">
        <v>94</v>
      </c>
      <c r="I876" s="8" t="s">
        <v>29</v>
      </c>
      <c r="J876" s="8" t="s">
        <v>101</v>
      </c>
      <c r="K876" s="8" t="s">
        <v>110</v>
      </c>
      <c r="L876" s="8" t="s">
        <v>45</v>
      </c>
      <c r="M876" s="8">
        <v>4</v>
      </c>
      <c r="N876" s="10">
        <v>4933.7700000000004</v>
      </c>
      <c r="O876" s="11">
        <v>0.2</v>
      </c>
      <c r="P876" s="10">
        <v>15788.06</v>
      </c>
      <c r="Q876" s="10">
        <v>12222.41</v>
      </c>
      <c r="R876" s="10">
        <v>3565.65</v>
      </c>
      <c r="S876" s="8" t="s">
        <v>83</v>
      </c>
      <c r="T876" s="8" t="s">
        <v>111</v>
      </c>
      <c r="U876" s="8">
        <v>4</v>
      </c>
      <c r="V876" s="8" t="s">
        <v>84</v>
      </c>
    </row>
    <row r="877" spans="1:22" x14ac:dyDescent="0.3">
      <c r="A877" s="12" t="s">
        <v>1563</v>
      </c>
      <c r="B877" s="13">
        <v>45745</v>
      </c>
      <c r="C877" s="12" t="s">
        <v>23</v>
      </c>
      <c r="D877" s="12" t="s">
        <v>24</v>
      </c>
      <c r="E877" s="12" t="s">
        <v>25</v>
      </c>
      <c r="F877" s="12" t="s">
        <v>1564</v>
      </c>
      <c r="G877" s="12" t="s">
        <v>27</v>
      </c>
      <c r="H877" s="12" t="s">
        <v>28</v>
      </c>
      <c r="I877" s="12" t="s">
        <v>68</v>
      </c>
      <c r="J877" s="12" t="s">
        <v>30</v>
      </c>
      <c r="K877" s="12" t="s">
        <v>144</v>
      </c>
      <c r="L877" s="12" t="s">
        <v>32</v>
      </c>
      <c r="M877" s="12">
        <v>3</v>
      </c>
      <c r="N877" s="14">
        <v>2398.14</v>
      </c>
      <c r="O877" s="15">
        <v>0</v>
      </c>
      <c r="P877" s="14">
        <v>7194.42</v>
      </c>
      <c r="Q877" s="14">
        <v>4336.78</v>
      </c>
      <c r="R877" s="14">
        <v>2857.64</v>
      </c>
      <c r="S877" s="12" t="s">
        <v>83</v>
      </c>
      <c r="T877" s="12" t="s">
        <v>104</v>
      </c>
      <c r="U877" s="12">
        <v>4</v>
      </c>
      <c r="V877" s="12" t="s">
        <v>55</v>
      </c>
    </row>
    <row r="878" spans="1:22" x14ac:dyDescent="0.3">
      <c r="A878" s="8" t="s">
        <v>1565</v>
      </c>
      <c r="B878" s="9">
        <v>45856</v>
      </c>
      <c r="C878" s="8" t="s">
        <v>125</v>
      </c>
      <c r="D878" s="8" t="s">
        <v>126</v>
      </c>
      <c r="E878" s="8" t="s">
        <v>25</v>
      </c>
      <c r="F878" s="8" t="s">
        <v>1566</v>
      </c>
      <c r="G878" s="8" t="s">
        <v>41</v>
      </c>
      <c r="H878" s="8" t="s">
        <v>42</v>
      </c>
      <c r="I878" s="8" t="s">
        <v>61</v>
      </c>
      <c r="J878" s="8" t="s">
        <v>101</v>
      </c>
      <c r="K878" s="8" t="s">
        <v>110</v>
      </c>
      <c r="L878" s="8" t="s">
        <v>77</v>
      </c>
      <c r="M878" s="8">
        <v>5</v>
      </c>
      <c r="N878" s="10">
        <v>5116.08</v>
      </c>
      <c r="O878" s="11">
        <v>0.15</v>
      </c>
      <c r="P878" s="10">
        <v>21743.34</v>
      </c>
      <c r="Q878" s="10">
        <v>15487.85</v>
      </c>
      <c r="R878" s="10">
        <v>6255.49</v>
      </c>
      <c r="S878" s="8" t="s">
        <v>33</v>
      </c>
      <c r="T878" s="8" t="s">
        <v>147</v>
      </c>
      <c r="U878" s="8">
        <v>4</v>
      </c>
      <c r="V878" s="8" t="s">
        <v>120</v>
      </c>
    </row>
    <row r="879" spans="1:22" x14ac:dyDescent="0.3">
      <c r="A879" s="12" t="s">
        <v>1567</v>
      </c>
      <c r="B879" s="13">
        <v>45715</v>
      </c>
      <c r="C879" s="12" t="s">
        <v>86</v>
      </c>
      <c r="D879" s="12" t="s">
        <v>87</v>
      </c>
      <c r="E879" s="12" t="s">
        <v>59</v>
      </c>
      <c r="F879" s="12" t="s">
        <v>1568</v>
      </c>
      <c r="G879" s="12" t="s">
        <v>27</v>
      </c>
      <c r="H879" s="12" t="s">
        <v>28</v>
      </c>
      <c r="I879" s="12" t="s">
        <v>68</v>
      </c>
      <c r="J879" s="12" t="s">
        <v>43</v>
      </c>
      <c r="K879" s="12" t="s">
        <v>162</v>
      </c>
      <c r="L879" s="12" t="s">
        <v>175</v>
      </c>
      <c r="M879" s="12">
        <v>2</v>
      </c>
      <c r="N879" s="14">
        <v>922.71</v>
      </c>
      <c r="O879" s="15">
        <v>0.3</v>
      </c>
      <c r="P879" s="14">
        <v>1291.79</v>
      </c>
      <c r="Q879" s="14">
        <v>803.3</v>
      </c>
      <c r="R879" s="14">
        <v>488.49</v>
      </c>
      <c r="S879" s="12" t="s">
        <v>33</v>
      </c>
      <c r="T879" s="12" t="s">
        <v>111</v>
      </c>
      <c r="U879" s="12">
        <v>5</v>
      </c>
      <c r="V879" s="12" t="s">
        <v>105</v>
      </c>
    </row>
    <row r="880" spans="1:22" x14ac:dyDescent="0.3">
      <c r="A880" s="8" t="s">
        <v>1569</v>
      </c>
      <c r="B880" s="9">
        <v>45833</v>
      </c>
      <c r="C880" s="8" t="s">
        <v>48</v>
      </c>
      <c r="D880" s="8" t="s">
        <v>49</v>
      </c>
      <c r="E880" s="8" t="s">
        <v>39</v>
      </c>
      <c r="F880" s="8" t="s">
        <v>208</v>
      </c>
      <c r="G880" s="8" t="s">
        <v>41</v>
      </c>
      <c r="H880" s="8" t="s">
        <v>42</v>
      </c>
      <c r="I880" s="8" t="s">
        <v>68</v>
      </c>
      <c r="J880" s="8" t="s">
        <v>30</v>
      </c>
      <c r="K880" s="8" t="s">
        <v>31</v>
      </c>
      <c r="L880" s="8" t="s">
        <v>82</v>
      </c>
      <c r="M880" s="8">
        <v>5</v>
      </c>
      <c r="N880" s="10">
        <v>4060.84</v>
      </c>
      <c r="O880" s="11">
        <v>0.1</v>
      </c>
      <c r="P880" s="10">
        <v>18273.78</v>
      </c>
      <c r="Q880" s="10">
        <v>11426.18</v>
      </c>
      <c r="R880" s="10">
        <v>6847.6</v>
      </c>
      <c r="S880" s="8" t="s">
        <v>46</v>
      </c>
      <c r="T880" s="8" t="s">
        <v>54</v>
      </c>
      <c r="U880" s="8">
        <v>4</v>
      </c>
      <c r="V880" s="8" t="s">
        <v>157</v>
      </c>
    </row>
    <row r="881" spans="1:22" x14ac:dyDescent="0.3">
      <c r="A881" s="12" t="s">
        <v>1570</v>
      </c>
      <c r="B881" s="13">
        <v>45759</v>
      </c>
      <c r="C881" s="12" t="s">
        <v>131</v>
      </c>
      <c r="D881" s="12" t="s">
        <v>132</v>
      </c>
      <c r="E881" s="12" t="s">
        <v>25</v>
      </c>
      <c r="F881" s="12" t="s">
        <v>906</v>
      </c>
      <c r="G881" s="12" t="s">
        <v>27</v>
      </c>
      <c r="H881" s="12" t="s">
        <v>81</v>
      </c>
      <c r="I881" s="12" t="s">
        <v>29</v>
      </c>
      <c r="J881" s="12" t="s">
        <v>89</v>
      </c>
      <c r="K881" s="12" t="s">
        <v>89</v>
      </c>
      <c r="L881" s="12" t="s">
        <v>82</v>
      </c>
      <c r="M881" s="12">
        <v>3</v>
      </c>
      <c r="N881" s="14">
        <v>1349.35</v>
      </c>
      <c r="O881" s="15">
        <v>0.25</v>
      </c>
      <c r="P881" s="14">
        <v>3036.04</v>
      </c>
      <c r="Q881" s="14">
        <v>2015.09</v>
      </c>
      <c r="R881" s="14">
        <v>1020.95</v>
      </c>
      <c r="S881" s="12" t="s">
        <v>46</v>
      </c>
      <c r="T881" s="12" t="s">
        <v>64</v>
      </c>
      <c r="U881" s="12">
        <v>4</v>
      </c>
      <c r="V881" s="12" t="s">
        <v>96</v>
      </c>
    </row>
    <row r="882" spans="1:22" x14ac:dyDescent="0.3">
      <c r="A882" s="8" t="s">
        <v>1571</v>
      </c>
      <c r="B882" s="9">
        <v>45712</v>
      </c>
      <c r="C882" s="8" t="s">
        <v>98</v>
      </c>
      <c r="D882" s="8" t="s">
        <v>99</v>
      </c>
      <c r="E882" s="8" t="s">
        <v>25</v>
      </c>
      <c r="F882" s="8" t="s">
        <v>1572</v>
      </c>
      <c r="G882" s="8" t="s">
        <v>27</v>
      </c>
      <c r="H882" s="8" t="s">
        <v>94</v>
      </c>
      <c r="I882" s="8" t="s">
        <v>61</v>
      </c>
      <c r="J882" s="8" t="s">
        <v>75</v>
      </c>
      <c r="K882" s="8" t="s">
        <v>154</v>
      </c>
      <c r="L882" s="8" t="s">
        <v>45</v>
      </c>
      <c r="M882" s="8">
        <v>4</v>
      </c>
      <c r="N882" s="10">
        <v>2043.16</v>
      </c>
      <c r="O882" s="11">
        <v>0.2</v>
      </c>
      <c r="P882" s="10">
        <v>6538.11</v>
      </c>
      <c r="Q882" s="10">
        <v>4407.87</v>
      </c>
      <c r="R882" s="10">
        <v>2130.2399999999998</v>
      </c>
      <c r="S882" s="8" t="s">
        <v>63</v>
      </c>
      <c r="T882" s="8" t="s">
        <v>71</v>
      </c>
      <c r="U882" s="8">
        <v>3</v>
      </c>
      <c r="V882" s="8" t="s">
        <v>105</v>
      </c>
    </row>
    <row r="883" spans="1:22" x14ac:dyDescent="0.3">
      <c r="A883" s="12" t="s">
        <v>1573</v>
      </c>
      <c r="B883" s="13">
        <v>45979</v>
      </c>
      <c r="C883" s="12" t="s">
        <v>23</v>
      </c>
      <c r="D883" s="12" t="s">
        <v>24</v>
      </c>
      <c r="E883" s="12" t="s">
        <v>25</v>
      </c>
      <c r="F883" s="12" t="s">
        <v>1574</v>
      </c>
      <c r="G883" s="12" t="s">
        <v>27</v>
      </c>
      <c r="H883" s="12" t="s">
        <v>42</v>
      </c>
      <c r="I883" s="12" t="s">
        <v>68</v>
      </c>
      <c r="J883" s="12" t="s">
        <v>75</v>
      </c>
      <c r="K883" s="12" t="s">
        <v>95</v>
      </c>
      <c r="L883" s="12" t="s">
        <v>103</v>
      </c>
      <c r="M883" s="12">
        <v>4</v>
      </c>
      <c r="N883" s="14">
        <v>24142.799999999999</v>
      </c>
      <c r="O883" s="15">
        <v>0</v>
      </c>
      <c r="P883" s="14">
        <v>96571.199999999997</v>
      </c>
      <c r="Q883" s="14">
        <v>75233.64</v>
      </c>
      <c r="R883" s="14">
        <v>21337.56</v>
      </c>
      <c r="S883" s="12" t="s">
        <v>33</v>
      </c>
      <c r="T883" s="12" t="s">
        <v>64</v>
      </c>
      <c r="U883" s="12">
        <v>4</v>
      </c>
      <c r="V883" s="12" t="s">
        <v>65</v>
      </c>
    </row>
    <row r="884" spans="1:22" x14ac:dyDescent="0.3">
      <c r="A884" s="8" t="s">
        <v>1575</v>
      </c>
      <c r="B884" s="9">
        <v>45775</v>
      </c>
      <c r="C884" s="8" t="s">
        <v>86</v>
      </c>
      <c r="D884" s="8" t="s">
        <v>87</v>
      </c>
      <c r="E884" s="8" t="s">
        <v>59</v>
      </c>
      <c r="F884" s="8" t="s">
        <v>273</v>
      </c>
      <c r="G884" s="8" t="s">
        <v>41</v>
      </c>
      <c r="H884" s="8" t="s">
        <v>94</v>
      </c>
      <c r="I884" s="8" t="s">
        <v>61</v>
      </c>
      <c r="J884" s="8" t="s">
        <v>75</v>
      </c>
      <c r="K884" s="8" t="s">
        <v>95</v>
      </c>
      <c r="L884" s="8" t="s">
        <v>103</v>
      </c>
      <c r="M884" s="8">
        <v>3</v>
      </c>
      <c r="N884" s="10">
        <v>24791.34</v>
      </c>
      <c r="O884" s="11">
        <v>0.15</v>
      </c>
      <c r="P884" s="10">
        <v>63217.919999999998</v>
      </c>
      <c r="Q884" s="10">
        <v>56220.17</v>
      </c>
      <c r="R884" s="10">
        <v>6997.75</v>
      </c>
      <c r="S884" s="8" t="s">
        <v>53</v>
      </c>
      <c r="T884" s="8" t="s">
        <v>104</v>
      </c>
      <c r="U884" s="8">
        <v>3</v>
      </c>
      <c r="V884" s="8" t="s">
        <v>96</v>
      </c>
    </row>
    <row r="885" spans="1:22" x14ac:dyDescent="0.3">
      <c r="A885" s="12" t="s">
        <v>1576</v>
      </c>
      <c r="B885" s="13">
        <v>45910</v>
      </c>
      <c r="C885" s="12" t="s">
        <v>48</v>
      </c>
      <c r="D885" s="12" t="s">
        <v>49</v>
      </c>
      <c r="E885" s="12" t="s">
        <v>39</v>
      </c>
      <c r="F885" s="12" t="s">
        <v>460</v>
      </c>
      <c r="G885" s="12" t="s">
        <v>41</v>
      </c>
      <c r="H885" s="12" t="s">
        <v>28</v>
      </c>
      <c r="I885" s="12" t="s">
        <v>29</v>
      </c>
      <c r="J885" s="12" t="s">
        <v>43</v>
      </c>
      <c r="K885" s="12" t="s">
        <v>44</v>
      </c>
      <c r="L885" s="12" t="s">
        <v>82</v>
      </c>
      <c r="M885" s="12">
        <v>5</v>
      </c>
      <c r="N885" s="14">
        <v>594.97</v>
      </c>
      <c r="O885" s="15">
        <v>0.1</v>
      </c>
      <c r="P885" s="14">
        <v>2677.37</v>
      </c>
      <c r="Q885" s="14">
        <v>1355.23</v>
      </c>
      <c r="R885" s="14">
        <v>1322.14</v>
      </c>
      <c r="S885" s="12" t="s">
        <v>33</v>
      </c>
      <c r="T885" s="12" t="s">
        <v>156</v>
      </c>
      <c r="U885" s="12">
        <v>4</v>
      </c>
      <c r="V885" s="12" t="s">
        <v>116</v>
      </c>
    </row>
    <row r="886" spans="1:22" x14ac:dyDescent="0.3">
      <c r="A886" s="8" t="s">
        <v>1577</v>
      </c>
      <c r="B886" s="9">
        <v>45945</v>
      </c>
      <c r="C886" s="8" t="s">
        <v>125</v>
      </c>
      <c r="D886" s="8" t="s">
        <v>126</v>
      </c>
      <c r="E886" s="8" t="s">
        <v>25</v>
      </c>
      <c r="F886" s="8" t="s">
        <v>1135</v>
      </c>
      <c r="G886" s="8" t="s">
        <v>27</v>
      </c>
      <c r="H886" s="8" t="s">
        <v>94</v>
      </c>
      <c r="I886" s="8" t="s">
        <v>29</v>
      </c>
      <c r="J886" s="8" t="s">
        <v>69</v>
      </c>
      <c r="K886" s="8" t="s">
        <v>70</v>
      </c>
      <c r="L886" s="8" t="s">
        <v>77</v>
      </c>
      <c r="M886" s="8">
        <v>1</v>
      </c>
      <c r="N886" s="10">
        <v>862.73</v>
      </c>
      <c r="O886" s="11">
        <v>0.25</v>
      </c>
      <c r="P886" s="10">
        <v>647.04999999999995</v>
      </c>
      <c r="Q886" s="10">
        <v>469.53</v>
      </c>
      <c r="R886" s="10">
        <v>177.52</v>
      </c>
      <c r="S886" s="8" t="s">
        <v>83</v>
      </c>
      <c r="T886" s="8" t="s">
        <v>71</v>
      </c>
      <c r="U886" s="8">
        <v>3</v>
      </c>
      <c r="V886" s="8" t="s">
        <v>123</v>
      </c>
    </row>
    <row r="887" spans="1:22" x14ac:dyDescent="0.3">
      <c r="A887" s="12" t="s">
        <v>1578</v>
      </c>
      <c r="B887" s="13">
        <v>45807</v>
      </c>
      <c r="C887" s="12" t="s">
        <v>23</v>
      </c>
      <c r="D887" s="12" t="s">
        <v>24</v>
      </c>
      <c r="E887" s="12" t="s">
        <v>25</v>
      </c>
      <c r="F887" s="12" t="s">
        <v>401</v>
      </c>
      <c r="G887" s="12" t="s">
        <v>27</v>
      </c>
      <c r="H887" s="12" t="s">
        <v>42</v>
      </c>
      <c r="I887" s="12" t="s">
        <v>61</v>
      </c>
      <c r="J887" s="12" t="s">
        <v>30</v>
      </c>
      <c r="K887" s="12" t="s">
        <v>144</v>
      </c>
      <c r="L887" s="12" t="s">
        <v>52</v>
      </c>
      <c r="M887" s="12">
        <v>4</v>
      </c>
      <c r="N887" s="14">
        <v>2573.71</v>
      </c>
      <c r="O887" s="15">
        <v>0.25</v>
      </c>
      <c r="P887" s="14">
        <v>7721.13</v>
      </c>
      <c r="Q887" s="14">
        <v>6248.92</v>
      </c>
      <c r="R887" s="14">
        <v>1472.21</v>
      </c>
      <c r="S887" s="12" t="s">
        <v>63</v>
      </c>
      <c r="T887" s="12" t="s">
        <v>111</v>
      </c>
      <c r="U887" s="12">
        <v>3</v>
      </c>
      <c r="V887" s="12" t="s">
        <v>134</v>
      </c>
    </row>
    <row r="888" spans="1:22" x14ac:dyDescent="0.3">
      <c r="A888" s="8" t="s">
        <v>1579</v>
      </c>
      <c r="B888" s="9">
        <v>45711</v>
      </c>
      <c r="C888" s="8" t="s">
        <v>57</v>
      </c>
      <c r="D888" s="8" t="s">
        <v>58</v>
      </c>
      <c r="E888" s="8" t="s">
        <v>59</v>
      </c>
      <c r="F888" s="8" t="s">
        <v>634</v>
      </c>
      <c r="G888" s="8" t="s">
        <v>41</v>
      </c>
      <c r="H888" s="8" t="s">
        <v>28</v>
      </c>
      <c r="I888" s="8" t="s">
        <v>29</v>
      </c>
      <c r="J888" s="8" t="s">
        <v>89</v>
      </c>
      <c r="K888" s="8" t="s">
        <v>89</v>
      </c>
      <c r="L888" s="8" t="s">
        <v>91</v>
      </c>
      <c r="M888" s="8">
        <v>2</v>
      </c>
      <c r="N888" s="10">
        <v>1244.21</v>
      </c>
      <c r="O888" s="11">
        <v>0.25</v>
      </c>
      <c r="P888" s="10">
        <v>1866.32</v>
      </c>
      <c r="Q888" s="10">
        <v>1365.38</v>
      </c>
      <c r="R888" s="10">
        <v>500.94</v>
      </c>
      <c r="S888" s="8" t="s">
        <v>83</v>
      </c>
      <c r="T888" s="8" t="s">
        <v>119</v>
      </c>
      <c r="U888" s="8">
        <v>5</v>
      </c>
      <c r="V888" s="8" t="s">
        <v>105</v>
      </c>
    </row>
    <row r="889" spans="1:22" x14ac:dyDescent="0.3">
      <c r="A889" s="12" t="s">
        <v>1580</v>
      </c>
      <c r="B889" s="13">
        <v>45886</v>
      </c>
      <c r="C889" s="12" t="s">
        <v>57</v>
      </c>
      <c r="D889" s="12" t="s">
        <v>58</v>
      </c>
      <c r="E889" s="12" t="s">
        <v>59</v>
      </c>
      <c r="F889" s="12" t="s">
        <v>1564</v>
      </c>
      <c r="G889" s="12" t="s">
        <v>27</v>
      </c>
      <c r="H889" s="12" t="s">
        <v>28</v>
      </c>
      <c r="I889" s="12" t="s">
        <v>68</v>
      </c>
      <c r="J889" s="12" t="s">
        <v>89</v>
      </c>
      <c r="K889" s="12" t="s">
        <v>89</v>
      </c>
      <c r="L889" s="12" t="s">
        <v>82</v>
      </c>
      <c r="M889" s="12">
        <v>4</v>
      </c>
      <c r="N889" s="14">
        <v>1281.7</v>
      </c>
      <c r="O889" s="15">
        <v>0.3</v>
      </c>
      <c r="P889" s="14">
        <v>3588.76</v>
      </c>
      <c r="Q889" s="14">
        <v>2929.83</v>
      </c>
      <c r="R889" s="14">
        <v>658.93</v>
      </c>
      <c r="S889" s="12" t="s">
        <v>53</v>
      </c>
      <c r="T889" s="12" t="s">
        <v>119</v>
      </c>
      <c r="U889" s="12">
        <v>4</v>
      </c>
      <c r="V889" s="12" t="s">
        <v>72</v>
      </c>
    </row>
    <row r="890" spans="1:22" x14ac:dyDescent="0.3">
      <c r="A890" s="8" t="s">
        <v>1581</v>
      </c>
      <c r="B890" s="9">
        <v>45909</v>
      </c>
      <c r="C890" s="8" t="s">
        <v>48</v>
      </c>
      <c r="D890" s="8" t="s">
        <v>49</v>
      </c>
      <c r="E890" s="8" t="s">
        <v>39</v>
      </c>
      <c r="F890" s="8" t="s">
        <v>193</v>
      </c>
      <c r="G890" s="8" t="s">
        <v>41</v>
      </c>
      <c r="H890" s="8" t="s">
        <v>42</v>
      </c>
      <c r="I890" s="8" t="s">
        <v>61</v>
      </c>
      <c r="J890" s="8" t="s">
        <v>101</v>
      </c>
      <c r="K890" s="8" t="s">
        <v>217</v>
      </c>
      <c r="L890" s="8" t="s">
        <v>77</v>
      </c>
      <c r="M890" s="8">
        <v>5</v>
      </c>
      <c r="N890" s="10">
        <v>2929.09</v>
      </c>
      <c r="O890" s="11">
        <v>0</v>
      </c>
      <c r="P890" s="10">
        <v>14645.45</v>
      </c>
      <c r="Q890" s="10">
        <v>8847.41</v>
      </c>
      <c r="R890" s="10">
        <v>5798.04</v>
      </c>
      <c r="S890" s="8" t="s">
        <v>83</v>
      </c>
      <c r="T890" s="8" t="s">
        <v>104</v>
      </c>
      <c r="U890" s="8">
        <v>4</v>
      </c>
      <c r="V890" s="8" t="s">
        <v>116</v>
      </c>
    </row>
    <row r="891" spans="1:22" x14ac:dyDescent="0.3">
      <c r="A891" s="12" t="s">
        <v>1582</v>
      </c>
      <c r="B891" s="13">
        <v>45724</v>
      </c>
      <c r="C891" s="12" t="s">
        <v>57</v>
      </c>
      <c r="D891" s="12" t="s">
        <v>58</v>
      </c>
      <c r="E891" s="12" t="s">
        <v>59</v>
      </c>
      <c r="F891" s="12" t="s">
        <v>1092</v>
      </c>
      <c r="G891" s="12" t="s">
        <v>41</v>
      </c>
      <c r="H891" s="12" t="s">
        <v>81</v>
      </c>
      <c r="I891" s="12" t="s">
        <v>29</v>
      </c>
      <c r="J891" s="12" t="s">
        <v>89</v>
      </c>
      <c r="K891" s="12" t="s">
        <v>89</v>
      </c>
      <c r="L891" s="12" t="s">
        <v>175</v>
      </c>
      <c r="M891" s="12">
        <v>1</v>
      </c>
      <c r="N891" s="14">
        <v>1358.39</v>
      </c>
      <c r="O891" s="15">
        <v>0.2</v>
      </c>
      <c r="P891" s="14">
        <v>1086.71</v>
      </c>
      <c r="Q891" s="14">
        <v>724.17</v>
      </c>
      <c r="R891" s="14">
        <v>362.54</v>
      </c>
      <c r="S891" s="12" t="s">
        <v>63</v>
      </c>
      <c r="T891" s="12" t="s">
        <v>119</v>
      </c>
      <c r="U891" s="12">
        <v>3</v>
      </c>
      <c r="V891" s="12" t="s">
        <v>55</v>
      </c>
    </row>
    <row r="892" spans="1:22" x14ac:dyDescent="0.3">
      <c r="A892" s="8" t="s">
        <v>1583</v>
      </c>
      <c r="B892" s="9">
        <v>46001</v>
      </c>
      <c r="C892" s="8" t="s">
        <v>57</v>
      </c>
      <c r="D892" s="8" t="s">
        <v>58</v>
      </c>
      <c r="E892" s="8" t="s">
        <v>59</v>
      </c>
      <c r="F892" s="8" t="s">
        <v>1584</v>
      </c>
      <c r="G892" s="8" t="s">
        <v>27</v>
      </c>
      <c r="H892" s="8" t="s">
        <v>42</v>
      </c>
      <c r="I892" s="8" t="s">
        <v>29</v>
      </c>
      <c r="J892" s="8" t="s">
        <v>75</v>
      </c>
      <c r="K892" s="8" t="s">
        <v>154</v>
      </c>
      <c r="L892" s="8" t="s">
        <v>77</v>
      </c>
      <c r="M892" s="8">
        <v>1</v>
      </c>
      <c r="N892" s="10">
        <v>1941.33</v>
      </c>
      <c r="O892" s="11">
        <v>0.25</v>
      </c>
      <c r="P892" s="10">
        <v>1456</v>
      </c>
      <c r="Q892" s="10">
        <v>1078.0999999999999</v>
      </c>
      <c r="R892" s="10">
        <v>377.9</v>
      </c>
      <c r="S892" s="8" t="s">
        <v>83</v>
      </c>
      <c r="T892" s="8" t="s">
        <v>34</v>
      </c>
      <c r="U892" s="8">
        <v>5</v>
      </c>
      <c r="V892" s="8" t="s">
        <v>35</v>
      </c>
    </row>
    <row r="893" spans="1:22" x14ac:dyDescent="0.3">
      <c r="A893" s="12" t="s">
        <v>1585</v>
      </c>
      <c r="B893" s="13">
        <v>45906</v>
      </c>
      <c r="C893" s="12" t="s">
        <v>131</v>
      </c>
      <c r="D893" s="12" t="s">
        <v>132</v>
      </c>
      <c r="E893" s="12" t="s">
        <v>25</v>
      </c>
      <c r="F893" s="12" t="s">
        <v>342</v>
      </c>
      <c r="G893" s="12" t="s">
        <v>41</v>
      </c>
      <c r="H893" s="12" t="s">
        <v>94</v>
      </c>
      <c r="I893" s="12" t="s">
        <v>68</v>
      </c>
      <c r="J893" s="12" t="s">
        <v>75</v>
      </c>
      <c r="K893" s="12" t="s">
        <v>154</v>
      </c>
      <c r="L893" s="12" t="s">
        <v>82</v>
      </c>
      <c r="M893" s="12">
        <v>2</v>
      </c>
      <c r="N893" s="14">
        <v>1979.13</v>
      </c>
      <c r="O893" s="15">
        <v>0.1</v>
      </c>
      <c r="P893" s="14">
        <v>3562.43</v>
      </c>
      <c r="Q893" s="14">
        <v>2203.6</v>
      </c>
      <c r="R893" s="14">
        <v>1358.83</v>
      </c>
      <c r="S893" s="12" t="s">
        <v>83</v>
      </c>
      <c r="T893" s="12" t="s">
        <v>147</v>
      </c>
      <c r="U893" s="12">
        <v>5</v>
      </c>
      <c r="V893" s="12" t="s">
        <v>116</v>
      </c>
    </row>
    <row r="894" spans="1:22" x14ac:dyDescent="0.3">
      <c r="A894" s="8" t="s">
        <v>1586</v>
      </c>
      <c r="B894" s="9">
        <v>46015</v>
      </c>
      <c r="C894" s="8" t="s">
        <v>86</v>
      </c>
      <c r="D894" s="8" t="s">
        <v>87</v>
      </c>
      <c r="E894" s="8" t="s">
        <v>59</v>
      </c>
      <c r="F894" s="8" t="s">
        <v>1302</v>
      </c>
      <c r="G894" s="8" t="s">
        <v>41</v>
      </c>
      <c r="H894" s="8" t="s">
        <v>81</v>
      </c>
      <c r="I894" s="8" t="s">
        <v>29</v>
      </c>
      <c r="J894" s="8" t="s">
        <v>89</v>
      </c>
      <c r="K894" s="8" t="s">
        <v>151</v>
      </c>
      <c r="L894" s="8" t="s">
        <v>103</v>
      </c>
      <c r="M894" s="8">
        <v>2</v>
      </c>
      <c r="N894" s="10">
        <v>963.53</v>
      </c>
      <c r="O894" s="11">
        <v>0</v>
      </c>
      <c r="P894" s="10">
        <v>1927.06</v>
      </c>
      <c r="Q894" s="10">
        <v>1046.54</v>
      </c>
      <c r="R894" s="10">
        <v>880.52</v>
      </c>
      <c r="S894" s="8" t="s">
        <v>46</v>
      </c>
      <c r="T894" s="8" t="s">
        <v>71</v>
      </c>
      <c r="U894" s="8">
        <v>3</v>
      </c>
      <c r="V894" s="8" t="s">
        <v>35</v>
      </c>
    </row>
    <row r="895" spans="1:22" x14ac:dyDescent="0.3">
      <c r="A895" s="12" t="s">
        <v>1587</v>
      </c>
      <c r="B895" s="13">
        <v>45863</v>
      </c>
      <c r="C895" s="12" t="s">
        <v>37</v>
      </c>
      <c r="D895" s="12" t="s">
        <v>38</v>
      </c>
      <c r="E895" s="12" t="s">
        <v>39</v>
      </c>
      <c r="F895" s="12" t="s">
        <v>863</v>
      </c>
      <c r="G895" s="12" t="s">
        <v>41</v>
      </c>
      <c r="H895" s="12" t="s">
        <v>81</v>
      </c>
      <c r="I895" s="12" t="s">
        <v>29</v>
      </c>
      <c r="J895" s="12" t="s">
        <v>30</v>
      </c>
      <c r="K895" s="12" t="s">
        <v>31</v>
      </c>
      <c r="L895" s="12" t="s">
        <v>45</v>
      </c>
      <c r="M895" s="12">
        <v>4</v>
      </c>
      <c r="N895" s="14">
        <v>4055.64</v>
      </c>
      <c r="O895" s="15">
        <v>0.15</v>
      </c>
      <c r="P895" s="14">
        <v>13789.18</v>
      </c>
      <c r="Q895" s="14">
        <v>9047.69</v>
      </c>
      <c r="R895" s="14">
        <v>4741.49</v>
      </c>
      <c r="S895" s="12" t="s">
        <v>46</v>
      </c>
      <c r="T895" s="12" t="s">
        <v>71</v>
      </c>
      <c r="U895" s="12">
        <v>3</v>
      </c>
      <c r="V895" s="12" t="s">
        <v>120</v>
      </c>
    </row>
    <row r="896" spans="1:22" x14ac:dyDescent="0.3">
      <c r="A896" s="8" t="s">
        <v>1588</v>
      </c>
      <c r="B896" s="9">
        <v>45780</v>
      </c>
      <c r="C896" s="8" t="s">
        <v>86</v>
      </c>
      <c r="D896" s="8" t="s">
        <v>87</v>
      </c>
      <c r="E896" s="8" t="s">
        <v>59</v>
      </c>
      <c r="F896" s="8" t="s">
        <v>518</v>
      </c>
      <c r="G896" s="8" t="s">
        <v>41</v>
      </c>
      <c r="H896" s="8" t="s">
        <v>94</v>
      </c>
      <c r="I896" s="8" t="s">
        <v>61</v>
      </c>
      <c r="J896" s="8" t="s">
        <v>43</v>
      </c>
      <c r="K896" s="8" t="s">
        <v>51</v>
      </c>
      <c r="L896" s="8" t="s">
        <v>103</v>
      </c>
      <c r="M896" s="8">
        <v>1</v>
      </c>
      <c r="N896" s="10">
        <v>1459.77</v>
      </c>
      <c r="O896" s="11">
        <v>0.3</v>
      </c>
      <c r="P896" s="10">
        <v>1021.84</v>
      </c>
      <c r="Q896" s="10">
        <v>665.04</v>
      </c>
      <c r="R896" s="10">
        <v>356.8</v>
      </c>
      <c r="S896" s="8" t="s">
        <v>83</v>
      </c>
      <c r="T896" s="8" t="s">
        <v>78</v>
      </c>
      <c r="U896" s="8">
        <v>5</v>
      </c>
      <c r="V896" s="8" t="s">
        <v>134</v>
      </c>
    </row>
    <row r="897" spans="1:22" x14ac:dyDescent="0.3">
      <c r="A897" s="12" t="s">
        <v>1589</v>
      </c>
      <c r="B897" s="13">
        <v>45724</v>
      </c>
      <c r="C897" s="12" t="s">
        <v>23</v>
      </c>
      <c r="D897" s="12" t="s">
        <v>24</v>
      </c>
      <c r="E897" s="12" t="s">
        <v>25</v>
      </c>
      <c r="F897" s="12" t="s">
        <v>1590</v>
      </c>
      <c r="G897" s="12" t="s">
        <v>41</v>
      </c>
      <c r="H897" s="12" t="s">
        <v>42</v>
      </c>
      <c r="I897" s="12" t="s">
        <v>68</v>
      </c>
      <c r="J897" s="12" t="s">
        <v>101</v>
      </c>
      <c r="K897" s="12" t="s">
        <v>102</v>
      </c>
      <c r="L897" s="12" t="s">
        <v>45</v>
      </c>
      <c r="M897" s="12">
        <v>4</v>
      </c>
      <c r="N897" s="14">
        <v>703.79</v>
      </c>
      <c r="O897" s="15">
        <v>0.2</v>
      </c>
      <c r="P897" s="14">
        <v>2252.13</v>
      </c>
      <c r="Q897" s="14">
        <v>966.6</v>
      </c>
      <c r="R897" s="14">
        <v>1285.53</v>
      </c>
      <c r="S897" s="12" t="s">
        <v>33</v>
      </c>
      <c r="T897" s="12" t="s">
        <v>147</v>
      </c>
      <c r="U897" s="12">
        <v>3</v>
      </c>
      <c r="V897" s="12" t="s">
        <v>55</v>
      </c>
    </row>
    <row r="898" spans="1:22" x14ac:dyDescent="0.3">
      <c r="A898" s="8" t="s">
        <v>1591</v>
      </c>
      <c r="B898" s="9">
        <v>45702</v>
      </c>
      <c r="C898" s="8" t="s">
        <v>57</v>
      </c>
      <c r="D898" s="8" t="s">
        <v>58</v>
      </c>
      <c r="E898" s="8" t="s">
        <v>59</v>
      </c>
      <c r="F898" s="8" t="s">
        <v>1223</v>
      </c>
      <c r="G898" s="8" t="s">
        <v>27</v>
      </c>
      <c r="H898" s="8" t="s">
        <v>28</v>
      </c>
      <c r="I898" s="8" t="s">
        <v>29</v>
      </c>
      <c r="J898" s="8" t="s">
        <v>43</v>
      </c>
      <c r="K898" s="8" t="s">
        <v>44</v>
      </c>
      <c r="L898" s="8" t="s">
        <v>175</v>
      </c>
      <c r="M898" s="8">
        <v>4</v>
      </c>
      <c r="N898" s="10">
        <v>586.5</v>
      </c>
      <c r="O898" s="11">
        <v>0.05</v>
      </c>
      <c r="P898" s="10">
        <v>2228.6999999999998</v>
      </c>
      <c r="Q898" s="10">
        <v>1004.24</v>
      </c>
      <c r="R898" s="10">
        <v>1224.46</v>
      </c>
      <c r="S898" s="8" t="s">
        <v>53</v>
      </c>
      <c r="T898" s="8" t="s">
        <v>34</v>
      </c>
      <c r="U898" s="8">
        <v>3</v>
      </c>
      <c r="V898" s="8" t="s">
        <v>105</v>
      </c>
    </row>
    <row r="899" spans="1:22" x14ac:dyDescent="0.3">
      <c r="A899" s="12" t="s">
        <v>1592</v>
      </c>
      <c r="B899" s="13">
        <v>45665</v>
      </c>
      <c r="C899" s="12" t="s">
        <v>86</v>
      </c>
      <c r="D899" s="12" t="s">
        <v>87</v>
      </c>
      <c r="E899" s="12" t="s">
        <v>59</v>
      </c>
      <c r="F899" s="12" t="s">
        <v>970</v>
      </c>
      <c r="G899" s="12" t="s">
        <v>41</v>
      </c>
      <c r="H899" s="12" t="s">
        <v>81</v>
      </c>
      <c r="I899" s="12" t="s">
        <v>68</v>
      </c>
      <c r="J899" s="12" t="s">
        <v>101</v>
      </c>
      <c r="K899" s="12" t="s">
        <v>217</v>
      </c>
      <c r="L899" s="12" t="s">
        <v>82</v>
      </c>
      <c r="M899" s="12">
        <v>3</v>
      </c>
      <c r="N899" s="14">
        <v>3045.31</v>
      </c>
      <c r="O899" s="15">
        <v>0.1</v>
      </c>
      <c r="P899" s="14">
        <v>8222.34</v>
      </c>
      <c r="Q899" s="14">
        <v>4990.79</v>
      </c>
      <c r="R899" s="14">
        <v>3231.55</v>
      </c>
      <c r="S899" s="12" t="s">
        <v>63</v>
      </c>
      <c r="T899" s="12" t="s">
        <v>78</v>
      </c>
      <c r="U899" s="12">
        <v>4</v>
      </c>
      <c r="V899" s="12" t="s">
        <v>84</v>
      </c>
    </row>
    <row r="900" spans="1:22" x14ac:dyDescent="0.3">
      <c r="A900" s="8" t="s">
        <v>1593</v>
      </c>
      <c r="B900" s="9">
        <v>45976</v>
      </c>
      <c r="C900" s="8" t="s">
        <v>57</v>
      </c>
      <c r="D900" s="8" t="s">
        <v>58</v>
      </c>
      <c r="E900" s="8" t="s">
        <v>59</v>
      </c>
      <c r="F900" s="8" t="s">
        <v>586</v>
      </c>
      <c r="G900" s="8" t="s">
        <v>41</v>
      </c>
      <c r="H900" s="8" t="s">
        <v>94</v>
      </c>
      <c r="I900" s="8" t="s">
        <v>61</v>
      </c>
      <c r="J900" s="8" t="s">
        <v>101</v>
      </c>
      <c r="K900" s="8" t="s">
        <v>110</v>
      </c>
      <c r="L900" s="8" t="s">
        <v>91</v>
      </c>
      <c r="M900" s="8">
        <v>5</v>
      </c>
      <c r="N900" s="10">
        <v>5134.51</v>
      </c>
      <c r="O900" s="11">
        <v>0.2</v>
      </c>
      <c r="P900" s="10">
        <v>20538.04</v>
      </c>
      <c r="Q900" s="10">
        <v>16128.82</v>
      </c>
      <c r="R900" s="10">
        <v>4409.22</v>
      </c>
      <c r="S900" s="8" t="s">
        <v>46</v>
      </c>
      <c r="T900" s="8" t="s">
        <v>54</v>
      </c>
      <c r="U900" s="8">
        <v>4</v>
      </c>
      <c r="V900" s="8" t="s">
        <v>65</v>
      </c>
    </row>
    <row r="901" spans="1:22" x14ac:dyDescent="0.3">
      <c r="A901" s="12" t="s">
        <v>1594</v>
      </c>
      <c r="B901" s="13">
        <v>45891</v>
      </c>
      <c r="C901" s="12" t="s">
        <v>23</v>
      </c>
      <c r="D901" s="12" t="s">
        <v>24</v>
      </c>
      <c r="E901" s="12" t="s">
        <v>25</v>
      </c>
      <c r="F901" s="12" t="s">
        <v>1175</v>
      </c>
      <c r="G901" s="12" t="s">
        <v>27</v>
      </c>
      <c r="H901" s="12" t="s">
        <v>94</v>
      </c>
      <c r="I901" s="12" t="s">
        <v>61</v>
      </c>
      <c r="J901" s="12" t="s">
        <v>89</v>
      </c>
      <c r="K901" s="12" t="s">
        <v>151</v>
      </c>
      <c r="L901" s="12" t="s">
        <v>45</v>
      </c>
      <c r="M901" s="12">
        <v>1</v>
      </c>
      <c r="N901" s="14">
        <v>966.03</v>
      </c>
      <c r="O901" s="15">
        <v>0.2</v>
      </c>
      <c r="P901" s="14">
        <v>772.82</v>
      </c>
      <c r="Q901" s="14">
        <v>508.51</v>
      </c>
      <c r="R901" s="14">
        <v>264.31</v>
      </c>
      <c r="S901" s="12" t="s">
        <v>83</v>
      </c>
      <c r="T901" s="12" t="s">
        <v>104</v>
      </c>
      <c r="U901" s="12">
        <v>4</v>
      </c>
      <c r="V901" s="12" t="s">
        <v>72</v>
      </c>
    </row>
    <row r="902" spans="1:22" x14ac:dyDescent="0.3">
      <c r="A902" s="8" t="s">
        <v>1595</v>
      </c>
      <c r="B902" s="9">
        <v>45727</v>
      </c>
      <c r="C902" s="8" t="s">
        <v>125</v>
      </c>
      <c r="D902" s="8" t="s">
        <v>126</v>
      </c>
      <c r="E902" s="8" t="s">
        <v>25</v>
      </c>
      <c r="F902" s="8" t="s">
        <v>1596</v>
      </c>
      <c r="G902" s="8" t="s">
        <v>41</v>
      </c>
      <c r="H902" s="8" t="s">
        <v>94</v>
      </c>
      <c r="I902" s="8" t="s">
        <v>68</v>
      </c>
      <c r="J902" s="8" t="s">
        <v>75</v>
      </c>
      <c r="K902" s="8" t="s">
        <v>95</v>
      </c>
      <c r="L902" s="8" t="s">
        <v>45</v>
      </c>
      <c r="M902" s="8">
        <v>1</v>
      </c>
      <c r="N902" s="10">
        <v>25285.63</v>
      </c>
      <c r="O902" s="11">
        <v>0.25</v>
      </c>
      <c r="P902" s="10">
        <v>18964.22</v>
      </c>
      <c r="Q902" s="10">
        <v>18268.38</v>
      </c>
      <c r="R902" s="10">
        <v>695.84</v>
      </c>
      <c r="S902" s="8" t="s">
        <v>33</v>
      </c>
      <c r="T902" s="8" t="s">
        <v>119</v>
      </c>
      <c r="U902" s="8">
        <v>5</v>
      </c>
      <c r="V902" s="8" t="s">
        <v>55</v>
      </c>
    </row>
    <row r="903" spans="1:22" x14ac:dyDescent="0.3">
      <c r="A903" s="12" t="s">
        <v>1597</v>
      </c>
      <c r="B903" s="13">
        <v>45659</v>
      </c>
      <c r="C903" s="12" t="s">
        <v>86</v>
      </c>
      <c r="D903" s="12" t="s">
        <v>87</v>
      </c>
      <c r="E903" s="12" t="s">
        <v>59</v>
      </c>
      <c r="F903" s="12" t="s">
        <v>1264</v>
      </c>
      <c r="G903" s="12" t="s">
        <v>27</v>
      </c>
      <c r="H903" s="12" t="s">
        <v>28</v>
      </c>
      <c r="I903" s="12" t="s">
        <v>68</v>
      </c>
      <c r="J903" s="12" t="s">
        <v>30</v>
      </c>
      <c r="K903" s="12" t="s">
        <v>31</v>
      </c>
      <c r="L903" s="12" t="s">
        <v>91</v>
      </c>
      <c r="M903" s="12">
        <v>3</v>
      </c>
      <c r="N903" s="14">
        <v>4081.4</v>
      </c>
      <c r="O903" s="15">
        <v>0.2</v>
      </c>
      <c r="P903" s="14">
        <v>9795.36</v>
      </c>
      <c r="Q903" s="14">
        <v>6719.35</v>
      </c>
      <c r="R903" s="14">
        <v>3076.01</v>
      </c>
      <c r="S903" s="12" t="s">
        <v>33</v>
      </c>
      <c r="T903" s="12" t="s">
        <v>64</v>
      </c>
      <c r="U903" s="12">
        <v>5</v>
      </c>
      <c r="V903" s="12" t="s">
        <v>84</v>
      </c>
    </row>
    <row r="904" spans="1:22" x14ac:dyDescent="0.3">
      <c r="A904" s="8" t="s">
        <v>1598</v>
      </c>
      <c r="B904" s="9">
        <v>45929</v>
      </c>
      <c r="C904" s="8" t="s">
        <v>86</v>
      </c>
      <c r="D904" s="8" t="s">
        <v>87</v>
      </c>
      <c r="E904" s="8" t="s">
        <v>59</v>
      </c>
      <c r="F904" s="8" t="s">
        <v>1599</v>
      </c>
      <c r="G904" s="8" t="s">
        <v>27</v>
      </c>
      <c r="H904" s="8" t="s">
        <v>81</v>
      </c>
      <c r="I904" s="8" t="s">
        <v>61</v>
      </c>
      <c r="J904" s="8" t="s">
        <v>69</v>
      </c>
      <c r="K904" s="8" t="s">
        <v>180</v>
      </c>
      <c r="L904" s="8" t="s">
        <v>77</v>
      </c>
      <c r="M904" s="8">
        <v>3</v>
      </c>
      <c r="N904" s="10">
        <v>1476.2</v>
      </c>
      <c r="O904" s="11">
        <v>0.1</v>
      </c>
      <c r="P904" s="10">
        <v>3985.74</v>
      </c>
      <c r="Q904" s="10">
        <v>2484.56</v>
      </c>
      <c r="R904" s="10">
        <v>1501.18</v>
      </c>
      <c r="S904" s="8" t="s">
        <v>53</v>
      </c>
      <c r="T904" s="8" t="s">
        <v>78</v>
      </c>
      <c r="U904" s="8">
        <v>5</v>
      </c>
      <c r="V904" s="8" t="s">
        <v>116</v>
      </c>
    </row>
    <row r="905" spans="1:22" x14ac:dyDescent="0.3">
      <c r="A905" s="12" t="s">
        <v>1600</v>
      </c>
      <c r="B905" s="13">
        <v>45761</v>
      </c>
      <c r="C905" s="12" t="s">
        <v>107</v>
      </c>
      <c r="D905" s="12" t="s">
        <v>108</v>
      </c>
      <c r="E905" s="12" t="s">
        <v>39</v>
      </c>
      <c r="F905" s="12" t="s">
        <v>1601</v>
      </c>
      <c r="G905" s="12" t="s">
        <v>27</v>
      </c>
      <c r="H905" s="12" t="s">
        <v>42</v>
      </c>
      <c r="I905" s="12" t="s">
        <v>61</v>
      </c>
      <c r="J905" s="12" t="s">
        <v>30</v>
      </c>
      <c r="K905" s="12" t="s">
        <v>31</v>
      </c>
      <c r="L905" s="12" t="s">
        <v>91</v>
      </c>
      <c r="M905" s="12">
        <v>2</v>
      </c>
      <c r="N905" s="14">
        <v>3866.01</v>
      </c>
      <c r="O905" s="15">
        <v>0.1</v>
      </c>
      <c r="P905" s="14">
        <v>6958.82</v>
      </c>
      <c r="Q905" s="14">
        <v>4180.78</v>
      </c>
      <c r="R905" s="14">
        <v>2778.04</v>
      </c>
      <c r="S905" s="12" t="s">
        <v>63</v>
      </c>
      <c r="T905" s="12" t="s">
        <v>54</v>
      </c>
      <c r="U905" s="12">
        <v>4</v>
      </c>
      <c r="V905" s="12" t="s">
        <v>96</v>
      </c>
    </row>
    <row r="906" spans="1:22" x14ac:dyDescent="0.3">
      <c r="A906" s="8" t="s">
        <v>1602</v>
      </c>
      <c r="B906" s="9">
        <v>46006</v>
      </c>
      <c r="C906" s="8" t="s">
        <v>57</v>
      </c>
      <c r="D906" s="8" t="s">
        <v>58</v>
      </c>
      <c r="E906" s="8" t="s">
        <v>59</v>
      </c>
      <c r="F906" s="8" t="s">
        <v>1059</v>
      </c>
      <c r="G906" s="8" t="s">
        <v>27</v>
      </c>
      <c r="H906" s="8" t="s">
        <v>42</v>
      </c>
      <c r="I906" s="8" t="s">
        <v>61</v>
      </c>
      <c r="J906" s="8" t="s">
        <v>75</v>
      </c>
      <c r="K906" s="8" t="s">
        <v>76</v>
      </c>
      <c r="L906" s="8" t="s">
        <v>52</v>
      </c>
      <c r="M906" s="8">
        <v>1</v>
      </c>
      <c r="N906" s="10">
        <v>774.61</v>
      </c>
      <c r="O906" s="11">
        <v>0.3</v>
      </c>
      <c r="P906" s="10">
        <v>542.23</v>
      </c>
      <c r="Q906" s="10">
        <v>338.63</v>
      </c>
      <c r="R906" s="10">
        <v>203.6</v>
      </c>
      <c r="S906" s="8" t="s">
        <v>46</v>
      </c>
      <c r="T906" s="8" t="s">
        <v>119</v>
      </c>
      <c r="U906" s="8">
        <v>5</v>
      </c>
      <c r="V906" s="8" t="s">
        <v>35</v>
      </c>
    </row>
    <row r="907" spans="1:22" x14ac:dyDescent="0.3">
      <c r="A907" s="12" t="s">
        <v>1603</v>
      </c>
      <c r="B907" s="13">
        <v>45753</v>
      </c>
      <c r="C907" s="12" t="s">
        <v>86</v>
      </c>
      <c r="D907" s="12" t="s">
        <v>87</v>
      </c>
      <c r="E907" s="12" t="s">
        <v>59</v>
      </c>
      <c r="F907" s="12" t="s">
        <v>1441</v>
      </c>
      <c r="G907" s="12" t="s">
        <v>27</v>
      </c>
      <c r="H907" s="12" t="s">
        <v>94</v>
      </c>
      <c r="I907" s="12" t="s">
        <v>29</v>
      </c>
      <c r="J907" s="12" t="s">
        <v>89</v>
      </c>
      <c r="K907" s="12" t="s">
        <v>151</v>
      </c>
      <c r="L907" s="12" t="s">
        <v>45</v>
      </c>
      <c r="M907" s="12">
        <v>2</v>
      </c>
      <c r="N907" s="14">
        <v>979.36</v>
      </c>
      <c r="O907" s="15">
        <v>0</v>
      </c>
      <c r="P907" s="14">
        <v>1958.72</v>
      </c>
      <c r="Q907" s="14">
        <v>1014.74</v>
      </c>
      <c r="R907" s="14">
        <v>943.98</v>
      </c>
      <c r="S907" s="12" t="s">
        <v>46</v>
      </c>
      <c r="T907" s="12" t="s">
        <v>71</v>
      </c>
      <c r="U907" s="12">
        <v>3</v>
      </c>
      <c r="V907" s="12" t="s">
        <v>96</v>
      </c>
    </row>
    <row r="908" spans="1:22" x14ac:dyDescent="0.3">
      <c r="A908" s="8" t="s">
        <v>1604</v>
      </c>
      <c r="B908" s="9">
        <v>45954</v>
      </c>
      <c r="C908" s="8" t="s">
        <v>57</v>
      </c>
      <c r="D908" s="8" t="s">
        <v>58</v>
      </c>
      <c r="E908" s="8" t="s">
        <v>59</v>
      </c>
      <c r="F908" s="8" t="s">
        <v>127</v>
      </c>
      <c r="G908" s="8" t="s">
        <v>27</v>
      </c>
      <c r="H908" s="8" t="s">
        <v>94</v>
      </c>
      <c r="I908" s="8" t="s">
        <v>61</v>
      </c>
      <c r="J908" s="8" t="s">
        <v>101</v>
      </c>
      <c r="K908" s="8" t="s">
        <v>110</v>
      </c>
      <c r="L908" s="8" t="s">
        <v>45</v>
      </c>
      <c r="M908" s="8">
        <v>3</v>
      </c>
      <c r="N908" s="10">
        <v>5030.0200000000004</v>
      </c>
      <c r="O908" s="11">
        <v>0.25</v>
      </c>
      <c r="P908" s="10">
        <v>11317.55</v>
      </c>
      <c r="Q908" s="10">
        <v>9702.7000000000007</v>
      </c>
      <c r="R908" s="10">
        <v>1614.85</v>
      </c>
      <c r="S908" s="8" t="s">
        <v>33</v>
      </c>
      <c r="T908" s="8" t="s">
        <v>71</v>
      </c>
      <c r="U908" s="8">
        <v>5</v>
      </c>
      <c r="V908" s="8" t="s">
        <v>123</v>
      </c>
    </row>
    <row r="909" spans="1:22" x14ac:dyDescent="0.3">
      <c r="A909" s="12" t="s">
        <v>1605</v>
      </c>
      <c r="B909" s="13">
        <v>45720</v>
      </c>
      <c r="C909" s="12" t="s">
        <v>23</v>
      </c>
      <c r="D909" s="12" t="s">
        <v>24</v>
      </c>
      <c r="E909" s="12" t="s">
        <v>25</v>
      </c>
      <c r="F909" s="12" t="s">
        <v>1606</v>
      </c>
      <c r="G909" s="12" t="s">
        <v>41</v>
      </c>
      <c r="H909" s="12" t="s">
        <v>81</v>
      </c>
      <c r="I909" s="12" t="s">
        <v>68</v>
      </c>
      <c r="J909" s="12" t="s">
        <v>69</v>
      </c>
      <c r="K909" s="12" t="s">
        <v>180</v>
      </c>
      <c r="L909" s="12" t="s">
        <v>52</v>
      </c>
      <c r="M909" s="12">
        <v>3</v>
      </c>
      <c r="N909" s="14">
        <v>1471.12</v>
      </c>
      <c r="O909" s="15">
        <v>0.15</v>
      </c>
      <c r="P909" s="14">
        <v>3751.36</v>
      </c>
      <c r="Q909" s="14">
        <v>2427.98</v>
      </c>
      <c r="R909" s="14">
        <v>1323.38</v>
      </c>
      <c r="S909" s="12" t="s">
        <v>46</v>
      </c>
      <c r="T909" s="12" t="s">
        <v>78</v>
      </c>
      <c r="U909" s="12">
        <v>3</v>
      </c>
      <c r="V909" s="12" t="s">
        <v>55</v>
      </c>
    </row>
    <row r="910" spans="1:22" x14ac:dyDescent="0.3">
      <c r="A910" s="8" t="s">
        <v>1607</v>
      </c>
      <c r="B910" s="9">
        <v>45818</v>
      </c>
      <c r="C910" s="8" t="s">
        <v>86</v>
      </c>
      <c r="D910" s="8" t="s">
        <v>87</v>
      </c>
      <c r="E910" s="8" t="s">
        <v>59</v>
      </c>
      <c r="F910" s="8" t="s">
        <v>1608</v>
      </c>
      <c r="G910" s="8" t="s">
        <v>27</v>
      </c>
      <c r="H910" s="8" t="s">
        <v>42</v>
      </c>
      <c r="I910" s="8" t="s">
        <v>68</v>
      </c>
      <c r="J910" s="8" t="s">
        <v>43</v>
      </c>
      <c r="K910" s="8" t="s">
        <v>44</v>
      </c>
      <c r="L910" s="8" t="s">
        <v>77</v>
      </c>
      <c r="M910" s="8">
        <v>4</v>
      </c>
      <c r="N910" s="10">
        <v>613.58000000000004</v>
      </c>
      <c r="O910" s="11">
        <v>0.2</v>
      </c>
      <c r="P910" s="10">
        <v>1963.46</v>
      </c>
      <c r="Q910" s="10">
        <v>1031.48</v>
      </c>
      <c r="R910" s="10">
        <v>931.98</v>
      </c>
      <c r="S910" s="8" t="s">
        <v>46</v>
      </c>
      <c r="T910" s="8" t="s">
        <v>78</v>
      </c>
      <c r="U910" s="8">
        <v>5</v>
      </c>
      <c r="V910" s="8" t="s">
        <v>157</v>
      </c>
    </row>
    <row r="911" spans="1:22" x14ac:dyDescent="0.3">
      <c r="A911" s="12" t="s">
        <v>1609</v>
      </c>
      <c r="B911" s="13">
        <v>45787</v>
      </c>
      <c r="C911" s="12" t="s">
        <v>98</v>
      </c>
      <c r="D911" s="12" t="s">
        <v>99</v>
      </c>
      <c r="E911" s="12" t="s">
        <v>25</v>
      </c>
      <c r="F911" s="12" t="s">
        <v>1610</v>
      </c>
      <c r="G911" s="12" t="s">
        <v>27</v>
      </c>
      <c r="H911" s="12" t="s">
        <v>42</v>
      </c>
      <c r="I911" s="12" t="s">
        <v>61</v>
      </c>
      <c r="J911" s="12" t="s">
        <v>89</v>
      </c>
      <c r="K911" s="12" t="s">
        <v>90</v>
      </c>
      <c r="L911" s="12" t="s">
        <v>45</v>
      </c>
      <c r="M911" s="12">
        <v>5</v>
      </c>
      <c r="N911" s="14">
        <v>3410.91</v>
      </c>
      <c r="O911" s="15">
        <v>0.05</v>
      </c>
      <c r="P911" s="14">
        <v>16201.82</v>
      </c>
      <c r="Q911" s="14">
        <v>10346.16</v>
      </c>
      <c r="R911" s="14">
        <v>5855.66</v>
      </c>
      <c r="S911" s="12" t="s">
        <v>83</v>
      </c>
      <c r="T911" s="12" t="s">
        <v>71</v>
      </c>
      <c r="U911" s="12">
        <v>3</v>
      </c>
      <c r="V911" s="12" t="s">
        <v>134</v>
      </c>
    </row>
    <row r="912" spans="1:22" x14ac:dyDescent="0.3">
      <c r="A912" s="8" t="s">
        <v>1611</v>
      </c>
      <c r="B912" s="9">
        <v>46012</v>
      </c>
      <c r="C912" s="8" t="s">
        <v>86</v>
      </c>
      <c r="D912" s="8" t="s">
        <v>87</v>
      </c>
      <c r="E912" s="8" t="s">
        <v>59</v>
      </c>
      <c r="F912" s="8" t="s">
        <v>503</v>
      </c>
      <c r="G912" s="8" t="s">
        <v>27</v>
      </c>
      <c r="H912" s="8" t="s">
        <v>94</v>
      </c>
      <c r="I912" s="8" t="s">
        <v>61</v>
      </c>
      <c r="J912" s="8" t="s">
        <v>43</v>
      </c>
      <c r="K912" s="8" t="s">
        <v>44</v>
      </c>
      <c r="L912" s="8" t="s">
        <v>32</v>
      </c>
      <c r="M912" s="8">
        <v>4</v>
      </c>
      <c r="N912" s="10">
        <v>582.95000000000005</v>
      </c>
      <c r="O912" s="11">
        <v>0.15</v>
      </c>
      <c r="P912" s="10">
        <v>1982.03</v>
      </c>
      <c r="Q912" s="10">
        <v>1055.98</v>
      </c>
      <c r="R912" s="10">
        <v>926.05</v>
      </c>
      <c r="S912" s="8" t="s">
        <v>83</v>
      </c>
      <c r="T912" s="8" t="s">
        <v>54</v>
      </c>
      <c r="U912" s="8">
        <v>3</v>
      </c>
      <c r="V912" s="8" t="s">
        <v>35</v>
      </c>
    </row>
    <row r="913" spans="1:22" x14ac:dyDescent="0.3">
      <c r="A913" s="12" t="s">
        <v>1612</v>
      </c>
      <c r="B913" s="13">
        <v>45931</v>
      </c>
      <c r="C913" s="12" t="s">
        <v>86</v>
      </c>
      <c r="D913" s="12" t="s">
        <v>87</v>
      </c>
      <c r="E913" s="12" t="s">
        <v>59</v>
      </c>
      <c r="F913" s="12" t="s">
        <v>1613</v>
      </c>
      <c r="G913" s="12" t="s">
        <v>27</v>
      </c>
      <c r="H913" s="12" t="s">
        <v>28</v>
      </c>
      <c r="I913" s="12" t="s">
        <v>29</v>
      </c>
      <c r="J913" s="12" t="s">
        <v>43</v>
      </c>
      <c r="K913" s="12" t="s">
        <v>44</v>
      </c>
      <c r="L913" s="12" t="s">
        <v>82</v>
      </c>
      <c r="M913" s="12">
        <v>3</v>
      </c>
      <c r="N913" s="14">
        <v>616.46</v>
      </c>
      <c r="O913" s="15">
        <v>0.1</v>
      </c>
      <c r="P913" s="14">
        <v>1664.44</v>
      </c>
      <c r="Q913" s="14">
        <v>769.15</v>
      </c>
      <c r="R913" s="14">
        <v>895.29</v>
      </c>
      <c r="S913" s="12" t="s">
        <v>63</v>
      </c>
      <c r="T913" s="12" t="s">
        <v>119</v>
      </c>
      <c r="U913" s="12">
        <v>5</v>
      </c>
      <c r="V913" s="12" t="s">
        <v>123</v>
      </c>
    </row>
    <row r="914" spans="1:22" x14ac:dyDescent="0.3">
      <c r="A914" s="8" t="s">
        <v>1614</v>
      </c>
      <c r="B914" s="9">
        <v>45997</v>
      </c>
      <c r="C914" s="8" t="s">
        <v>107</v>
      </c>
      <c r="D914" s="8" t="s">
        <v>108</v>
      </c>
      <c r="E914" s="8" t="s">
        <v>39</v>
      </c>
      <c r="F914" s="8" t="s">
        <v>1615</v>
      </c>
      <c r="G914" s="8" t="s">
        <v>27</v>
      </c>
      <c r="H914" s="8" t="s">
        <v>94</v>
      </c>
      <c r="I914" s="8" t="s">
        <v>29</v>
      </c>
      <c r="J914" s="8" t="s">
        <v>75</v>
      </c>
      <c r="K914" s="8" t="s">
        <v>76</v>
      </c>
      <c r="L914" s="8" t="s">
        <v>77</v>
      </c>
      <c r="M914" s="8">
        <v>2</v>
      </c>
      <c r="N914" s="10">
        <v>833.75</v>
      </c>
      <c r="O914" s="11">
        <v>0.25</v>
      </c>
      <c r="P914" s="10">
        <v>1250.6199999999999</v>
      </c>
      <c r="Q914" s="10">
        <v>698.49</v>
      </c>
      <c r="R914" s="10">
        <v>552.13</v>
      </c>
      <c r="S914" s="8" t="s">
        <v>83</v>
      </c>
      <c r="T914" s="8" t="s">
        <v>147</v>
      </c>
      <c r="U914" s="8">
        <v>5</v>
      </c>
      <c r="V914" s="8" t="s">
        <v>35</v>
      </c>
    </row>
    <row r="915" spans="1:22" x14ac:dyDescent="0.3">
      <c r="A915" s="12" t="s">
        <v>1616</v>
      </c>
      <c r="B915" s="13">
        <v>45794</v>
      </c>
      <c r="C915" s="12" t="s">
        <v>125</v>
      </c>
      <c r="D915" s="12" t="s">
        <v>126</v>
      </c>
      <c r="E915" s="12" t="s">
        <v>25</v>
      </c>
      <c r="F915" s="12" t="s">
        <v>542</v>
      </c>
      <c r="G915" s="12" t="s">
        <v>41</v>
      </c>
      <c r="H915" s="12" t="s">
        <v>81</v>
      </c>
      <c r="I915" s="12" t="s">
        <v>61</v>
      </c>
      <c r="J915" s="12" t="s">
        <v>75</v>
      </c>
      <c r="K915" s="12" t="s">
        <v>76</v>
      </c>
      <c r="L915" s="12" t="s">
        <v>103</v>
      </c>
      <c r="M915" s="12">
        <v>4</v>
      </c>
      <c r="N915" s="14">
        <v>761.07</v>
      </c>
      <c r="O915" s="15">
        <v>0.1</v>
      </c>
      <c r="P915" s="14">
        <v>2739.85</v>
      </c>
      <c r="Q915" s="14">
        <v>1453.72</v>
      </c>
      <c r="R915" s="14">
        <v>1286.1300000000001</v>
      </c>
      <c r="S915" s="12" t="s">
        <v>83</v>
      </c>
      <c r="T915" s="12" t="s">
        <v>147</v>
      </c>
      <c r="U915" s="12">
        <v>4</v>
      </c>
      <c r="V915" s="12" t="s">
        <v>134</v>
      </c>
    </row>
    <row r="916" spans="1:22" x14ac:dyDescent="0.3">
      <c r="A916" s="8" t="s">
        <v>1617</v>
      </c>
      <c r="B916" s="9">
        <v>45909</v>
      </c>
      <c r="C916" s="8" t="s">
        <v>23</v>
      </c>
      <c r="D916" s="8" t="s">
        <v>24</v>
      </c>
      <c r="E916" s="8" t="s">
        <v>25</v>
      </c>
      <c r="F916" s="8" t="s">
        <v>1618</v>
      </c>
      <c r="G916" s="8" t="s">
        <v>27</v>
      </c>
      <c r="H916" s="8" t="s">
        <v>28</v>
      </c>
      <c r="I916" s="8" t="s">
        <v>68</v>
      </c>
      <c r="J916" s="8" t="s">
        <v>89</v>
      </c>
      <c r="K916" s="8" t="s">
        <v>89</v>
      </c>
      <c r="L916" s="8" t="s">
        <v>32</v>
      </c>
      <c r="M916" s="8">
        <v>3</v>
      </c>
      <c r="N916" s="10">
        <v>1322.99</v>
      </c>
      <c r="O916" s="11">
        <v>0.1</v>
      </c>
      <c r="P916" s="10">
        <v>3572.07</v>
      </c>
      <c r="Q916" s="10">
        <v>2082.64</v>
      </c>
      <c r="R916" s="10">
        <v>1489.43</v>
      </c>
      <c r="S916" s="8" t="s">
        <v>46</v>
      </c>
      <c r="T916" s="8" t="s">
        <v>119</v>
      </c>
      <c r="U916" s="8">
        <v>4</v>
      </c>
      <c r="V916" s="8" t="s">
        <v>116</v>
      </c>
    </row>
    <row r="917" spans="1:22" x14ac:dyDescent="0.3">
      <c r="A917" s="12" t="s">
        <v>1619</v>
      </c>
      <c r="B917" s="13">
        <v>45820</v>
      </c>
      <c r="C917" s="12" t="s">
        <v>23</v>
      </c>
      <c r="D917" s="12" t="s">
        <v>24</v>
      </c>
      <c r="E917" s="12" t="s">
        <v>25</v>
      </c>
      <c r="F917" s="12" t="s">
        <v>1205</v>
      </c>
      <c r="G917" s="12" t="s">
        <v>41</v>
      </c>
      <c r="H917" s="12" t="s">
        <v>94</v>
      </c>
      <c r="I917" s="12" t="s">
        <v>29</v>
      </c>
      <c r="J917" s="12" t="s">
        <v>43</v>
      </c>
      <c r="K917" s="12" t="s">
        <v>44</v>
      </c>
      <c r="L917" s="12" t="s">
        <v>103</v>
      </c>
      <c r="M917" s="12">
        <v>1</v>
      </c>
      <c r="N917" s="14">
        <v>618.09</v>
      </c>
      <c r="O917" s="15">
        <v>0.2</v>
      </c>
      <c r="P917" s="14">
        <v>494.47</v>
      </c>
      <c r="Q917" s="14">
        <v>266.38</v>
      </c>
      <c r="R917" s="14">
        <v>228.09</v>
      </c>
      <c r="S917" s="12" t="s">
        <v>63</v>
      </c>
      <c r="T917" s="12" t="s">
        <v>64</v>
      </c>
      <c r="U917" s="12">
        <v>3</v>
      </c>
      <c r="V917" s="12" t="s">
        <v>157</v>
      </c>
    </row>
    <row r="918" spans="1:22" x14ac:dyDescent="0.3">
      <c r="A918" s="8" t="s">
        <v>1620</v>
      </c>
      <c r="B918" s="9">
        <v>45905</v>
      </c>
      <c r="C918" s="8" t="s">
        <v>57</v>
      </c>
      <c r="D918" s="8" t="s">
        <v>58</v>
      </c>
      <c r="E918" s="8" t="s">
        <v>59</v>
      </c>
      <c r="F918" s="8" t="s">
        <v>1621</v>
      </c>
      <c r="G918" s="8" t="s">
        <v>27</v>
      </c>
      <c r="H918" s="8" t="s">
        <v>28</v>
      </c>
      <c r="I918" s="8" t="s">
        <v>61</v>
      </c>
      <c r="J918" s="8" t="s">
        <v>89</v>
      </c>
      <c r="K918" s="8" t="s">
        <v>151</v>
      </c>
      <c r="L918" s="8" t="s">
        <v>32</v>
      </c>
      <c r="M918" s="8">
        <v>5</v>
      </c>
      <c r="N918" s="10">
        <v>961.13</v>
      </c>
      <c r="O918" s="11">
        <v>0.3</v>
      </c>
      <c r="P918" s="10">
        <v>3363.95</v>
      </c>
      <c r="Q918" s="10">
        <v>2450.9299999999998</v>
      </c>
      <c r="R918" s="10">
        <v>913.02</v>
      </c>
      <c r="S918" s="8" t="s">
        <v>63</v>
      </c>
      <c r="T918" s="8" t="s">
        <v>71</v>
      </c>
      <c r="U918" s="8">
        <v>3</v>
      </c>
      <c r="V918" s="8" t="s">
        <v>116</v>
      </c>
    </row>
    <row r="919" spans="1:22" x14ac:dyDescent="0.3">
      <c r="A919" s="12" t="s">
        <v>1622</v>
      </c>
      <c r="B919" s="13">
        <v>45884</v>
      </c>
      <c r="C919" s="12" t="s">
        <v>125</v>
      </c>
      <c r="D919" s="12" t="s">
        <v>126</v>
      </c>
      <c r="E919" s="12" t="s">
        <v>25</v>
      </c>
      <c r="F919" s="12" t="s">
        <v>1623</v>
      </c>
      <c r="G919" s="12" t="s">
        <v>41</v>
      </c>
      <c r="H919" s="12" t="s">
        <v>94</v>
      </c>
      <c r="I919" s="12" t="s">
        <v>68</v>
      </c>
      <c r="J919" s="12" t="s">
        <v>75</v>
      </c>
      <c r="K919" s="12" t="s">
        <v>154</v>
      </c>
      <c r="L919" s="12" t="s">
        <v>103</v>
      </c>
      <c r="M919" s="12">
        <v>3</v>
      </c>
      <c r="N919" s="14">
        <v>2029.81</v>
      </c>
      <c r="O919" s="15">
        <v>0.15</v>
      </c>
      <c r="P919" s="14">
        <v>5176.0200000000004</v>
      </c>
      <c r="Q919" s="14">
        <v>3151.63</v>
      </c>
      <c r="R919" s="14">
        <v>2024.39</v>
      </c>
      <c r="S919" s="12" t="s">
        <v>63</v>
      </c>
      <c r="T919" s="12" t="s">
        <v>34</v>
      </c>
      <c r="U919" s="12">
        <v>5</v>
      </c>
      <c r="V919" s="12" t="s">
        <v>72</v>
      </c>
    </row>
    <row r="920" spans="1:22" x14ac:dyDescent="0.3">
      <c r="A920" s="8" t="s">
        <v>1624</v>
      </c>
      <c r="B920" s="9">
        <v>46008</v>
      </c>
      <c r="C920" s="8" t="s">
        <v>37</v>
      </c>
      <c r="D920" s="8" t="s">
        <v>38</v>
      </c>
      <c r="E920" s="8" t="s">
        <v>39</v>
      </c>
      <c r="F920" s="8" t="s">
        <v>1625</v>
      </c>
      <c r="G920" s="8" t="s">
        <v>27</v>
      </c>
      <c r="H920" s="8" t="s">
        <v>42</v>
      </c>
      <c r="I920" s="8" t="s">
        <v>68</v>
      </c>
      <c r="J920" s="8" t="s">
        <v>30</v>
      </c>
      <c r="K920" s="8" t="s">
        <v>62</v>
      </c>
      <c r="L920" s="8" t="s">
        <v>77</v>
      </c>
      <c r="M920" s="8">
        <v>5</v>
      </c>
      <c r="N920" s="10">
        <v>1042.54</v>
      </c>
      <c r="O920" s="11">
        <v>0.3</v>
      </c>
      <c r="P920" s="10">
        <v>3648.89</v>
      </c>
      <c r="Q920" s="10">
        <v>2150.19</v>
      </c>
      <c r="R920" s="10">
        <v>1498.7</v>
      </c>
      <c r="S920" s="8" t="s">
        <v>63</v>
      </c>
      <c r="T920" s="8" t="s">
        <v>78</v>
      </c>
      <c r="U920" s="8">
        <v>3</v>
      </c>
      <c r="V920" s="8" t="s">
        <v>35</v>
      </c>
    </row>
    <row r="921" spans="1:22" x14ac:dyDescent="0.3">
      <c r="A921" s="12" t="s">
        <v>1626</v>
      </c>
      <c r="B921" s="13">
        <v>45756</v>
      </c>
      <c r="C921" s="12" t="s">
        <v>107</v>
      </c>
      <c r="D921" s="12" t="s">
        <v>108</v>
      </c>
      <c r="E921" s="12" t="s">
        <v>39</v>
      </c>
      <c r="F921" s="12" t="s">
        <v>1627</v>
      </c>
      <c r="G921" s="12" t="s">
        <v>27</v>
      </c>
      <c r="H921" s="12" t="s">
        <v>28</v>
      </c>
      <c r="I921" s="12" t="s">
        <v>61</v>
      </c>
      <c r="J921" s="12" t="s">
        <v>75</v>
      </c>
      <c r="K921" s="12" t="s">
        <v>154</v>
      </c>
      <c r="L921" s="12" t="s">
        <v>82</v>
      </c>
      <c r="M921" s="12">
        <v>3</v>
      </c>
      <c r="N921" s="14">
        <v>1906.48</v>
      </c>
      <c r="O921" s="15">
        <v>0</v>
      </c>
      <c r="P921" s="14">
        <v>5719.44</v>
      </c>
      <c r="Q921" s="14">
        <v>3434.04</v>
      </c>
      <c r="R921" s="14">
        <v>2285.4</v>
      </c>
      <c r="S921" s="12" t="s">
        <v>53</v>
      </c>
      <c r="T921" s="12" t="s">
        <v>119</v>
      </c>
      <c r="U921" s="12">
        <v>3</v>
      </c>
      <c r="V921" s="12" t="s">
        <v>96</v>
      </c>
    </row>
    <row r="922" spans="1:22" x14ac:dyDescent="0.3">
      <c r="A922" s="8" t="s">
        <v>1628</v>
      </c>
      <c r="B922" s="9">
        <v>45776</v>
      </c>
      <c r="C922" s="8" t="s">
        <v>107</v>
      </c>
      <c r="D922" s="8" t="s">
        <v>108</v>
      </c>
      <c r="E922" s="8" t="s">
        <v>39</v>
      </c>
      <c r="F922" s="8" t="s">
        <v>305</v>
      </c>
      <c r="G922" s="8" t="s">
        <v>41</v>
      </c>
      <c r="H922" s="8" t="s">
        <v>42</v>
      </c>
      <c r="I922" s="8" t="s">
        <v>61</v>
      </c>
      <c r="J922" s="8" t="s">
        <v>69</v>
      </c>
      <c r="K922" s="8" t="s">
        <v>180</v>
      </c>
      <c r="L922" s="8" t="s">
        <v>77</v>
      </c>
      <c r="M922" s="8">
        <v>2</v>
      </c>
      <c r="N922" s="10">
        <v>1563</v>
      </c>
      <c r="O922" s="11">
        <v>0.25</v>
      </c>
      <c r="P922" s="10">
        <v>2344.5</v>
      </c>
      <c r="Q922" s="10">
        <v>1751.52</v>
      </c>
      <c r="R922" s="10">
        <v>592.98</v>
      </c>
      <c r="S922" s="8" t="s">
        <v>46</v>
      </c>
      <c r="T922" s="8" t="s">
        <v>34</v>
      </c>
      <c r="U922" s="8">
        <v>5</v>
      </c>
      <c r="V922" s="8" t="s">
        <v>96</v>
      </c>
    </row>
    <row r="923" spans="1:22" x14ac:dyDescent="0.3">
      <c r="A923" s="12" t="s">
        <v>1629</v>
      </c>
      <c r="B923" s="13">
        <v>45753</v>
      </c>
      <c r="C923" s="12" t="s">
        <v>57</v>
      </c>
      <c r="D923" s="12" t="s">
        <v>58</v>
      </c>
      <c r="E923" s="12" t="s">
        <v>59</v>
      </c>
      <c r="F923" s="12" t="s">
        <v>1630</v>
      </c>
      <c r="G923" s="12" t="s">
        <v>27</v>
      </c>
      <c r="H923" s="12" t="s">
        <v>81</v>
      </c>
      <c r="I923" s="12" t="s">
        <v>29</v>
      </c>
      <c r="J923" s="12" t="s">
        <v>89</v>
      </c>
      <c r="K923" s="12" t="s">
        <v>90</v>
      </c>
      <c r="L923" s="12" t="s">
        <v>91</v>
      </c>
      <c r="M923" s="12">
        <v>2</v>
      </c>
      <c r="N923" s="14">
        <v>3648.61</v>
      </c>
      <c r="O923" s="15">
        <v>0.1</v>
      </c>
      <c r="P923" s="14">
        <v>6567.5</v>
      </c>
      <c r="Q923" s="14">
        <v>4076.93</v>
      </c>
      <c r="R923" s="14">
        <v>2490.5700000000002</v>
      </c>
      <c r="S923" s="12" t="s">
        <v>83</v>
      </c>
      <c r="T923" s="12" t="s">
        <v>78</v>
      </c>
      <c r="U923" s="12">
        <v>4</v>
      </c>
      <c r="V923" s="12" t="s">
        <v>96</v>
      </c>
    </row>
    <row r="924" spans="1:22" x14ac:dyDescent="0.3">
      <c r="A924" s="8" t="s">
        <v>1631</v>
      </c>
      <c r="B924" s="9">
        <v>45818</v>
      </c>
      <c r="C924" s="8" t="s">
        <v>98</v>
      </c>
      <c r="D924" s="8" t="s">
        <v>99</v>
      </c>
      <c r="E924" s="8" t="s">
        <v>25</v>
      </c>
      <c r="F924" s="8" t="s">
        <v>1040</v>
      </c>
      <c r="G924" s="8" t="s">
        <v>27</v>
      </c>
      <c r="H924" s="8" t="s">
        <v>42</v>
      </c>
      <c r="I924" s="8" t="s">
        <v>29</v>
      </c>
      <c r="J924" s="8" t="s">
        <v>30</v>
      </c>
      <c r="K924" s="8" t="s">
        <v>62</v>
      </c>
      <c r="L924" s="8" t="s">
        <v>91</v>
      </c>
      <c r="M924" s="8">
        <v>2</v>
      </c>
      <c r="N924" s="10">
        <v>978.6</v>
      </c>
      <c r="O924" s="11">
        <v>0.1</v>
      </c>
      <c r="P924" s="10">
        <v>1761.48</v>
      </c>
      <c r="Q924" s="10">
        <v>893.31</v>
      </c>
      <c r="R924" s="10">
        <v>868.17</v>
      </c>
      <c r="S924" s="8" t="s">
        <v>53</v>
      </c>
      <c r="T924" s="8" t="s">
        <v>156</v>
      </c>
      <c r="U924" s="8">
        <v>5</v>
      </c>
      <c r="V924" s="8" t="s">
        <v>157</v>
      </c>
    </row>
    <row r="925" spans="1:22" x14ac:dyDescent="0.3">
      <c r="A925" s="12" t="s">
        <v>1632</v>
      </c>
      <c r="B925" s="13">
        <v>45947</v>
      </c>
      <c r="C925" s="12" t="s">
        <v>113</v>
      </c>
      <c r="D925" s="12" t="s">
        <v>114</v>
      </c>
      <c r="E925" s="12" t="s">
        <v>59</v>
      </c>
      <c r="F925" s="12" t="s">
        <v>1197</v>
      </c>
      <c r="G925" s="12" t="s">
        <v>27</v>
      </c>
      <c r="H925" s="12" t="s">
        <v>81</v>
      </c>
      <c r="I925" s="12" t="s">
        <v>68</v>
      </c>
      <c r="J925" s="12" t="s">
        <v>75</v>
      </c>
      <c r="K925" s="12" t="s">
        <v>154</v>
      </c>
      <c r="L925" s="12" t="s">
        <v>45</v>
      </c>
      <c r="M925" s="12">
        <v>1</v>
      </c>
      <c r="N925" s="14">
        <v>1903.11</v>
      </c>
      <c r="O925" s="15">
        <v>0.1</v>
      </c>
      <c r="P925" s="14">
        <v>1712.8</v>
      </c>
      <c r="Q925" s="14">
        <v>1133.8599999999999</v>
      </c>
      <c r="R925" s="14">
        <v>578.94000000000005</v>
      </c>
      <c r="S925" s="12" t="s">
        <v>53</v>
      </c>
      <c r="T925" s="12" t="s">
        <v>71</v>
      </c>
      <c r="U925" s="12">
        <v>4</v>
      </c>
      <c r="V925" s="12" t="s">
        <v>123</v>
      </c>
    </row>
    <row r="926" spans="1:22" x14ac:dyDescent="0.3">
      <c r="A926" s="8" t="s">
        <v>1633</v>
      </c>
      <c r="B926" s="9">
        <v>46011</v>
      </c>
      <c r="C926" s="8" t="s">
        <v>98</v>
      </c>
      <c r="D926" s="8" t="s">
        <v>99</v>
      </c>
      <c r="E926" s="8" t="s">
        <v>25</v>
      </c>
      <c r="F926" s="8" t="s">
        <v>1634</v>
      </c>
      <c r="G926" s="8" t="s">
        <v>41</v>
      </c>
      <c r="H926" s="8" t="s">
        <v>94</v>
      </c>
      <c r="I926" s="8" t="s">
        <v>61</v>
      </c>
      <c r="J926" s="8" t="s">
        <v>89</v>
      </c>
      <c r="K926" s="8" t="s">
        <v>90</v>
      </c>
      <c r="L926" s="8" t="s">
        <v>45</v>
      </c>
      <c r="M926" s="8">
        <v>5</v>
      </c>
      <c r="N926" s="10">
        <v>3662.82</v>
      </c>
      <c r="O926" s="11">
        <v>0.3</v>
      </c>
      <c r="P926" s="10">
        <v>12819.87</v>
      </c>
      <c r="Q926" s="10">
        <v>10895.66</v>
      </c>
      <c r="R926" s="10">
        <v>1924.21</v>
      </c>
      <c r="S926" s="8" t="s">
        <v>83</v>
      </c>
      <c r="T926" s="8" t="s">
        <v>111</v>
      </c>
      <c r="U926" s="8">
        <v>4</v>
      </c>
      <c r="V926" s="8" t="s">
        <v>35</v>
      </c>
    </row>
    <row r="927" spans="1:22" x14ac:dyDescent="0.3">
      <c r="A927" s="12" t="s">
        <v>1635</v>
      </c>
      <c r="B927" s="13">
        <v>45915</v>
      </c>
      <c r="C927" s="12" t="s">
        <v>113</v>
      </c>
      <c r="D927" s="12" t="s">
        <v>114</v>
      </c>
      <c r="E927" s="12" t="s">
        <v>59</v>
      </c>
      <c r="F927" s="12" t="s">
        <v>340</v>
      </c>
      <c r="G927" s="12" t="s">
        <v>27</v>
      </c>
      <c r="H927" s="12" t="s">
        <v>94</v>
      </c>
      <c r="I927" s="12" t="s">
        <v>68</v>
      </c>
      <c r="J927" s="12" t="s">
        <v>89</v>
      </c>
      <c r="K927" s="12" t="s">
        <v>89</v>
      </c>
      <c r="L927" s="12" t="s">
        <v>52</v>
      </c>
      <c r="M927" s="12">
        <v>2</v>
      </c>
      <c r="N927" s="14">
        <v>1272.56</v>
      </c>
      <c r="O927" s="15">
        <v>0.05</v>
      </c>
      <c r="P927" s="14">
        <v>2417.86</v>
      </c>
      <c r="Q927" s="14">
        <v>1447.86</v>
      </c>
      <c r="R927" s="14">
        <v>970</v>
      </c>
      <c r="S927" s="12" t="s">
        <v>46</v>
      </c>
      <c r="T927" s="12" t="s">
        <v>119</v>
      </c>
      <c r="U927" s="12">
        <v>3</v>
      </c>
      <c r="V927" s="12" t="s">
        <v>116</v>
      </c>
    </row>
    <row r="928" spans="1:22" x14ac:dyDescent="0.3">
      <c r="A928" s="8" t="s">
        <v>1636</v>
      </c>
      <c r="B928" s="9">
        <v>45719</v>
      </c>
      <c r="C928" s="8" t="s">
        <v>57</v>
      </c>
      <c r="D928" s="8" t="s">
        <v>58</v>
      </c>
      <c r="E928" s="8" t="s">
        <v>59</v>
      </c>
      <c r="F928" s="8" t="s">
        <v>229</v>
      </c>
      <c r="G928" s="8" t="s">
        <v>41</v>
      </c>
      <c r="H928" s="8" t="s">
        <v>81</v>
      </c>
      <c r="I928" s="8" t="s">
        <v>68</v>
      </c>
      <c r="J928" s="8" t="s">
        <v>75</v>
      </c>
      <c r="K928" s="8" t="s">
        <v>76</v>
      </c>
      <c r="L928" s="8" t="s">
        <v>32</v>
      </c>
      <c r="M928" s="8">
        <v>4</v>
      </c>
      <c r="N928" s="10">
        <v>833.7</v>
      </c>
      <c r="O928" s="11">
        <v>0.05</v>
      </c>
      <c r="P928" s="10">
        <v>3168.06</v>
      </c>
      <c r="Q928" s="10">
        <v>1388.68</v>
      </c>
      <c r="R928" s="10">
        <v>1779.38</v>
      </c>
      <c r="S928" s="8" t="s">
        <v>53</v>
      </c>
      <c r="T928" s="8" t="s">
        <v>78</v>
      </c>
      <c r="U928" s="8">
        <v>5</v>
      </c>
      <c r="V928" s="8" t="s">
        <v>55</v>
      </c>
    </row>
    <row r="929" spans="1:22" x14ac:dyDescent="0.3">
      <c r="A929" s="12" t="s">
        <v>1637</v>
      </c>
      <c r="B929" s="13">
        <v>45710</v>
      </c>
      <c r="C929" s="12" t="s">
        <v>107</v>
      </c>
      <c r="D929" s="12" t="s">
        <v>108</v>
      </c>
      <c r="E929" s="12" t="s">
        <v>39</v>
      </c>
      <c r="F929" s="12" t="s">
        <v>235</v>
      </c>
      <c r="G929" s="12" t="s">
        <v>27</v>
      </c>
      <c r="H929" s="12" t="s">
        <v>94</v>
      </c>
      <c r="I929" s="12" t="s">
        <v>29</v>
      </c>
      <c r="J929" s="12" t="s">
        <v>101</v>
      </c>
      <c r="K929" s="12" t="s">
        <v>217</v>
      </c>
      <c r="L929" s="12" t="s">
        <v>77</v>
      </c>
      <c r="M929" s="12">
        <v>1</v>
      </c>
      <c r="N929" s="14">
        <v>3123.55</v>
      </c>
      <c r="O929" s="15">
        <v>0.1</v>
      </c>
      <c r="P929" s="14">
        <v>2811.2</v>
      </c>
      <c r="Q929" s="14">
        <v>1639.22</v>
      </c>
      <c r="R929" s="14">
        <v>1171.98</v>
      </c>
      <c r="S929" s="12" t="s">
        <v>53</v>
      </c>
      <c r="T929" s="12" t="s">
        <v>54</v>
      </c>
      <c r="U929" s="12">
        <v>3</v>
      </c>
      <c r="V929" s="12" t="s">
        <v>105</v>
      </c>
    </row>
    <row r="930" spans="1:22" x14ac:dyDescent="0.3">
      <c r="A930" s="8" t="s">
        <v>1638</v>
      </c>
      <c r="B930" s="9">
        <v>45702</v>
      </c>
      <c r="C930" s="8" t="s">
        <v>113</v>
      </c>
      <c r="D930" s="8" t="s">
        <v>114</v>
      </c>
      <c r="E930" s="8" t="s">
        <v>59</v>
      </c>
      <c r="F930" s="8" t="s">
        <v>1374</v>
      </c>
      <c r="G930" s="8" t="s">
        <v>27</v>
      </c>
      <c r="H930" s="8" t="s">
        <v>28</v>
      </c>
      <c r="I930" s="8" t="s">
        <v>61</v>
      </c>
      <c r="J930" s="8" t="s">
        <v>75</v>
      </c>
      <c r="K930" s="8" t="s">
        <v>95</v>
      </c>
      <c r="L930" s="8" t="s">
        <v>175</v>
      </c>
      <c r="M930" s="8">
        <v>3</v>
      </c>
      <c r="N930" s="10">
        <v>24961.63</v>
      </c>
      <c r="O930" s="11">
        <v>0.15</v>
      </c>
      <c r="P930" s="10">
        <v>63652.160000000003</v>
      </c>
      <c r="Q930" s="10">
        <v>54257.13</v>
      </c>
      <c r="R930" s="10">
        <v>9395.0300000000007</v>
      </c>
      <c r="S930" s="8" t="s">
        <v>53</v>
      </c>
      <c r="T930" s="8" t="s">
        <v>119</v>
      </c>
      <c r="U930" s="8">
        <v>4</v>
      </c>
      <c r="V930" s="8" t="s">
        <v>105</v>
      </c>
    </row>
    <row r="931" spans="1:22" x14ac:dyDescent="0.3">
      <c r="A931" s="12" t="s">
        <v>1639</v>
      </c>
      <c r="B931" s="13">
        <v>45914</v>
      </c>
      <c r="C931" s="12" t="s">
        <v>57</v>
      </c>
      <c r="D931" s="12" t="s">
        <v>58</v>
      </c>
      <c r="E931" s="12" t="s">
        <v>59</v>
      </c>
      <c r="F931" s="12" t="s">
        <v>1640</v>
      </c>
      <c r="G931" s="12" t="s">
        <v>41</v>
      </c>
      <c r="H931" s="12" t="s">
        <v>42</v>
      </c>
      <c r="I931" s="12" t="s">
        <v>61</v>
      </c>
      <c r="J931" s="12" t="s">
        <v>89</v>
      </c>
      <c r="K931" s="12" t="s">
        <v>90</v>
      </c>
      <c r="L931" s="12" t="s">
        <v>77</v>
      </c>
      <c r="M931" s="12">
        <v>2</v>
      </c>
      <c r="N931" s="14">
        <v>3459.41</v>
      </c>
      <c r="O931" s="15">
        <v>0.1</v>
      </c>
      <c r="P931" s="14">
        <v>6226.94</v>
      </c>
      <c r="Q931" s="14">
        <v>4266.2</v>
      </c>
      <c r="R931" s="14">
        <v>1960.74</v>
      </c>
      <c r="S931" s="12" t="s">
        <v>53</v>
      </c>
      <c r="T931" s="12" t="s">
        <v>156</v>
      </c>
      <c r="U931" s="12">
        <v>4</v>
      </c>
      <c r="V931" s="12" t="s">
        <v>116</v>
      </c>
    </row>
    <row r="932" spans="1:22" x14ac:dyDescent="0.3">
      <c r="A932" s="8" t="s">
        <v>1641</v>
      </c>
      <c r="B932" s="9">
        <v>45663</v>
      </c>
      <c r="C932" s="8" t="s">
        <v>107</v>
      </c>
      <c r="D932" s="8" t="s">
        <v>108</v>
      </c>
      <c r="E932" s="8" t="s">
        <v>39</v>
      </c>
      <c r="F932" s="8" t="s">
        <v>1642</v>
      </c>
      <c r="G932" s="8" t="s">
        <v>27</v>
      </c>
      <c r="H932" s="8" t="s">
        <v>81</v>
      </c>
      <c r="I932" s="8" t="s">
        <v>29</v>
      </c>
      <c r="J932" s="8" t="s">
        <v>75</v>
      </c>
      <c r="K932" s="8" t="s">
        <v>95</v>
      </c>
      <c r="L932" s="8" t="s">
        <v>175</v>
      </c>
      <c r="M932" s="8">
        <v>4</v>
      </c>
      <c r="N932" s="10">
        <v>25040.61</v>
      </c>
      <c r="O932" s="11">
        <v>0.2</v>
      </c>
      <c r="P932" s="10">
        <v>80129.95</v>
      </c>
      <c r="Q932" s="10">
        <v>74234.67</v>
      </c>
      <c r="R932" s="10">
        <v>5895.28</v>
      </c>
      <c r="S932" s="8" t="s">
        <v>63</v>
      </c>
      <c r="T932" s="8" t="s">
        <v>54</v>
      </c>
      <c r="U932" s="8">
        <v>4</v>
      </c>
      <c r="V932" s="8" t="s">
        <v>84</v>
      </c>
    </row>
    <row r="933" spans="1:22" x14ac:dyDescent="0.3">
      <c r="A933" s="12" t="s">
        <v>1643</v>
      </c>
      <c r="B933" s="13">
        <v>45856</v>
      </c>
      <c r="C933" s="12" t="s">
        <v>86</v>
      </c>
      <c r="D933" s="12" t="s">
        <v>87</v>
      </c>
      <c r="E933" s="12" t="s">
        <v>59</v>
      </c>
      <c r="F933" s="12" t="s">
        <v>1644</v>
      </c>
      <c r="G933" s="12" t="s">
        <v>27</v>
      </c>
      <c r="H933" s="12" t="s">
        <v>94</v>
      </c>
      <c r="I933" s="12" t="s">
        <v>29</v>
      </c>
      <c r="J933" s="12" t="s">
        <v>69</v>
      </c>
      <c r="K933" s="12" t="s">
        <v>70</v>
      </c>
      <c r="L933" s="12" t="s">
        <v>91</v>
      </c>
      <c r="M933" s="12">
        <v>2</v>
      </c>
      <c r="N933" s="14">
        <v>882.38</v>
      </c>
      <c r="O933" s="15">
        <v>0.05</v>
      </c>
      <c r="P933" s="14">
        <v>1676.52</v>
      </c>
      <c r="Q933" s="14">
        <v>924.53</v>
      </c>
      <c r="R933" s="14">
        <v>751.99</v>
      </c>
      <c r="S933" s="12" t="s">
        <v>46</v>
      </c>
      <c r="T933" s="12" t="s">
        <v>111</v>
      </c>
      <c r="U933" s="12">
        <v>5</v>
      </c>
      <c r="V933" s="12" t="s">
        <v>120</v>
      </c>
    </row>
    <row r="934" spans="1:22" x14ac:dyDescent="0.3">
      <c r="A934" s="8" t="s">
        <v>1645</v>
      </c>
      <c r="B934" s="9">
        <v>45878</v>
      </c>
      <c r="C934" s="8" t="s">
        <v>125</v>
      </c>
      <c r="D934" s="8" t="s">
        <v>126</v>
      </c>
      <c r="E934" s="8" t="s">
        <v>25</v>
      </c>
      <c r="F934" s="8" t="s">
        <v>684</v>
      </c>
      <c r="G934" s="8" t="s">
        <v>41</v>
      </c>
      <c r="H934" s="8" t="s">
        <v>28</v>
      </c>
      <c r="I934" s="8" t="s">
        <v>61</v>
      </c>
      <c r="J934" s="8" t="s">
        <v>101</v>
      </c>
      <c r="K934" s="8" t="s">
        <v>102</v>
      </c>
      <c r="L934" s="8" t="s">
        <v>82</v>
      </c>
      <c r="M934" s="8">
        <v>2</v>
      </c>
      <c r="N934" s="10">
        <v>696.34</v>
      </c>
      <c r="O934" s="11">
        <v>0.3</v>
      </c>
      <c r="P934" s="10">
        <v>974.88</v>
      </c>
      <c r="Q934" s="10">
        <v>491.33</v>
      </c>
      <c r="R934" s="10">
        <v>483.55</v>
      </c>
      <c r="S934" s="8" t="s">
        <v>83</v>
      </c>
      <c r="T934" s="8" t="s">
        <v>78</v>
      </c>
      <c r="U934" s="8">
        <v>4</v>
      </c>
      <c r="V934" s="8" t="s">
        <v>72</v>
      </c>
    </row>
    <row r="935" spans="1:22" x14ac:dyDescent="0.3">
      <c r="A935" s="12" t="s">
        <v>1646</v>
      </c>
      <c r="B935" s="13">
        <v>45681</v>
      </c>
      <c r="C935" s="12" t="s">
        <v>98</v>
      </c>
      <c r="D935" s="12" t="s">
        <v>99</v>
      </c>
      <c r="E935" s="12" t="s">
        <v>25</v>
      </c>
      <c r="F935" s="12" t="s">
        <v>1511</v>
      </c>
      <c r="G935" s="12" t="s">
        <v>41</v>
      </c>
      <c r="H935" s="12" t="s">
        <v>81</v>
      </c>
      <c r="I935" s="12" t="s">
        <v>61</v>
      </c>
      <c r="J935" s="12" t="s">
        <v>69</v>
      </c>
      <c r="K935" s="12" t="s">
        <v>180</v>
      </c>
      <c r="L935" s="12" t="s">
        <v>175</v>
      </c>
      <c r="M935" s="12">
        <v>4</v>
      </c>
      <c r="N935" s="14">
        <v>1487.79</v>
      </c>
      <c r="O935" s="15">
        <v>0.05</v>
      </c>
      <c r="P935" s="14">
        <v>5653.6</v>
      </c>
      <c r="Q935" s="14">
        <v>3453.54</v>
      </c>
      <c r="R935" s="14">
        <v>2200.06</v>
      </c>
      <c r="S935" s="12" t="s">
        <v>83</v>
      </c>
      <c r="T935" s="12" t="s">
        <v>78</v>
      </c>
      <c r="U935" s="12">
        <v>4</v>
      </c>
      <c r="V935" s="12" t="s">
        <v>84</v>
      </c>
    </row>
    <row r="936" spans="1:22" x14ac:dyDescent="0.3">
      <c r="A936" s="8" t="s">
        <v>1647</v>
      </c>
      <c r="B936" s="9">
        <v>45708</v>
      </c>
      <c r="C936" s="8" t="s">
        <v>48</v>
      </c>
      <c r="D936" s="8" t="s">
        <v>49</v>
      </c>
      <c r="E936" s="8" t="s">
        <v>39</v>
      </c>
      <c r="F936" s="8" t="s">
        <v>446</v>
      </c>
      <c r="G936" s="8" t="s">
        <v>41</v>
      </c>
      <c r="H936" s="8" t="s">
        <v>42</v>
      </c>
      <c r="I936" s="8" t="s">
        <v>29</v>
      </c>
      <c r="J936" s="8" t="s">
        <v>30</v>
      </c>
      <c r="K936" s="8" t="s">
        <v>144</v>
      </c>
      <c r="L936" s="8" t="s">
        <v>91</v>
      </c>
      <c r="M936" s="8">
        <v>5</v>
      </c>
      <c r="N936" s="10">
        <v>2617.69</v>
      </c>
      <c r="O936" s="11">
        <v>0.25</v>
      </c>
      <c r="P936" s="10">
        <v>9816.34</v>
      </c>
      <c r="Q936" s="10">
        <v>7165.95</v>
      </c>
      <c r="R936" s="10">
        <v>2650.39</v>
      </c>
      <c r="S936" s="8" t="s">
        <v>83</v>
      </c>
      <c r="T936" s="8" t="s">
        <v>111</v>
      </c>
      <c r="U936" s="8">
        <v>3</v>
      </c>
      <c r="V936" s="8" t="s">
        <v>105</v>
      </c>
    </row>
    <row r="937" spans="1:22" x14ac:dyDescent="0.3">
      <c r="A937" s="12" t="s">
        <v>1648</v>
      </c>
      <c r="B937" s="13">
        <v>45837</v>
      </c>
      <c r="C937" s="12" t="s">
        <v>131</v>
      </c>
      <c r="D937" s="12" t="s">
        <v>132</v>
      </c>
      <c r="E937" s="12" t="s">
        <v>25</v>
      </c>
      <c r="F937" s="12" t="s">
        <v>385</v>
      </c>
      <c r="G937" s="12" t="s">
        <v>41</v>
      </c>
      <c r="H937" s="12" t="s">
        <v>42</v>
      </c>
      <c r="I937" s="12" t="s">
        <v>29</v>
      </c>
      <c r="J937" s="12" t="s">
        <v>30</v>
      </c>
      <c r="K937" s="12" t="s">
        <v>31</v>
      </c>
      <c r="L937" s="12" t="s">
        <v>77</v>
      </c>
      <c r="M937" s="12">
        <v>4</v>
      </c>
      <c r="N937" s="14">
        <v>3839.1</v>
      </c>
      <c r="O937" s="15">
        <v>0.3</v>
      </c>
      <c r="P937" s="14">
        <v>10749.48</v>
      </c>
      <c r="Q937" s="14">
        <v>9162.35</v>
      </c>
      <c r="R937" s="14">
        <v>1587.13</v>
      </c>
      <c r="S937" s="12" t="s">
        <v>33</v>
      </c>
      <c r="T937" s="12" t="s">
        <v>147</v>
      </c>
      <c r="U937" s="12">
        <v>5</v>
      </c>
      <c r="V937" s="12" t="s">
        <v>157</v>
      </c>
    </row>
    <row r="938" spans="1:22" x14ac:dyDescent="0.3">
      <c r="A938" s="8" t="s">
        <v>1649</v>
      </c>
      <c r="B938" s="9">
        <v>45985</v>
      </c>
      <c r="C938" s="8" t="s">
        <v>86</v>
      </c>
      <c r="D938" s="8" t="s">
        <v>87</v>
      </c>
      <c r="E938" s="8" t="s">
        <v>59</v>
      </c>
      <c r="F938" s="8" t="s">
        <v>1650</v>
      </c>
      <c r="G938" s="8" t="s">
        <v>27</v>
      </c>
      <c r="H938" s="8" t="s">
        <v>42</v>
      </c>
      <c r="I938" s="8" t="s">
        <v>29</v>
      </c>
      <c r="J938" s="8" t="s">
        <v>75</v>
      </c>
      <c r="K938" s="8" t="s">
        <v>154</v>
      </c>
      <c r="L938" s="8" t="s">
        <v>91</v>
      </c>
      <c r="M938" s="8">
        <v>5</v>
      </c>
      <c r="N938" s="10">
        <v>1998.32</v>
      </c>
      <c r="O938" s="11">
        <v>0.25</v>
      </c>
      <c r="P938" s="10">
        <v>7493.7</v>
      </c>
      <c r="Q938" s="10">
        <v>5658.84</v>
      </c>
      <c r="R938" s="10">
        <v>1834.86</v>
      </c>
      <c r="S938" s="8" t="s">
        <v>63</v>
      </c>
      <c r="T938" s="8" t="s">
        <v>34</v>
      </c>
      <c r="U938" s="8">
        <v>3</v>
      </c>
      <c r="V938" s="8" t="s">
        <v>65</v>
      </c>
    </row>
    <row r="939" spans="1:22" x14ac:dyDescent="0.3">
      <c r="A939" s="12" t="s">
        <v>1651</v>
      </c>
      <c r="B939" s="13">
        <v>45916</v>
      </c>
      <c r="C939" s="12" t="s">
        <v>98</v>
      </c>
      <c r="D939" s="12" t="s">
        <v>99</v>
      </c>
      <c r="E939" s="12" t="s">
        <v>25</v>
      </c>
      <c r="F939" s="12" t="s">
        <v>170</v>
      </c>
      <c r="G939" s="12" t="s">
        <v>27</v>
      </c>
      <c r="H939" s="12" t="s">
        <v>94</v>
      </c>
      <c r="I939" s="12" t="s">
        <v>61</v>
      </c>
      <c r="J939" s="12" t="s">
        <v>30</v>
      </c>
      <c r="K939" s="12" t="s">
        <v>31</v>
      </c>
      <c r="L939" s="12" t="s">
        <v>175</v>
      </c>
      <c r="M939" s="12">
        <v>2</v>
      </c>
      <c r="N939" s="14">
        <v>3968.75</v>
      </c>
      <c r="O939" s="15">
        <v>0.1</v>
      </c>
      <c r="P939" s="14">
        <v>7143.75</v>
      </c>
      <c r="Q939" s="14">
        <v>4409.1400000000003</v>
      </c>
      <c r="R939" s="14">
        <v>2734.61</v>
      </c>
      <c r="S939" s="12" t="s">
        <v>33</v>
      </c>
      <c r="T939" s="12" t="s">
        <v>156</v>
      </c>
      <c r="U939" s="12">
        <v>3</v>
      </c>
      <c r="V939" s="12" t="s">
        <v>116</v>
      </c>
    </row>
    <row r="940" spans="1:22" x14ac:dyDescent="0.3">
      <c r="A940" s="8" t="s">
        <v>1652</v>
      </c>
      <c r="B940" s="9">
        <v>46011</v>
      </c>
      <c r="C940" s="8" t="s">
        <v>98</v>
      </c>
      <c r="D940" s="8" t="s">
        <v>99</v>
      </c>
      <c r="E940" s="8" t="s">
        <v>25</v>
      </c>
      <c r="F940" s="8" t="s">
        <v>668</v>
      </c>
      <c r="G940" s="8" t="s">
        <v>27</v>
      </c>
      <c r="H940" s="8" t="s">
        <v>42</v>
      </c>
      <c r="I940" s="8" t="s">
        <v>68</v>
      </c>
      <c r="J940" s="8" t="s">
        <v>75</v>
      </c>
      <c r="K940" s="8" t="s">
        <v>95</v>
      </c>
      <c r="L940" s="8" t="s">
        <v>103</v>
      </c>
      <c r="M940" s="8">
        <v>5</v>
      </c>
      <c r="N940" s="10">
        <v>24188.81</v>
      </c>
      <c r="O940" s="11">
        <v>0</v>
      </c>
      <c r="P940" s="10">
        <v>120944.05</v>
      </c>
      <c r="Q940" s="10">
        <v>94448.61</v>
      </c>
      <c r="R940" s="10">
        <v>26495.439999999999</v>
      </c>
      <c r="S940" s="8" t="s">
        <v>83</v>
      </c>
      <c r="T940" s="8" t="s">
        <v>64</v>
      </c>
      <c r="U940" s="8">
        <v>3</v>
      </c>
      <c r="V940" s="8" t="s">
        <v>35</v>
      </c>
    </row>
    <row r="941" spans="1:22" x14ac:dyDescent="0.3">
      <c r="A941" s="12" t="s">
        <v>1653</v>
      </c>
      <c r="B941" s="13">
        <v>45763</v>
      </c>
      <c r="C941" s="12" t="s">
        <v>125</v>
      </c>
      <c r="D941" s="12" t="s">
        <v>126</v>
      </c>
      <c r="E941" s="12" t="s">
        <v>25</v>
      </c>
      <c r="F941" s="12" t="s">
        <v>1654</v>
      </c>
      <c r="G941" s="12" t="s">
        <v>41</v>
      </c>
      <c r="H941" s="12" t="s">
        <v>81</v>
      </c>
      <c r="I941" s="12" t="s">
        <v>68</v>
      </c>
      <c r="J941" s="12" t="s">
        <v>69</v>
      </c>
      <c r="K941" s="12" t="s">
        <v>70</v>
      </c>
      <c r="L941" s="12" t="s">
        <v>103</v>
      </c>
      <c r="M941" s="12">
        <v>1</v>
      </c>
      <c r="N941" s="14">
        <v>933.14</v>
      </c>
      <c r="O941" s="15">
        <v>0.25</v>
      </c>
      <c r="P941" s="14">
        <v>699.86</v>
      </c>
      <c r="Q941" s="14">
        <v>450.47</v>
      </c>
      <c r="R941" s="14">
        <v>249.39</v>
      </c>
      <c r="S941" s="12" t="s">
        <v>63</v>
      </c>
      <c r="T941" s="12" t="s">
        <v>78</v>
      </c>
      <c r="U941" s="12">
        <v>4</v>
      </c>
      <c r="V941" s="12" t="s">
        <v>96</v>
      </c>
    </row>
    <row r="942" spans="1:22" x14ac:dyDescent="0.3">
      <c r="A942" s="8" t="s">
        <v>1655</v>
      </c>
      <c r="B942" s="9">
        <v>45801</v>
      </c>
      <c r="C942" s="8" t="s">
        <v>86</v>
      </c>
      <c r="D942" s="8" t="s">
        <v>87</v>
      </c>
      <c r="E942" s="8" t="s">
        <v>59</v>
      </c>
      <c r="F942" s="8" t="s">
        <v>229</v>
      </c>
      <c r="G942" s="8" t="s">
        <v>27</v>
      </c>
      <c r="H942" s="8" t="s">
        <v>42</v>
      </c>
      <c r="I942" s="8" t="s">
        <v>29</v>
      </c>
      <c r="J942" s="8" t="s">
        <v>43</v>
      </c>
      <c r="K942" s="8" t="s">
        <v>44</v>
      </c>
      <c r="L942" s="8" t="s">
        <v>32</v>
      </c>
      <c r="M942" s="8">
        <v>2</v>
      </c>
      <c r="N942" s="10">
        <v>624.33000000000004</v>
      </c>
      <c r="O942" s="11">
        <v>0.2</v>
      </c>
      <c r="P942" s="10">
        <v>998.93</v>
      </c>
      <c r="Q942" s="10">
        <v>524.54</v>
      </c>
      <c r="R942" s="10">
        <v>474.39</v>
      </c>
      <c r="S942" s="8" t="s">
        <v>83</v>
      </c>
      <c r="T942" s="8" t="s">
        <v>111</v>
      </c>
      <c r="U942" s="8">
        <v>4</v>
      </c>
      <c r="V942" s="8" t="s">
        <v>134</v>
      </c>
    </row>
    <row r="943" spans="1:22" x14ac:dyDescent="0.3">
      <c r="A943" s="12" t="s">
        <v>1656</v>
      </c>
      <c r="B943" s="13">
        <v>45687</v>
      </c>
      <c r="C943" s="12" t="s">
        <v>23</v>
      </c>
      <c r="D943" s="12" t="s">
        <v>24</v>
      </c>
      <c r="E943" s="12" t="s">
        <v>25</v>
      </c>
      <c r="F943" s="12" t="s">
        <v>658</v>
      </c>
      <c r="G943" s="12" t="s">
        <v>27</v>
      </c>
      <c r="H943" s="12" t="s">
        <v>42</v>
      </c>
      <c r="I943" s="12" t="s">
        <v>61</v>
      </c>
      <c r="J943" s="12" t="s">
        <v>75</v>
      </c>
      <c r="K943" s="12" t="s">
        <v>76</v>
      </c>
      <c r="L943" s="12" t="s">
        <v>82</v>
      </c>
      <c r="M943" s="12">
        <v>5</v>
      </c>
      <c r="N943" s="14">
        <v>791.81</v>
      </c>
      <c r="O943" s="15">
        <v>0.2</v>
      </c>
      <c r="P943" s="14">
        <v>3167.24</v>
      </c>
      <c r="Q943" s="14">
        <v>1765.81</v>
      </c>
      <c r="R943" s="14">
        <v>1401.43</v>
      </c>
      <c r="S943" s="12" t="s">
        <v>63</v>
      </c>
      <c r="T943" s="12" t="s">
        <v>156</v>
      </c>
      <c r="U943" s="12">
        <v>3</v>
      </c>
      <c r="V943" s="12" t="s">
        <v>84</v>
      </c>
    </row>
    <row r="944" spans="1:22" x14ac:dyDescent="0.3">
      <c r="A944" s="8" t="s">
        <v>1657</v>
      </c>
      <c r="B944" s="9">
        <v>45792</v>
      </c>
      <c r="C944" s="8" t="s">
        <v>125</v>
      </c>
      <c r="D944" s="8" t="s">
        <v>126</v>
      </c>
      <c r="E944" s="8" t="s">
        <v>25</v>
      </c>
      <c r="F944" s="8" t="s">
        <v>801</v>
      </c>
      <c r="G944" s="8" t="s">
        <v>27</v>
      </c>
      <c r="H944" s="8" t="s">
        <v>94</v>
      </c>
      <c r="I944" s="8" t="s">
        <v>68</v>
      </c>
      <c r="J944" s="8" t="s">
        <v>30</v>
      </c>
      <c r="K944" s="8" t="s">
        <v>31</v>
      </c>
      <c r="L944" s="8" t="s">
        <v>103</v>
      </c>
      <c r="M944" s="8">
        <v>3</v>
      </c>
      <c r="N944" s="10">
        <v>3936.31</v>
      </c>
      <c r="O944" s="11">
        <v>0.2</v>
      </c>
      <c r="P944" s="10">
        <v>9447.14</v>
      </c>
      <c r="Q944" s="10">
        <v>6494.38</v>
      </c>
      <c r="R944" s="10">
        <v>2952.76</v>
      </c>
      <c r="S944" s="8" t="s">
        <v>46</v>
      </c>
      <c r="T944" s="8" t="s">
        <v>54</v>
      </c>
      <c r="U944" s="8">
        <v>4</v>
      </c>
      <c r="V944" s="8" t="s">
        <v>134</v>
      </c>
    </row>
    <row r="945" spans="1:22" x14ac:dyDescent="0.3">
      <c r="A945" s="12" t="s">
        <v>1658</v>
      </c>
      <c r="B945" s="13">
        <v>45992</v>
      </c>
      <c r="C945" s="12" t="s">
        <v>48</v>
      </c>
      <c r="D945" s="12" t="s">
        <v>49</v>
      </c>
      <c r="E945" s="12" t="s">
        <v>39</v>
      </c>
      <c r="F945" s="12" t="s">
        <v>1171</v>
      </c>
      <c r="G945" s="12" t="s">
        <v>41</v>
      </c>
      <c r="H945" s="12" t="s">
        <v>94</v>
      </c>
      <c r="I945" s="12" t="s">
        <v>68</v>
      </c>
      <c r="J945" s="12" t="s">
        <v>101</v>
      </c>
      <c r="K945" s="12" t="s">
        <v>110</v>
      </c>
      <c r="L945" s="12" t="s">
        <v>175</v>
      </c>
      <c r="M945" s="12">
        <v>5</v>
      </c>
      <c r="N945" s="14">
        <v>4760.97</v>
      </c>
      <c r="O945" s="15">
        <v>0.1</v>
      </c>
      <c r="P945" s="14">
        <v>21424.37</v>
      </c>
      <c r="Q945" s="14">
        <v>16088.03</v>
      </c>
      <c r="R945" s="14">
        <v>5336.34</v>
      </c>
      <c r="S945" s="12" t="s">
        <v>83</v>
      </c>
      <c r="T945" s="12" t="s">
        <v>54</v>
      </c>
      <c r="U945" s="12">
        <v>5</v>
      </c>
      <c r="V945" s="12" t="s">
        <v>35</v>
      </c>
    </row>
    <row r="946" spans="1:22" x14ac:dyDescent="0.3">
      <c r="A946" s="8" t="s">
        <v>1659</v>
      </c>
      <c r="B946" s="9">
        <v>45889</v>
      </c>
      <c r="C946" s="8" t="s">
        <v>107</v>
      </c>
      <c r="D946" s="8" t="s">
        <v>108</v>
      </c>
      <c r="E946" s="8" t="s">
        <v>39</v>
      </c>
      <c r="F946" s="8" t="s">
        <v>1015</v>
      </c>
      <c r="G946" s="8" t="s">
        <v>27</v>
      </c>
      <c r="H946" s="8" t="s">
        <v>42</v>
      </c>
      <c r="I946" s="8" t="s">
        <v>29</v>
      </c>
      <c r="J946" s="8" t="s">
        <v>89</v>
      </c>
      <c r="K946" s="8" t="s">
        <v>90</v>
      </c>
      <c r="L946" s="8" t="s">
        <v>32</v>
      </c>
      <c r="M946" s="8">
        <v>4</v>
      </c>
      <c r="N946" s="10">
        <v>3671.01</v>
      </c>
      <c r="O946" s="11">
        <v>0.3</v>
      </c>
      <c r="P946" s="10">
        <v>10278.83</v>
      </c>
      <c r="Q946" s="10">
        <v>8478.1299999999992</v>
      </c>
      <c r="R946" s="10">
        <v>1800.7</v>
      </c>
      <c r="S946" s="8" t="s">
        <v>83</v>
      </c>
      <c r="T946" s="8" t="s">
        <v>104</v>
      </c>
      <c r="U946" s="8">
        <v>4</v>
      </c>
      <c r="V946" s="8" t="s">
        <v>72</v>
      </c>
    </row>
    <row r="947" spans="1:22" x14ac:dyDescent="0.3">
      <c r="A947" s="12" t="s">
        <v>1660</v>
      </c>
      <c r="B947" s="13">
        <v>45773</v>
      </c>
      <c r="C947" s="12" t="s">
        <v>57</v>
      </c>
      <c r="D947" s="12" t="s">
        <v>58</v>
      </c>
      <c r="E947" s="12" t="s">
        <v>59</v>
      </c>
      <c r="F947" s="12" t="s">
        <v>1661</v>
      </c>
      <c r="G947" s="12" t="s">
        <v>27</v>
      </c>
      <c r="H947" s="12" t="s">
        <v>42</v>
      </c>
      <c r="I947" s="12" t="s">
        <v>68</v>
      </c>
      <c r="J947" s="12" t="s">
        <v>101</v>
      </c>
      <c r="K947" s="12" t="s">
        <v>110</v>
      </c>
      <c r="L947" s="12" t="s">
        <v>91</v>
      </c>
      <c r="M947" s="12">
        <v>3</v>
      </c>
      <c r="N947" s="14">
        <v>4990.95</v>
      </c>
      <c r="O947" s="15">
        <v>0.25</v>
      </c>
      <c r="P947" s="14">
        <v>11229.64</v>
      </c>
      <c r="Q947" s="14">
        <v>9345.02</v>
      </c>
      <c r="R947" s="14">
        <v>1884.62</v>
      </c>
      <c r="S947" s="12" t="s">
        <v>33</v>
      </c>
      <c r="T947" s="12" t="s">
        <v>78</v>
      </c>
      <c r="U947" s="12">
        <v>5</v>
      </c>
      <c r="V947" s="12" t="s">
        <v>96</v>
      </c>
    </row>
    <row r="948" spans="1:22" x14ac:dyDescent="0.3">
      <c r="A948" s="8" t="s">
        <v>1662</v>
      </c>
      <c r="B948" s="9">
        <v>45719</v>
      </c>
      <c r="C948" s="8" t="s">
        <v>125</v>
      </c>
      <c r="D948" s="8" t="s">
        <v>126</v>
      </c>
      <c r="E948" s="8" t="s">
        <v>25</v>
      </c>
      <c r="F948" s="8" t="s">
        <v>1279</v>
      </c>
      <c r="G948" s="8" t="s">
        <v>27</v>
      </c>
      <c r="H948" s="8" t="s">
        <v>42</v>
      </c>
      <c r="I948" s="8" t="s">
        <v>68</v>
      </c>
      <c r="J948" s="8" t="s">
        <v>30</v>
      </c>
      <c r="K948" s="8" t="s">
        <v>144</v>
      </c>
      <c r="L948" s="8" t="s">
        <v>103</v>
      </c>
      <c r="M948" s="8">
        <v>1</v>
      </c>
      <c r="N948" s="10">
        <v>2441.77</v>
      </c>
      <c r="O948" s="11">
        <v>0</v>
      </c>
      <c r="P948" s="10">
        <v>2441.77</v>
      </c>
      <c r="Q948" s="10">
        <v>1428.07</v>
      </c>
      <c r="R948" s="10">
        <v>1013.7</v>
      </c>
      <c r="S948" s="8" t="s">
        <v>63</v>
      </c>
      <c r="T948" s="8" t="s">
        <v>71</v>
      </c>
      <c r="U948" s="8">
        <v>3</v>
      </c>
      <c r="V948" s="8" t="s">
        <v>55</v>
      </c>
    </row>
    <row r="949" spans="1:22" x14ac:dyDescent="0.3">
      <c r="A949" s="12" t="s">
        <v>1663</v>
      </c>
      <c r="B949" s="13">
        <v>45694</v>
      </c>
      <c r="C949" s="12" t="s">
        <v>23</v>
      </c>
      <c r="D949" s="12" t="s">
        <v>24</v>
      </c>
      <c r="E949" s="12" t="s">
        <v>25</v>
      </c>
      <c r="F949" s="12" t="s">
        <v>1175</v>
      </c>
      <c r="G949" s="12" t="s">
        <v>41</v>
      </c>
      <c r="H949" s="12" t="s">
        <v>81</v>
      </c>
      <c r="I949" s="12" t="s">
        <v>61</v>
      </c>
      <c r="J949" s="12" t="s">
        <v>69</v>
      </c>
      <c r="K949" s="12" t="s">
        <v>180</v>
      </c>
      <c r="L949" s="12" t="s">
        <v>91</v>
      </c>
      <c r="M949" s="12">
        <v>2</v>
      </c>
      <c r="N949" s="14">
        <v>1469.34</v>
      </c>
      <c r="O949" s="15">
        <v>0.25</v>
      </c>
      <c r="P949" s="14">
        <v>2204.0100000000002</v>
      </c>
      <c r="Q949" s="14">
        <v>1747.63</v>
      </c>
      <c r="R949" s="14">
        <v>456.38</v>
      </c>
      <c r="S949" s="12" t="s">
        <v>63</v>
      </c>
      <c r="T949" s="12" t="s">
        <v>34</v>
      </c>
      <c r="U949" s="12">
        <v>3</v>
      </c>
      <c r="V949" s="12" t="s">
        <v>105</v>
      </c>
    </row>
    <row r="950" spans="1:22" x14ac:dyDescent="0.3">
      <c r="A950" s="8" t="s">
        <v>1664</v>
      </c>
      <c r="B950" s="9">
        <v>45984</v>
      </c>
      <c r="C950" s="8" t="s">
        <v>23</v>
      </c>
      <c r="D950" s="8" t="s">
        <v>24</v>
      </c>
      <c r="E950" s="8" t="s">
        <v>25</v>
      </c>
      <c r="F950" s="8" t="s">
        <v>1665</v>
      </c>
      <c r="G950" s="8" t="s">
        <v>27</v>
      </c>
      <c r="H950" s="8" t="s">
        <v>94</v>
      </c>
      <c r="I950" s="8" t="s">
        <v>61</v>
      </c>
      <c r="J950" s="8" t="s">
        <v>43</v>
      </c>
      <c r="K950" s="8" t="s">
        <v>51</v>
      </c>
      <c r="L950" s="8" t="s">
        <v>82</v>
      </c>
      <c r="M950" s="8">
        <v>2</v>
      </c>
      <c r="N950" s="10">
        <v>1464.2</v>
      </c>
      <c r="O950" s="11">
        <v>0.05</v>
      </c>
      <c r="P950" s="10">
        <v>2781.98</v>
      </c>
      <c r="Q950" s="10">
        <v>1388.5</v>
      </c>
      <c r="R950" s="10">
        <v>1393.48</v>
      </c>
      <c r="S950" s="8" t="s">
        <v>53</v>
      </c>
      <c r="T950" s="8" t="s">
        <v>34</v>
      </c>
      <c r="U950" s="8">
        <v>5</v>
      </c>
      <c r="V950" s="8" t="s">
        <v>65</v>
      </c>
    </row>
    <row r="951" spans="1:22" x14ac:dyDescent="0.3">
      <c r="A951" s="12" t="s">
        <v>1666</v>
      </c>
      <c r="B951" s="13">
        <v>45961</v>
      </c>
      <c r="C951" s="12" t="s">
        <v>57</v>
      </c>
      <c r="D951" s="12" t="s">
        <v>58</v>
      </c>
      <c r="E951" s="12" t="s">
        <v>59</v>
      </c>
      <c r="F951" s="12" t="s">
        <v>1234</v>
      </c>
      <c r="G951" s="12" t="s">
        <v>27</v>
      </c>
      <c r="H951" s="12" t="s">
        <v>28</v>
      </c>
      <c r="I951" s="12" t="s">
        <v>29</v>
      </c>
      <c r="J951" s="12" t="s">
        <v>43</v>
      </c>
      <c r="K951" s="12" t="s">
        <v>51</v>
      </c>
      <c r="L951" s="12" t="s">
        <v>77</v>
      </c>
      <c r="M951" s="12">
        <v>3</v>
      </c>
      <c r="N951" s="14">
        <v>1533.86</v>
      </c>
      <c r="O951" s="15">
        <v>0.15</v>
      </c>
      <c r="P951" s="14">
        <v>3911.34</v>
      </c>
      <c r="Q951" s="14">
        <v>2004.67</v>
      </c>
      <c r="R951" s="14">
        <v>1906.67</v>
      </c>
      <c r="S951" s="12" t="s">
        <v>83</v>
      </c>
      <c r="T951" s="12" t="s">
        <v>78</v>
      </c>
      <c r="U951" s="12">
        <v>3</v>
      </c>
      <c r="V951" s="12" t="s">
        <v>123</v>
      </c>
    </row>
    <row r="952" spans="1:22" x14ac:dyDescent="0.3">
      <c r="A952" s="8" t="s">
        <v>1667</v>
      </c>
      <c r="B952" s="9">
        <v>46015</v>
      </c>
      <c r="C952" s="8" t="s">
        <v>48</v>
      </c>
      <c r="D952" s="8" t="s">
        <v>49</v>
      </c>
      <c r="E952" s="8" t="s">
        <v>39</v>
      </c>
      <c r="F952" s="8" t="s">
        <v>285</v>
      </c>
      <c r="G952" s="8" t="s">
        <v>27</v>
      </c>
      <c r="H952" s="8" t="s">
        <v>42</v>
      </c>
      <c r="I952" s="8" t="s">
        <v>29</v>
      </c>
      <c r="J952" s="8" t="s">
        <v>89</v>
      </c>
      <c r="K952" s="8" t="s">
        <v>151</v>
      </c>
      <c r="L952" s="8" t="s">
        <v>52</v>
      </c>
      <c r="M952" s="8">
        <v>1</v>
      </c>
      <c r="N952" s="10">
        <v>987.58</v>
      </c>
      <c r="O952" s="11">
        <v>0.3</v>
      </c>
      <c r="P952" s="10">
        <v>691.31</v>
      </c>
      <c r="Q952" s="10">
        <v>494.43</v>
      </c>
      <c r="R952" s="10">
        <v>196.88</v>
      </c>
      <c r="S952" s="8" t="s">
        <v>63</v>
      </c>
      <c r="T952" s="8" t="s">
        <v>78</v>
      </c>
      <c r="U952" s="8">
        <v>5</v>
      </c>
      <c r="V952" s="8" t="s">
        <v>35</v>
      </c>
    </row>
    <row r="953" spans="1:22" x14ac:dyDescent="0.3">
      <c r="A953" s="12" t="s">
        <v>1668</v>
      </c>
      <c r="B953" s="13">
        <v>45842</v>
      </c>
      <c r="C953" s="12" t="s">
        <v>57</v>
      </c>
      <c r="D953" s="12" t="s">
        <v>58</v>
      </c>
      <c r="E953" s="12" t="s">
        <v>59</v>
      </c>
      <c r="F953" s="12" t="s">
        <v>1669</v>
      </c>
      <c r="G953" s="12" t="s">
        <v>27</v>
      </c>
      <c r="H953" s="12" t="s">
        <v>42</v>
      </c>
      <c r="I953" s="12" t="s">
        <v>61</v>
      </c>
      <c r="J953" s="12" t="s">
        <v>30</v>
      </c>
      <c r="K953" s="12" t="s">
        <v>31</v>
      </c>
      <c r="L953" s="12" t="s">
        <v>45</v>
      </c>
      <c r="M953" s="12">
        <v>1</v>
      </c>
      <c r="N953" s="14">
        <v>4183.3500000000004</v>
      </c>
      <c r="O953" s="15">
        <v>0.2</v>
      </c>
      <c r="P953" s="14">
        <v>3346.68</v>
      </c>
      <c r="Q953" s="14">
        <v>2260.77</v>
      </c>
      <c r="R953" s="14">
        <v>1085.9100000000001</v>
      </c>
      <c r="S953" s="12" t="s">
        <v>46</v>
      </c>
      <c r="T953" s="12" t="s">
        <v>78</v>
      </c>
      <c r="U953" s="12">
        <v>3</v>
      </c>
      <c r="V953" s="12" t="s">
        <v>120</v>
      </c>
    </row>
    <row r="954" spans="1:22" x14ac:dyDescent="0.3">
      <c r="A954" s="8" t="s">
        <v>1670</v>
      </c>
      <c r="B954" s="9">
        <v>45992</v>
      </c>
      <c r="C954" s="8" t="s">
        <v>86</v>
      </c>
      <c r="D954" s="8" t="s">
        <v>87</v>
      </c>
      <c r="E954" s="8" t="s">
        <v>59</v>
      </c>
      <c r="F954" s="8" t="s">
        <v>1665</v>
      </c>
      <c r="G954" s="8" t="s">
        <v>41</v>
      </c>
      <c r="H954" s="8" t="s">
        <v>94</v>
      </c>
      <c r="I954" s="8" t="s">
        <v>61</v>
      </c>
      <c r="J954" s="8" t="s">
        <v>43</v>
      </c>
      <c r="K954" s="8" t="s">
        <v>44</v>
      </c>
      <c r="L954" s="8" t="s">
        <v>32</v>
      </c>
      <c r="M954" s="8">
        <v>1</v>
      </c>
      <c r="N954" s="10">
        <v>599.11</v>
      </c>
      <c r="O954" s="11">
        <v>0.05</v>
      </c>
      <c r="P954" s="10">
        <v>569.15</v>
      </c>
      <c r="Q954" s="10">
        <v>272.22000000000003</v>
      </c>
      <c r="R954" s="10">
        <v>296.93</v>
      </c>
      <c r="S954" s="8" t="s">
        <v>46</v>
      </c>
      <c r="T954" s="8" t="s">
        <v>64</v>
      </c>
      <c r="U954" s="8">
        <v>4</v>
      </c>
      <c r="V954" s="8" t="s">
        <v>35</v>
      </c>
    </row>
    <row r="955" spans="1:22" x14ac:dyDescent="0.3">
      <c r="A955" s="12" t="s">
        <v>1671</v>
      </c>
      <c r="B955" s="13">
        <v>45784</v>
      </c>
      <c r="C955" s="12" t="s">
        <v>98</v>
      </c>
      <c r="D955" s="12" t="s">
        <v>99</v>
      </c>
      <c r="E955" s="12" t="s">
        <v>25</v>
      </c>
      <c r="F955" s="12" t="s">
        <v>1665</v>
      </c>
      <c r="G955" s="12" t="s">
        <v>41</v>
      </c>
      <c r="H955" s="12" t="s">
        <v>28</v>
      </c>
      <c r="I955" s="12" t="s">
        <v>61</v>
      </c>
      <c r="J955" s="12" t="s">
        <v>75</v>
      </c>
      <c r="K955" s="12" t="s">
        <v>76</v>
      </c>
      <c r="L955" s="12" t="s">
        <v>45</v>
      </c>
      <c r="M955" s="12">
        <v>5</v>
      </c>
      <c r="N955" s="14">
        <v>800.03</v>
      </c>
      <c r="O955" s="15">
        <v>0.2</v>
      </c>
      <c r="P955" s="14">
        <v>3200.12</v>
      </c>
      <c r="Q955" s="14">
        <v>1669.39</v>
      </c>
      <c r="R955" s="14">
        <v>1530.73</v>
      </c>
      <c r="S955" s="12" t="s">
        <v>83</v>
      </c>
      <c r="T955" s="12" t="s">
        <v>147</v>
      </c>
      <c r="U955" s="12">
        <v>5</v>
      </c>
      <c r="V955" s="12" t="s">
        <v>134</v>
      </c>
    </row>
    <row r="956" spans="1:22" x14ac:dyDescent="0.3">
      <c r="A956" s="8" t="s">
        <v>1672</v>
      </c>
      <c r="B956" s="9">
        <v>46008</v>
      </c>
      <c r="C956" s="8" t="s">
        <v>125</v>
      </c>
      <c r="D956" s="8" t="s">
        <v>126</v>
      </c>
      <c r="E956" s="8" t="s">
        <v>25</v>
      </c>
      <c r="F956" s="8" t="s">
        <v>1417</v>
      </c>
      <c r="G956" s="8" t="s">
        <v>41</v>
      </c>
      <c r="H956" s="8" t="s">
        <v>42</v>
      </c>
      <c r="I956" s="8" t="s">
        <v>61</v>
      </c>
      <c r="J956" s="8" t="s">
        <v>101</v>
      </c>
      <c r="K956" s="8" t="s">
        <v>217</v>
      </c>
      <c r="L956" s="8" t="s">
        <v>45</v>
      </c>
      <c r="M956" s="8">
        <v>1</v>
      </c>
      <c r="N956" s="10">
        <v>3018.97</v>
      </c>
      <c r="O956" s="11">
        <v>0.25</v>
      </c>
      <c r="P956" s="10">
        <v>2264.23</v>
      </c>
      <c r="Q956" s="10">
        <v>1752.49</v>
      </c>
      <c r="R956" s="10">
        <v>511.74</v>
      </c>
      <c r="S956" s="8" t="s">
        <v>53</v>
      </c>
      <c r="T956" s="8" t="s">
        <v>34</v>
      </c>
      <c r="U956" s="8">
        <v>3</v>
      </c>
      <c r="V956" s="8" t="s">
        <v>35</v>
      </c>
    </row>
    <row r="957" spans="1:22" x14ac:dyDescent="0.3">
      <c r="A957" s="12" t="s">
        <v>1673</v>
      </c>
      <c r="B957" s="13">
        <v>45994</v>
      </c>
      <c r="C957" s="12" t="s">
        <v>48</v>
      </c>
      <c r="D957" s="12" t="s">
        <v>49</v>
      </c>
      <c r="E957" s="12" t="s">
        <v>39</v>
      </c>
      <c r="F957" s="12" t="s">
        <v>1460</v>
      </c>
      <c r="G957" s="12" t="s">
        <v>27</v>
      </c>
      <c r="H957" s="12" t="s">
        <v>81</v>
      </c>
      <c r="I957" s="12" t="s">
        <v>29</v>
      </c>
      <c r="J957" s="12" t="s">
        <v>101</v>
      </c>
      <c r="K957" s="12" t="s">
        <v>217</v>
      </c>
      <c r="L957" s="12" t="s">
        <v>103</v>
      </c>
      <c r="M957" s="12">
        <v>2</v>
      </c>
      <c r="N957" s="14">
        <v>2897.28</v>
      </c>
      <c r="O957" s="15">
        <v>0.15</v>
      </c>
      <c r="P957" s="14">
        <v>4925.38</v>
      </c>
      <c r="Q957" s="14">
        <v>3295.45</v>
      </c>
      <c r="R957" s="14">
        <v>1629.93</v>
      </c>
      <c r="S957" s="12" t="s">
        <v>53</v>
      </c>
      <c r="T957" s="12" t="s">
        <v>156</v>
      </c>
      <c r="U957" s="12">
        <v>5</v>
      </c>
      <c r="V957" s="12" t="s">
        <v>35</v>
      </c>
    </row>
    <row r="958" spans="1:22" x14ac:dyDescent="0.3">
      <c r="A958" s="8" t="s">
        <v>1674</v>
      </c>
      <c r="B958" s="9">
        <v>45964</v>
      </c>
      <c r="C958" s="8" t="s">
        <v>86</v>
      </c>
      <c r="D958" s="8" t="s">
        <v>87</v>
      </c>
      <c r="E958" s="8" t="s">
        <v>59</v>
      </c>
      <c r="F958" s="8" t="s">
        <v>1675</v>
      </c>
      <c r="G958" s="8" t="s">
        <v>27</v>
      </c>
      <c r="H958" s="8" t="s">
        <v>42</v>
      </c>
      <c r="I958" s="8" t="s">
        <v>61</v>
      </c>
      <c r="J958" s="8" t="s">
        <v>75</v>
      </c>
      <c r="K958" s="8" t="s">
        <v>154</v>
      </c>
      <c r="L958" s="8" t="s">
        <v>32</v>
      </c>
      <c r="M958" s="8">
        <v>4</v>
      </c>
      <c r="N958" s="10">
        <v>1910.37</v>
      </c>
      <c r="O958" s="11">
        <v>0.1</v>
      </c>
      <c r="P958" s="10">
        <v>6877.33</v>
      </c>
      <c r="Q958" s="10">
        <v>4439.83</v>
      </c>
      <c r="R958" s="10">
        <v>2437.5</v>
      </c>
      <c r="S958" s="8" t="s">
        <v>63</v>
      </c>
      <c r="T958" s="8" t="s">
        <v>78</v>
      </c>
      <c r="U958" s="8">
        <v>3</v>
      </c>
      <c r="V958" s="8" t="s">
        <v>65</v>
      </c>
    </row>
    <row r="959" spans="1:22" x14ac:dyDescent="0.3">
      <c r="A959" s="12" t="s">
        <v>1676</v>
      </c>
      <c r="B959" s="13">
        <v>45740</v>
      </c>
      <c r="C959" s="12" t="s">
        <v>37</v>
      </c>
      <c r="D959" s="12" t="s">
        <v>38</v>
      </c>
      <c r="E959" s="12" t="s">
        <v>39</v>
      </c>
      <c r="F959" s="12" t="s">
        <v>1677</v>
      </c>
      <c r="G959" s="12" t="s">
        <v>27</v>
      </c>
      <c r="H959" s="12" t="s">
        <v>81</v>
      </c>
      <c r="I959" s="12" t="s">
        <v>68</v>
      </c>
      <c r="J959" s="12" t="s">
        <v>89</v>
      </c>
      <c r="K959" s="12" t="s">
        <v>90</v>
      </c>
      <c r="L959" s="12" t="s">
        <v>175</v>
      </c>
      <c r="M959" s="12">
        <v>5</v>
      </c>
      <c r="N959" s="14">
        <v>3331.09</v>
      </c>
      <c r="O959" s="15">
        <v>0.15</v>
      </c>
      <c r="P959" s="14">
        <v>14157.13</v>
      </c>
      <c r="Q959" s="14">
        <v>10188.43</v>
      </c>
      <c r="R959" s="14">
        <v>3968.7</v>
      </c>
      <c r="S959" s="12" t="s">
        <v>33</v>
      </c>
      <c r="T959" s="12" t="s">
        <v>64</v>
      </c>
      <c r="U959" s="12">
        <v>4</v>
      </c>
      <c r="V959" s="12" t="s">
        <v>55</v>
      </c>
    </row>
    <row r="960" spans="1:22" x14ac:dyDescent="0.3">
      <c r="A960" s="8" t="s">
        <v>1678</v>
      </c>
      <c r="B960" s="9">
        <v>45800</v>
      </c>
      <c r="C960" s="8" t="s">
        <v>98</v>
      </c>
      <c r="D960" s="8" t="s">
        <v>99</v>
      </c>
      <c r="E960" s="8" t="s">
        <v>25</v>
      </c>
      <c r="F960" s="8" t="s">
        <v>1679</v>
      </c>
      <c r="G960" s="8" t="s">
        <v>41</v>
      </c>
      <c r="H960" s="8" t="s">
        <v>28</v>
      </c>
      <c r="I960" s="8" t="s">
        <v>29</v>
      </c>
      <c r="J960" s="8" t="s">
        <v>101</v>
      </c>
      <c r="K960" s="8" t="s">
        <v>102</v>
      </c>
      <c r="L960" s="8" t="s">
        <v>52</v>
      </c>
      <c r="M960" s="8">
        <v>2</v>
      </c>
      <c r="N960" s="10">
        <v>705.51</v>
      </c>
      <c r="O960" s="11">
        <v>0</v>
      </c>
      <c r="P960" s="10">
        <v>1411.02</v>
      </c>
      <c r="Q960" s="10">
        <v>491.75</v>
      </c>
      <c r="R960" s="10">
        <v>919.27</v>
      </c>
      <c r="S960" s="8" t="s">
        <v>33</v>
      </c>
      <c r="T960" s="8" t="s">
        <v>119</v>
      </c>
      <c r="U960" s="8">
        <v>3</v>
      </c>
      <c r="V960" s="8" t="s">
        <v>134</v>
      </c>
    </row>
    <row r="961" spans="1:22" x14ac:dyDescent="0.3">
      <c r="A961" s="12" t="s">
        <v>1680</v>
      </c>
      <c r="B961" s="13">
        <v>45765</v>
      </c>
      <c r="C961" s="12" t="s">
        <v>107</v>
      </c>
      <c r="D961" s="12" t="s">
        <v>108</v>
      </c>
      <c r="E961" s="12" t="s">
        <v>39</v>
      </c>
      <c r="F961" s="12" t="s">
        <v>869</v>
      </c>
      <c r="G961" s="12" t="s">
        <v>27</v>
      </c>
      <c r="H961" s="12" t="s">
        <v>42</v>
      </c>
      <c r="I961" s="12" t="s">
        <v>61</v>
      </c>
      <c r="J961" s="12" t="s">
        <v>89</v>
      </c>
      <c r="K961" s="12" t="s">
        <v>151</v>
      </c>
      <c r="L961" s="12" t="s">
        <v>175</v>
      </c>
      <c r="M961" s="12">
        <v>3</v>
      </c>
      <c r="N961" s="14">
        <v>986.57</v>
      </c>
      <c r="O961" s="15">
        <v>0.25</v>
      </c>
      <c r="P961" s="14">
        <v>2219.7800000000002</v>
      </c>
      <c r="Q961" s="14">
        <v>1511.21</v>
      </c>
      <c r="R961" s="14">
        <v>708.57</v>
      </c>
      <c r="S961" s="12" t="s">
        <v>33</v>
      </c>
      <c r="T961" s="12" t="s">
        <v>119</v>
      </c>
      <c r="U961" s="12">
        <v>3</v>
      </c>
      <c r="V961" s="12" t="s">
        <v>96</v>
      </c>
    </row>
    <row r="962" spans="1:22" x14ac:dyDescent="0.3">
      <c r="A962" s="8" t="s">
        <v>1681</v>
      </c>
      <c r="B962" s="9">
        <v>45810</v>
      </c>
      <c r="C962" s="8" t="s">
        <v>107</v>
      </c>
      <c r="D962" s="8" t="s">
        <v>108</v>
      </c>
      <c r="E962" s="8" t="s">
        <v>39</v>
      </c>
      <c r="F962" s="8" t="s">
        <v>136</v>
      </c>
      <c r="G962" s="8" t="s">
        <v>27</v>
      </c>
      <c r="H962" s="8" t="s">
        <v>94</v>
      </c>
      <c r="I962" s="8" t="s">
        <v>61</v>
      </c>
      <c r="J962" s="8" t="s">
        <v>75</v>
      </c>
      <c r="K962" s="8" t="s">
        <v>154</v>
      </c>
      <c r="L962" s="8" t="s">
        <v>45</v>
      </c>
      <c r="M962" s="8">
        <v>3</v>
      </c>
      <c r="N962" s="10">
        <v>1958.9</v>
      </c>
      <c r="O962" s="11">
        <v>0.05</v>
      </c>
      <c r="P962" s="10">
        <v>5582.87</v>
      </c>
      <c r="Q962" s="10">
        <v>3334.61</v>
      </c>
      <c r="R962" s="10">
        <v>2248.2600000000002</v>
      </c>
      <c r="S962" s="8" t="s">
        <v>63</v>
      </c>
      <c r="T962" s="8" t="s">
        <v>78</v>
      </c>
      <c r="U962" s="8">
        <v>3</v>
      </c>
      <c r="V962" s="8" t="s">
        <v>157</v>
      </c>
    </row>
    <row r="963" spans="1:22" x14ac:dyDescent="0.3">
      <c r="A963" s="12" t="s">
        <v>1682</v>
      </c>
      <c r="B963" s="13">
        <v>45791</v>
      </c>
      <c r="C963" s="12" t="s">
        <v>98</v>
      </c>
      <c r="D963" s="12" t="s">
        <v>99</v>
      </c>
      <c r="E963" s="12" t="s">
        <v>25</v>
      </c>
      <c r="F963" s="12" t="s">
        <v>544</v>
      </c>
      <c r="G963" s="12" t="s">
        <v>27</v>
      </c>
      <c r="H963" s="12" t="s">
        <v>42</v>
      </c>
      <c r="I963" s="12" t="s">
        <v>29</v>
      </c>
      <c r="J963" s="12" t="s">
        <v>75</v>
      </c>
      <c r="K963" s="12" t="s">
        <v>95</v>
      </c>
      <c r="L963" s="12" t="s">
        <v>32</v>
      </c>
      <c r="M963" s="12">
        <v>5</v>
      </c>
      <c r="N963" s="14">
        <v>24936.65</v>
      </c>
      <c r="O963" s="15">
        <v>0.25</v>
      </c>
      <c r="P963" s="14">
        <v>93512.44</v>
      </c>
      <c r="Q963" s="14">
        <v>93668.53</v>
      </c>
      <c r="R963" s="14">
        <v>-156.09</v>
      </c>
      <c r="S963" s="12" t="s">
        <v>33</v>
      </c>
      <c r="T963" s="12" t="s">
        <v>71</v>
      </c>
      <c r="U963" s="12">
        <v>4</v>
      </c>
      <c r="V963" s="12" t="s">
        <v>134</v>
      </c>
    </row>
    <row r="964" spans="1:22" x14ac:dyDescent="0.3">
      <c r="A964" s="8" t="s">
        <v>1683</v>
      </c>
      <c r="B964" s="9">
        <v>45785</v>
      </c>
      <c r="C964" s="8" t="s">
        <v>131</v>
      </c>
      <c r="D964" s="8" t="s">
        <v>132</v>
      </c>
      <c r="E964" s="8" t="s">
        <v>25</v>
      </c>
      <c r="F964" s="8" t="s">
        <v>1511</v>
      </c>
      <c r="G964" s="8" t="s">
        <v>27</v>
      </c>
      <c r="H964" s="8" t="s">
        <v>81</v>
      </c>
      <c r="I964" s="8" t="s">
        <v>29</v>
      </c>
      <c r="J964" s="8" t="s">
        <v>43</v>
      </c>
      <c r="K964" s="8" t="s">
        <v>44</v>
      </c>
      <c r="L964" s="8" t="s">
        <v>91</v>
      </c>
      <c r="M964" s="8">
        <v>5</v>
      </c>
      <c r="N964" s="10">
        <v>617.83000000000004</v>
      </c>
      <c r="O964" s="11">
        <v>0.15</v>
      </c>
      <c r="P964" s="10">
        <v>2625.78</v>
      </c>
      <c r="Q964" s="10">
        <v>1298.2</v>
      </c>
      <c r="R964" s="10">
        <v>1327.58</v>
      </c>
      <c r="S964" s="8" t="s">
        <v>53</v>
      </c>
      <c r="T964" s="8" t="s">
        <v>64</v>
      </c>
      <c r="U964" s="8">
        <v>3</v>
      </c>
      <c r="V964" s="8" t="s">
        <v>134</v>
      </c>
    </row>
    <row r="965" spans="1:22" x14ac:dyDescent="0.3">
      <c r="A965" s="12" t="s">
        <v>1684</v>
      </c>
      <c r="B965" s="13">
        <v>45841</v>
      </c>
      <c r="C965" s="12" t="s">
        <v>37</v>
      </c>
      <c r="D965" s="12" t="s">
        <v>38</v>
      </c>
      <c r="E965" s="12" t="s">
        <v>39</v>
      </c>
      <c r="F965" s="12" t="s">
        <v>67</v>
      </c>
      <c r="G965" s="12" t="s">
        <v>27</v>
      </c>
      <c r="H965" s="12" t="s">
        <v>28</v>
      </c>
      <c r="I965" s="12" t="s">
        <v>68</v>
      </c>
      <c r="J965" s="12" t="s">
        <v>69</v>
      </c>
      <c r="K965" s="12" t="s">
        <v>180</v>
      </c>
      <c r="L965" s="12" t="s">
        <v>32</v>
      </c>
      <c r="M965" s="12">
        <v>4</v>
      </c>
      <c r="N965" s="14">
        <v>1547.73</v>
      </c>
      <c r="O965" s="15">
        <v>0</v>
      </c>
      <c r="P965" s="14">
        <v>6190.92</v>
      </c>
      <c r="Q965" s="14">
        <v>3462.11</v>
      </c>
      <c r="R965" s="14">
        <v>2728.81</v>
      </c>
      <c r="S965" s="12" t="s">
        <v>46</v>
      </c>
      <c r="T965" s="12" t="s">
        <v>64</v>
      </c>
      <c r="U965" s="12">
        <v>4</v>
      </c>
      <c r="V965" s="12" t="s">
        <v>120</v>
      </c>
    </row>
    <row r="966" spans="1:22" x14ac:dyDescent="0.3">
      <c r="A966" s="8" t="s">
        <v>1685</v>
      </c>
      <c r="B966" s="9">
        <v>45707</v>
      </c>
      <c r="C966" s="8" t="s">
        <v>113</v>
      </c>
      <c r="D966" s="8" t="s">
        <v>114</v>
      </c>
      <c r="E966" s="8" t="s">
        <v>59</v>
      </c>
      <c r="F966" s="8" t="s">
        <v>1686</v>
      </c>
      <c r="G966" s="8" t="s">
        <v>27</v>
      </c>
      <c r="H966" s="8" t="s">
        <v>28</v>
      </c>
      <c r="I966" s="8" t="s">
        <v>61</v>
      </c>
      <c r="J966" s="8" t="s">
        <v>69</v>
      </c>
      <c r="K966" s="8" t="s">
        <v>70</v>
      </c>
      <c r="L966" s="8" t="s">
        <v>77</v>
      </c>
      <c r="M966" s="8">
        <v>2</v>
      </c>
      <c r="N966" s="10">
        <v>916.07</v>
      </c>
      <c r="O966" s="11">
        <v>0</v>
      </c>
      <c r="P966" s="10">
        <v>1832.14</v>
      </c>
      <c r="Q966" s="10">
        <v>905.24</v>
      </c>
      <c r="R966" s="10">
        <v>926.9</v>
      </c>
      <c r="S966" s="8" t="s">
        <v>46</v>
      </c>
      <c r="T966" s="8" t="s">
        <v>54</v>
      </c>
      <c r="U966" s="8">
        <v>4</v>
      </c>
      <c r="V966" s="8" t="s">
        <v>105</v>
      </c>
    </row>
    <row r="967" spans="1:22" x14ac:dyDescent="0.3">
      <c r="A967" s="12" t="s">
        <v>1687</v>
      </c>
      <c r="B967" s="13">
        <v>45854</v>
      </c>
      <c r="C967" s="12" t="s">
        <v>37</v>
      </c>
      <c r="D967" s="12" t="s">
        <v>38</v>
      </c>
      <c r="E967" s="12" t="s">
        <v>39</v>
      </c>
      <c r="F967" s="12" t="s">
        <v>1688</v>
      </c>
      <c r="G967" s="12" t="s">
        <v>27</v>
      </c>
      <c r="H967" s="12" t="s">
        <v>28</v>
      </c>
      <c r="I967" s="12" t="s">
        <v>68</v>
      </c>
      <c r="J967" s="12" t="s">
        <v>69</v>
      </c>
      <c r="K967" s="12" t="s">
        <v>137</v>
      </c>
      <c r="L967" s="12" t="s">
        <v>45</v>
      </c>
      <c r="M967" s="12">
        <v>2</v>
      </c>
      <c r="N967" s="14">
        <v>479.45</v>
      </c>
      <c r="O967" s="15">
        <v>0.05</v>
      </c>
      <c r="P967" s="14">
        <v>910.95</v>
      </c>
      <c r="Q967" s="14">
        <v>432.57</v>
      </c>
      <c r="R967" s="14">
        <v>478.38</v>
      </c>
      <c r="S967" s="12" t="s">
        <v>63</v>
      </c>
      <c r="T967" s="12" t="s">
        <v>34</v>
      </c>
      <c r="U967" s="12">
        <v>3</v>
      </c>
      <c r="V967" s="12" t="s">
        <v>120</v>
      </c>
    </row>
    <row r="968" spans="1:22" x14ac:dyDescent="0.3">
      <c r="A968" s="8" t="s">
        <v>1689</v>
      </c>
      <c r="B968" s="9">
        <v>45995</v>
      </c>
      <c r="C968" s="8" t="s">
        <v>23</v>
      </c>
      <c r="D968" s="8" t="s">
        <v>24</v>
      </c>
      <c r="E968" s="8" t="s">
        <v>25</v>
      </c>
      <c r="F968" s="8" t="s">
        <v>820</v>
      </c>
      <c r="G968" s="8" t="s">
        <v>41</v>
      </c>
      <c r="H968" s="8" t="s">
        <v>94</v>
      </c>
      <c r="I968" s="8" t="s">
        <v>68</v>
      </c>
      <c r="J968" s="8" t="s">
        <v>43</v>
      </c>
      <c r="K968" s="8" t="s">
        <v>44</v>
      </c>
      <c r="L968" s="8" t="s">
        <v>175</v>
      </c>
      <c r="M968" s="8">
        <v>5</v>
      </c>
      <c r="N968" s="10">
        <v>576.98</v>
      </c>
      <c r="O968" s="11">
        <v>0.25</v>
      </c>
      <c r="P968" s="10">
        <v>2163.6799999999998</v>
      </c>
      <c r="Q968" s="10">
        <v>1364.05</v>
      </c>
      <c r="R968" s="10">
        <v>799.63</v>
      </c>
      <c r="S968" s="8" t="s">
        <v>33</v>
      </c>
      <c r="T968" s="8" t="s">
        <v>111</v>
      </c>
      <c r="U968" s="8">
        <v>4</v>
      </c>
      <c r="V968" s="8" t="s">
        <v>35</v>
      </c>
    </row>
    <row r="969" spans="1:22" x14ac:dyDescent="0.3">
      <c r="A969" s="12" t="s">
        <v>1690</v>
      </c>
      <c r="B969" s="13">
        <v>45894</v>
      </c>
      <c r="C969" s="12" t="s">
        <v>57</v>
      </c>
      <c r="D969" s="12" t="s">
        <v>58</v>
      </c>
      <c r="E969" s="12" t="s">
        <v>59</v>
      </c>
      <c r="F969" s="12" t="s">
        <v>1691</v>
      </c>
      <c r="G969" s="12" t="s">
        <v>27</v>
      </c>
      <c r="H969" s="12" t="s">
        <v>81</v>
      </c>
      <c r="I969" s="12" t="s">
        <v>68</v>
      </c>
      <c r="J969" s="12" t="s">
        <v>101</v>
      </c>
      <c r="K969" s="12" t="s">
        <v>102</v>
      </c>
      <c r="L969" s="12" t="s">
        <v>45</v>
      </c>
      <c r="M969" s="12">
        <v>4</v>
      </c>
      <c r="N969" s="14">
        <v>720.7</v>
      </c>
      <c r="O969" s="15">
        <v>0.05</v>
      </c>
      <c r="P969" s="14">
        <v>2738.66</v>
      </c>
      <c r="Q969" s="14">
        <v>1023.14</v>
      </c>
      <c r="R969" s="14">
        <v>1715.52</v>
      </c>
      <c r="S969" s="12" t="s">
        <v>83</v>
      </c>
      <c r="T969" s="12" t="s">
        <v>119</v>
      </c>
      <c r="U969" s="12">
        <v>5</v>
      </c>
      <c r="V969" s="12" t="s">
        <v>72</v>
      </c>
    </row>
    <row r="970" spans="1:22" x14ac:dyDescent="0.3">
      <c r="A970" s="8" t="s">
        <v>1692</v>
      </c>
      <c r="B970" s="9">
        <v>46004</v>
      </c>
      <c r="C970" s="8" t="s">
        <v>48</v>
      </c>
      <c r="D970" s="8" t="s">
        <v>49</v>
      </c>
      <c r="E970" s="8" t="s">
        <v>39</v>
      </c>
      <c r="F970" s="8" t="s">
        <v>1693</v>
      </c>
      <c r="G970" s="8" t="s">
        <v>41</v>
      </c>
      <c r="H970" s="8" t="s">
        <v>81</v>
      </c>
      <c r="I970" s="8" t="s">
        <v>61</v>
      </c>
      <c r="J970" s="8" t="s">
        <v>69</v>
      </c>
      <c r="K970" s="8" t="s">
        <v>137</v>
      </c>
      <c r="L970" s="8" t="s">
        <v>91</v>
      </c>
      <c r="M970" s="8">
        <v>2</v>
      </c>
      <c r="N970" s="10">
        <v>518.63</v>
      </c>
      <c r="O970" s="11">
        <v>0</v>
      </c>
      <c r="P970" s="10">
        <v>1037.26</v>
      </c>
      <c r="Q970" s="10">
        <v>448.92</v>
      </c>
      <c r="R970" s="10">
        <v>588.34</v>
      </c>
      <c r="S970" s="8" t="s">
        <v>83</v>
      </c>
      <c r="T970" s="8" t="s">
        <v>54</v>
      </c>
      <c r="U970" s="8">
        <v>4</v>
      </c>
      <c r="V970" s="8" t="s">
        <v>35</v>
      </c>
    </row>
    <row r="971" spans="1:22" x14ac:dyDescent="0.3">
      <c r="A971" s="12" t="s">
        <v>1694</v>
      </c>
      <c r="B971" s="13">
        <v>45872</v>
      </c>
      <c r="C971" s="12" t="s">
        <v>48</v>
      </c>
      <c r="D971" s="12" t="s">
        <v>49</v>
      </c>
      <c r="E971" s="12" t="s">
        <v>39</v>
      </c>
      <c r="F971" s="12" t="s">
        <v>454</v>
      </c>
      <c r="G971" s="12" t="s">
        <v>41</v>
      </c>
      <c r="H971" s="12" t="s">
        <v>94</v>
      </c>
      <c r="I971" s="12" t="s">
        <v>61</v>
      </c>
      <c r="J971" s="12" t="s">
        <v>75</v>
      </c>
      <c r="K971" s="12" t="s">
        <v>95</v>
      </c>
      <c r="L971" s="12" t="s">
        <v>175</v>
      </c>
      <c r="M971" s="12">
        <v>2</v>
      </c>
      <c r="N971" s="14">
        <v>26111.200000000001</v>
      </c>
      <c r="O971" s="15">
        <v>0.3</v>
      </c>
      <c r="P971" s="14">
        <v>36555.68</v>
      </c>
      <c r="Q971" s="14">
        <v>34378.300000000003</v>
      </c>
      <c r="R971" s="14">
        <v>2177.38</v>
      </c>
      <c r="S971" s="12" t="s">
        <v>53</v>
      </c>
      <c r="T971" s="12" t="s">
        <v>78</v>
      </c>
      <c r="U971" s="12">
        <v>4</v>
      </c>
      <c r="V971" s="12" t="s">
        <v>72</v>
      </c>
    </row>
    <row r="972" spans="1:22" x14ac:dyDescent="0.3">
      <c r="A972" s="8" t="s">
        <v>1695</v>
      </c>
      <c r="B972" s="9">
        <v>45706</v>
      </c>
      <c r="C972" s="8" t="s">
        <v>113</v>
      </c>
      <c r="D972" s="8" t="s">
        <v>114</v>
      </c>
      <c r="E972" s="8" t="s">
        <v>59</v>
      </c>
      <c r="F972" s="8" t="s">
        <v>1696</v>
      </c>
      <c r="G972" s="8" t="s">
        <v>41</v>
      </c>
      <c r="H972" s="8" t="s">
        <v>81</v>
      </c>
      <c r="I972" s="8" t="s">
        <v>61</v>
      </c>
      <c r="J972" s="8" t="s">
        <v>89</v>
      </c>
      <c r="K972" s="8" t="s">
        <v>89</v>
      </c>
      <c r="L972" s="8" t="s">
        <v>32</v>
      </c>
      <c r="M972" s="8">
        <v>5</v>
      </c>
      <c r="N972" s="10">
        <v>1323.3</v>
      </c>
      <c r="O972" s="11">
        <v>0.25</v>
      </c>
      <c r="P972" s="10">
        <v>4962.38</v>
      </c>
      <c r="Q972" s="10">
        <v>3522.86</v>
      </c>
      <c r="R972" s="10">
        <v>1439.52</v>
      </c>
      <c r="S972" s="8" t="s">
        <v>46</v>
      </c>
      <c r="T972" s="8" t="s">
        <v>156</v>
      </c>
      <c r="U972" s="8">
        <v>4</v>
      </c>
      <c r="V972" s="8" t="s">
        <v>105</v>
      </c>
    </row>
    <row r="973" spans="1:22" x14ac:dyDescent="0.3">
      <c r="A973" s="12" t="s">
        <v>1697</v>
      </c>
      <c r="B973" s="13">
        <v>45990</v>
      </c>
      <c r="C973" s="12" t="s">
        <v>107</v>
      </c>
      <c r="D973" s="12" t="s">
        <v>108</v>
      </c>
      <c r="E973" s="12" t="s">
        <v>39</v>
      </c>
      <c r="F973" s="12" t="s">
        <v>1698</v>
      </c>
      <c r="G973" s="12" t="s">
        <v>27</v>
      </c>
      <c r="H973" s="12" t="s">
        <v>81</v>
      </c>
      <c r="I973" s="12" t="s">
        <v>61</v>
      </c>
      <c r="J973" s="12" t="s">
        <v>30</v>
      </c>
      <c r="K973" s="12" t="s">
        <v>144</v>
      </c>
      <c r="L973" s="12" t="s">
        <v>82</v>
      </c>
      <c r="M973" s="12">
        <v>3</v>
      </c>
      <c r="N973" s="14">
        <v>2523.9699999999998</v>
      </c>
      <c r="O973" s="15">
        <v>0.2</v>
      </c>
      <c r="P973" s="14">
        <v>6057.53</v>
      </c>
      <c r="Q973" s="14">
        <v>4682.74</v>
      </c>
      <c r="R973" s="14">
        <v>1374.79</v>
      </c>
      <c r="S973" s="12" t="s">
        <v>46</v>
      </c>
      <c r="T973" s="12" t="s">
        <v>111</v>
      </c>
      <c r="U973" s="12">
        <v>3</v>
      </c>
      <c r="V973" s="12" t="s">
        <v>65</v>
      </c>
    </row>
    <row r="974" spans="1:22" x14ac:dyDescent="0.3">
      <c r="A974" s="8" t="s">
        <v>1699</v>
      </c>
      <c r="B974" s="9">
        <v>45923</v>
      </c>
      <c r="C974" s="8" t="s">
        <v>98</v>
      </c>
      <c r="D974" s="8" t="s">
        <v>99</v>
      </c>
      <c r="E974" s="8" t="s">
        <v>25</v>
      </c>
      <c r="F974" s="8" t="s">
        <v>1700</v>
      </c>
      <c r="G974" s="8" t="s">
        <v>41</v>
      </c>
      <c r="H974" s="8" t="s">
        <v>42</v>
      </c>
      <c r="I974" s="8" t="s">
        <v>61</v>
      </c>
      <c r="J974" s="8" t="s">
        <v>43</v>
      </c>
      <c r="K974" s="8" t="s">
        <v>44</v>
      </c>
      <c r="L974" s="8" t="s">
        <v>52</v>
      </c>
      <c r="M974" s="8">
        <v>2</v>
      </c>
      <c r="N974" s="10">
        <v>589.45000000000005</v>
      </c>
      <c r="O974" s="11">
        <v>0.3</v>
      </c>
      <c r="P974" s="10">
        <v>825.23</v>
      </c>
      <c r="Q974" s="10">
        <v>520.11</v>
      </c>
      <c r="R974" s="10">
        <v>305.12</v>
      </c>
      <c r="S974" s="8" t="s">
        <v>46</v>
      </c>
      <c r="T974" s="8" t="s">
        <v>64</v>
      </c>
      <c r="U974" s="8">
        <v>3</v>
      </c>
      <c r="V974" s="8" t="s">
        <v>116</v>
      </c>
    </row>
    <row r="975" spans="1:22" x14ac:dyDescent="0.3">
      <c r="A975" s="12" t="s">
        <v>1701</v>
      </c>
      <c r="B975" s="13">
        <v>46011</v>
      </c>
      <c r="C975" s="12" t="s">
        <v>37</v>
      </c>
      <c r="D975" s="12" t="s">
        <v>38</v>
      </c>
      <c r="E975" s="12" t="s">
        <v>39</v>
      </c>
      <c r="F975" s="12" t="s">
        <v>1702</v>
      </c>
      <c r="G975" s="12" t="s">
        <v>27</v>
      </c>
      <c r="H975" s="12" t="s">
        <v>94</v>
      </c>
      <c r="I975" s="12" t="s">
        <v>68</v>
      </c>
      <c r="J975" s="12" t="s">
        <v>30</v>
      </c>
      <c r="K975" s="12" t="s">
        <v>31</v>
      </c>
      <c r="L975" s="12" t="s">
        <v>91</v>
      </c>
      <c r="M975" s="12">
        <v>1</v>
      </c>
      <c r="N975" s="14">
        <v>3837.76</v>
      </c>
      <c r="O975" s="15">
        <v>0.1</v>
      </c>
      <c r="P975" s="14">
        <v>3453.98</v>
      </c>
      <c r="Q975" s="14">
        <v>2151.4</v>
      </c>
      <c r="R975" s="14">
        <v>1302.58</v>
      </c>
      <c r="S975" s="12" t="s">
        <v>63</v>
      </c>
      <c r="T975" s="12" t="s">
        <v>78</v>
      </c>
      <c r="U975" s="12">
        <v>5</v>
      </c>
      <c r="V975" s="12" t="s">
        <v>35</v>
      </c>
    </row>
    <row r="976" spans="1:22" x14ac:dyDescent="0.3">
      <c r="A976" s="8" t="s">
        <v>1703</v>
      </c>
      <c r="B976" s="9">
        <v>45838</v>
      </c>
      <c r="C976" s="8" t="s">
        <v>23</v>
      </c>
      <c r="D976" s="8" t="s">
        <v>24</v>
      </c>
      <c r="E976" s="8" t="s">
        <v>25</v>
      </c>
      <c r="F976" s="8" t="s">
        <v>1704</v>
      </c>
      <c r="G976" s="8" t="s">
        <v>41</v>
      </c>
      <c r="H976" s="8" t="s">
        <v>81</v>
      </c>
      <c r="I976" s="8" t="s">
        <v>29</v>
      </c>
      <c r="J976" s="8" t="s">
        <v>43</v>
      </c>
      <c r="K976" s="8" t="s">
        <v>51</v>
      </c>
      <c r="L976" s="8" t="s">
        <v>175</v>
      </c>
      <c r="M976" s="8">
        <v>3</v>
      </c>
      <c r="N976" s="10">
        <v>1542.94</v>
      </c>
      <c r="O976" s="11">
        <v>0.15</v>
      </c>
      <c r="P976" s="10">
        <v>3934.5</v>
      </c>
      <c r="Q976" s="10">
        <v>2151.2800000000002</v>
      </c>
      <c r="R976" s="10">
        <v>1783.22</v>
      </c>
      <c r="S976" s="8" t="s">
        <v>46</v>
      </c>
      <c r="T976" s="8" t="s">
        <v>156</v>
      </c>
      <c r="U976" s="8">
        <v>5</v>
      </c>
      <c r="V976" s="8" t="s">
        <v>157</v>
      </c>
    </row>
    <row r="977" spans="1:22" x14ac:dyDescent="0.3">
      <c r="A977" s="12" t="s">
        <v>1705</v>
      </c>
      <c r="B977" s="13">
        <v>45847</v>
      </c>
      <c r="C977" s="12" t="s">
        <v>131</v>
      </c>
      <c r="D977" s="12" t="s">
        <v>132</v>
      </c>
      <c r="E977" s="12" t="s">
        <v>25</v>
      </c>
      <c r="F977" s="12" t="s">
        <v>1244</v>
      </c>
      <c r="G977" s="12" t="s">
        <v>27</v>
      </c>
      <c r="H977" s="12" t="s">
        <v>81</v>
      </c>
      <c r="I977" s="12" t="s">
        <v>29</v>
      </c>
      <c r="J977" s="12" t="s">
        <v>89</v>
      </c>
      <c r="K977" s="12" t="s">
        <v>90</v>
      </c>
      <c r="L977" s="12" t="s">
        <v>91</v>
      </c>
      <c r="M977" s="12">
        <v>2</v>
      </c>
      <c r="N977" s="14">
        <v>3535.53</v>
      </c>
      <c r="O977" s="15">
        <v>0.1</v>
      </c>
      <c r="P977" s="14">
        <v>6363.95</v>
      </c>
      <c r="Q977" s="14">
        <v>4054.41</v>
      </c>
      <c r="R977" s="14">
        <v>2309.54</v>
      </c>
      <c r="S977" s="12" t="s">
        <v>53</v>
      </c>
      <c r="T977" s="12" t="s">
        <v>71</v>
      </c>
      <c r="U977" s="12">
        <v>5</v>
      </c>
      <c r="V977" s="12" t="s">
        <v>120</v>
      </c>
    </row>
    <row r="978" spans="1:22" x14ac:dyDescent="0.3">
      <c r="A978" s="8" t="s">
        <v>1706</v>
      </c>
      <c r="B978" s="9">
        <v>45846</v>
      </c>
      <c r="C978" s="8" t="s">
        <v>48</v>
      </c>
      <c r="D978" s="8" t="s">
        <v>49</v>
      </c>
      <c r="E978" s="8" t="s">
        <v>39</v>
      </c>
      <c r="F978" s="8" t="s">
        <v>1707</v>
      </c>
      <c r="G978" s="8" t="s">
        <v>41</v>
      </c>
      <c r="H978" s="8" t="s">
        <v>42</v>
      </c>
      <c r="I978" s="8" t="s">
        <v>29</v>
      </c>
      <c r="J978" s="8" t="s">
        <v>43</v>
      </c>
      <c r="K978" s="8" t="s">
        <v>51</v>
      </c>
      <c r="L978" s="8" t="s">
        <v>77</v>
      </c>
      <c r="M978" s="8">
        <v>2</v>
      </c>
      <c r="N978" s="10">
        <v>1442.16</v>
      </c>
      <c r="O978" s="11">
        <v>0</v>
      </c>
      <c r="P978" s="10">
        <v>2884.32</v>
      </c>
      <c r="Q978" s="10">
        <v>1370.22</v>
      </c>
      <c r="R978" s="10">
        <v>1514.1</v>
      </c>
      <c r="S978" s="8" t="s">
        <v>46</v>
      </c>
      <c r="T978" s="8" t="s">
        <v>111</v>
      </c>
      <c r="U978" s="8">
        <v>3</v>
      </c>
      <c r="V978" s="8" t="s">
        <v>120</v>
      </c>
    </row>
    <row r="979" spans="1:22" x14ac:dyDescent="0.3">
      <c r="A979" s="12" t="s">
        <v>1708</v>
      </c>
      <c r="B979" s="13">
        <v>45713</v>
      </c>
      <c r="C979" s="12" t="s">
        <v>37</v>
      </c>
      <c r="D979" s="12" t="s">
        <v>38</v>
      </c>
      <c r="E979" s="12" t="s">
        <v>39</v>
      </c>
      <c r="F979" s="12" t="s">
        <v>750</v>
      </c>
      <c r="G979" s="12" t="s">
        <v>27</v>
      </c>
      <c r="H979" s="12" t="s">
        <v>42</v>
      </c>
      <c r="I979" s="12" t="s">
        <v>29</v>
      </c>
      <c r="J979" s="12" t="s">
        <v>30</v>
      </c>
      <c r="K979" s="12" t="s">
        <v>31</v>
      </c>
      <c r="L979" s="12" t="s">
        <v>82</v>
      </c>
      <c r="M979" s="12">
        <v>1</v>
      </c>
      <c r="N979" s="14">
        <v>3888.74</v>
      </c>
      <c r="O979" s="15">
        <v>0.3</v>
      </c>
      <c r="P979" s="14">
        <v>2722.12</v>
      </c>
      <c r="Q979" s="14">
        <v>2275.0300000000002</v>
      </c>
      <c r="R979" s="14">
        <v>447.09</v>
      </c>
      <c r="S979" s="12" t="s">
        <v>46</v>
      </c>
      <c r="T979" s="12" t="s">
        <v>156</v>
      </c>
      <c r="U979" s="12">
        <v>4</v>
      </c>
      <c r="V979" s="12" t="s">
        <v>105</v>
      </c>
    </row>
    <row r="980" spans="1:22" x14ac:dyDescent="0.3">
      <c r="A980" s="8" t="s">
        <v>1709</v>
      </c>
      <c r="B980" s="9">
        <v>45735</v>
      </c>
      <c r="C980" s="8" t="s">
        <v>113</v>
      </c>
      <c r="D980" s="8" t="s">
        <v>114</v>
      </c>
      <c r="E980" s="8" t="s">
        <v>59</v>
      </c>
      <c r="F980" s="8" t="s">
        <v>1449</v>
      </c>
      <c r="G980" s="8" t="s">
        <v>27</v>
      </c>
      <c r="H980" s="8" t="s">
        <v>42</v>
      </c>
      <c r="I980" s="8" t="s">
        <v>68</v>
      </c>
      <c r="J980" s="8" t="s">
        <v>30</v>
      </c>
      <c r="K980" s="8" t="s">
        <v>144</v>
      </c>
      <c r="L980" s="8" t="s">
        <v>32</v>
      </c>
      <c r="M980" s="8">
        <v>2</v>
      </c>
      <c r="N980" s="10">
        <v>2387.3200000000002</v>
      </c>
      <c r="O980" s="11">
        <v>0</v>
      </c>
      <c r="P980" s="10">
        <v>4774.6400000000003</v>
      </c>
      <c r="Q980" s="10">
        <v>2959.41</v>
      </c>
      <c r="R980" s="10">
        <v>1815.23</v>
      </c>
      <c r="S980" s="8" t="s">
        <v>83</v>
      </c>
      <c r="T980" s="8" t="s">
        <v>54</v>
      </c>
      <c r="U980" s="8">
        <v>3</v>
      </c>
      <c r="V980" s="8" t="s">
        <v>55</v>
      </c>
    </row>
    <row r="981" spans="1:22" x14ac:dyDescent="0.3">
      <c r="A981" s="12" t="s">
        <v>1710</v>
      </c>
      <c r="B981" s="13">
        <v>45850</v>
      </c>
      <c r="C981" s="12" t="s">
        <v>37</v>
      </c>
      <c r="D981" s="12" t="s">
        <v>38</v>
      </c>
      <c r="E981" s="12" t="s">
        <v>39</v>
      </c>
      <c r="F981" s="12" t="s">
        <v>1661</v>
      </c>
      <c r="G981" s="12" t="s">
        <v>27</v>
      </c>
      <c r="H981" s="12" t="s">
        <v>94</v>
      </c>
      <c r="I981" s="12" t="s">
        <v>29</v>
      </c>
      <c r="J981" s="12" t="s">
        <v>69</v>
      </c>
      <c r="K981" s="12" t="s">
        <v>70</v>
      </c>
      <c r="L981" s="12" t="s">
        <v>32</v>
      </c>
      <c r="M981" s="12">
        <v>5</v>
      </c>
      <c r="N981" s="14">
        <v>860.69</v>
      </c>
      <c r="O981" s="15">
        <v>0.2</v>
      </c>
      <c r="P981" s="14">
        <v>3442.76</v>
      </c>
      <c r="Q981" s="14">
        <v>2277.5100000000002</v>
      </c>
      <c r="R981" s="14">
        <v>1165.25</v>
      </c>
      <c r="S981" s="12" t="s">
        <v>83</v>
      </c>
      <c r="T981" s="12" t="s">
        <v>111</v>
      </c>
      <c r="U981" s="12">
        <v>4</v>
      </c>
      <c r="V981" s="12" t="s">
        <v>120</v>
      </c>
    </row>
    <row r="982" spans="1:22" x14ac:dyDescent="0.3">
      <c r="A982" s="8" t="s">
        <v>1711</v>
      </c>
      <c r="B982" s="9">
        <v>45699</v>
      </c>
      <c r="C982" s="8" t="s">
        <v>125</v>
      </c>
      <c r="D982" s="8" t="s">
        <v>126</v>
      </c>
      <c r="E982" s="8" t="s">
        <v>25</v>
      </c>
      <c r="F982" s="8" t="s">
        <v>1712</v>
      </c>
      <c r="G982" s="8" t="s">
        <v>27</v>
      </c>
      <c r="H982" s="8" t="s">
        <v>81</v>
      </c>
      <c r="I982" s="8" t="s">
        <v>68</v>
      </c>
      <c r="J982" s="8" t="s">
        <v>69</v>
      </c>
      <c r="K982" s="8" t="s">
        <v>70</v>
      </c>
      <c r="L982" s="8" t="s">
        <v>103</v>
      </c>
      <c r="M982" s="8">
        <v>5</v>
      </c>
      <c r="N982" s="10">
        <v>915.28</v>
      </c>
      <c r="O982" s="11">
        <v>0.1</v>
      </c>
      <c r="P982" s="10">
        <v>4118.76</v>
      </c>
      <c r="Q982" s="10">
        <v>2336.7199999999998</v>
      </c>
      <c r="R982" s="10">
        <v>1782.04</v>
      </c>
      <c r="S982" s="8" t="s">
        <v>63</v>
      </c>
      <c r="T982" s="8" t="s">
        <v>147</v>
      </c>
      <c r="U982" s="8">
        <v>3</v>
      </c>
      <c r="V982" s="8" t="s">
        <v>105</v>
      </c>
    </row>
    <row r="983" spans="1:22" x14ac:dyDescent="0.3">
      <c r="A983" s="12" t="s">
        <v>1713</v>
      </c>
      <c r="B983" s="13">
        <v>45790</v>
      </c>
      <c r="C983" s="12" t="s">
        <v>23</v>
      </c>
      <c r="D983" s="12" t="s">
        <v>24</v>
      </c>
      <c r="E983" s="12" t="s">
        <v>25</v>
      </c>
      <c r="F983" s="12" t="s">
        <v>697</v>
      </c>
      <c r="G983" s="12" t="s">
        <v>41</v>
      </c>
      <c r="H983" s="12" t="s">
        <v>42</v>
      </c>
      <c r="I983" s="12" t="s">
        <v>61</v>
      </c>
      <c r="J983" s="12" t="s">
        <v>101</v>
      </c>
      <c r="K983" s="12" t="s">
        <v>110</v>
      </c>
      <c r="L983" s="12" t="s">
        <v>175</v>
      </c>
      <c r="M983" s="12">
        <v>4</v>
      </c>
      <c r="N983" s="14">
        <v>4922.08</v>
      </c>
      <c r="O983" s="15">
        <v>0.05</v>
      </c>
      <c r="P983" s="14">
        <v>18703.900000000001</v>
      </c>
      <c r="Q983" s="14">
        <v>12935.66</v>
      </c>
      <c r="R983" s="14">
        <v>5768.24</v>
      </c>
      <c r="S983" s="12" t="s">
        <v>83</v>
      </c>
      <c r="T983" s="12" t="s">
        <v>71</v>
      </c>
      <c r="U983" s="12">
        <v>3</v>
      </c>
      <c r="V983" s="12" t="s">
        <v>134</v>
      </c>
    </row>
    <row r="984" spans="1:22" x14ac:dyDescent="0.3">
      <c r="A984" s="8" t="s">
        <v>1714</v>
      </c>
      <c r="B984" s="9">
        <v>45702</v>
      </c>
      <c r="C984" s="8" t="s">
        <v>86</v>
      </c>
      <c r="D984" s="8" t="s">
        <v>87</v>
      </c>
      <c r="E984" s="8" t="s">
        <v>59</v>
      </c>
      <c r="F984" s="8" t="s">
        <v>1715</v>
      </c>
      <c r="G984" s="8" t="s">
        <v>41</v>
      </c>
      <c r="H984" s="8" t="s">
        <v>94</v>
      </c>
      <c r="I984" s="8" t="s">
        <v>68</v>
      </c>
      <c r="J984" s="8" t="s">
        <v>75</v>
      </c>
      <c r="K984" s="8" t="s">
        <v>76</v>
      </c>
      <c r="L984" s="8" t="s">
        <v>175</v>
      </c>
      <c r="M984" s="8">
        <v>4</v>
      </c>
      <c r="N984" s="10">
        <v>779.21</v>
      </c>
      <c r="O984" s="11">
        <v>0</v>
      </c>
      <c r="P984" s="10">
        <v>3116.84</v>
      </c>
      <c r="Q984" s="10">
        <v>1412.52</v>
      </c>
      <c r="R984" s="10">
        <v>1704.32</v>
      </c>
      <c r="S984" s="8" t="s">
        <v>63</v>
      </c>
      <c r="T984" s="8" t="s">
        <v>78</v>
      </c>
      <c r="U984" s="8">
        <v>3</v>
      </c>
      <c r="V984" s="8" t="s">
        <v>105</v>
      </c>
    </row>
    <row r="985" spans="1:22" x14ac:dyDescent="0.3">
      <c r="A985" s="12" t="s">
        <v>1716</v>
      </c>
      <c r="B985" s="13">
        <v>45879</v>
      </c>
      <c r="C985" s="12" t="s">
        <v>57</v>
      </c>
      <c r="D985" s="12" t="s">
        <v>58</v>
      </c>
      <c r="E985" s="12" t="s">
        <v>59</v>
      </c>
      <c r="F985" s="12" t="s">
        <v>1717</v>
      </c>
      <c r="G985" s="12" t="s">
        <v>27</v>
      </c>
      <c r="H985" s="12" t="s">
        <v>28</v>
      </c>
      <c r="I985" s="12" t="s">
        <v>61</v>
      </c>
      <c r="J985" s="12" t="s">
        <v>89</v>
      </c>
      <c r="K985" s="12" t="s">
        <v>89</v>
      </c>
      <c r="L985" s="12" t="s">
        <v>32</v>
      </c>
      <c r="M985" s="12">
        <v>1</v>
      </c>
      <c r="N985" s="14">
        <v>1338.29</v>
      </c>
      <c r="O985" s="15">
        <v>0.25</v>
      </c>
      <c r="P985" s="14">
        <v>1003.72</v>
      </c>
      <c r="Q985" s="14">
        <v>667.9</v>
      </c>
      <c r="R985" s="14">
        <v>335.82</v>
      </c>
      <c r="S985" s="12" t="s">
        <v>63</v>
      </c>
      <c r="T985" s="12" t="s">
        <v>156</v>
      </c>
      <c r="U985" s="12">
        <v>3</v>
      </c>
      <c r="V985" s="12" t="s">
        <v>72</v>
      </c>
    </row>
    <row r="986" spans="1:22" x14ac:dyDescent="0.3">
      <c r="A986" s="8" t="s">
        <v>1718</v>
      </c>
      <c r="B986" s="9">
        <v>45662</v>
      </c>
      <c r="C986" s="8" t="s">
        <v>113</v>
      </c>
      <c r="D986" s="8" t="s">
        <v>114</v>
      </c>
      <c r="E986" s="8" t="s">
        <v>59</v>
      </c>
      <c r="F986" s="8" t="s">
        <v>231</v>
      </c>
      <c r="G986" s="8" t="s">
        <v>41</v>
      </c>
      <c r="H986" s="8" t="s">
        <v>28</v>
      </c>
      <c r="I986" s="8" t="s">
        <v>29</v>
      </c>
      <c r="J986" s="8" t="s">
        <v>30</v>
      </c>
      <c r="K986" s="8" t="s">
        <v>62</v>
      </c>
      <c r="L986" s="8" t="s">
        <v>32</v>
      </c>
      <c r="M986" s="8">
        <v>3</v>
      </c>
      <c r="N986" s="10">
        <v>1028.01</v>
      </c>
      <c r="O986" s="11">
        <v>0.2</v>
      </c>
      <c r="P986" s="10">
        <v>2467.2199999999998</v>
      </c>
      <c r="Q986" s="10">
        <v>1389.08</v>
      </c>
      <c r="R986" s="10">
        <v>1078.1400000000001</v>
      </c>
      <c r="S986" s="8" t="s">
        <v>83</v>
      </c>
      <c r="T986" s="8" t="s">
        <v>34</v>
      </c>
      <c r="U986" s="8">
        <v>4</v>
      </c>
      <c r="V986" s="8" t="s">
        <v>84</v>
      </c>
    </row>
    <row r="987" spans="1:22" x14ac:dyDescent="0.3">
      <c r="A987" s="12" t="s">
        <v>1719</v>
      </c>
      <c r="B987" s="13">
        <v>45734</v>
      </c>
      <c r="C987" s="12" t="s">
        <v>125</v>
      </c>
      <c r="D987" s="12" t="s">
        <v>126</v>
      </c>
      <c r="E987" s="12" t="s">
        <v>25</v>
      </c>
      <c r="F987" s="12" t="s">
        <v>1022</v>
      </c>
      <c r="G987" s="12" t="s">
        <v>41</v>
      </c>
      <c r="H987" s="12" t="s">
        <v>94</v>
      </c>
      <c r="I987" s="12" t="s">
        <v>68</v>
      </c>
      <c r="J987" s="12" t="s">
        <v>30</v>
      </c>
      <c r="K987" s="12" t="s">
        <v>62</v>
      </c>
      <c r="L987" s="12" t="s">
        <v>175</v>
      </c>
      <c r="M987" s="12">
        <v>1</v>
      </c>
      <c r="N987" s="14">
        <v>1030.2</v>
      </c>
      <c r="O987" s="15">
        <v>0.15</v>
      </c>
      <c r="P987" s="14">
        <v>875.67</v>
      </c>
      <c r="Q987" s="14">
        <v>446.16</v>
      </c>
      <c r="R987" s="14">
        <v>429.51</v>
      </c>
      <c r="S987" s="12" t="s">
        <v>33</v>
      </c>
      <c r="T987" s="12" t="s">
        <v>156</v>
      </c>
      <c r="U987" s="12">
        <v>5</v>
      </c>
      <c r="V987" s="12" t="s">
        <v>55</v>
      </c>
    </row>
    <row r="988" spans="1:22" x14ac:dyDescent="0.3">
      <c r="A988" s="8" t="s">
        <v>1720</v>
      </c>
      <c r="B988" s="9">
        <v>45726</v>
      </c>
      <c r="C988" s="8" t="s">
        <v>23</v>
      </c>
      <c r="D988" s="8" t="s">
        <v>24</v>
      </c>
      <c r="E988" s="8" t="s">
        <v>25</v>
      </c>
      <c r="F988" s="8" t="s">
        <v>80</v>
      </c>
      <c r="G988" s="8" t="s">
        <v>27</v>
      </c>
      <c r="H988" s="8" t="s">
        <v>28</v>
      </c>
      <c r="I988" s="8" t="s">
        <v>61</v>
      </c>
      <c r="J988" s="8" t="s">
        <v>43</v>
      </c>
      <c r="K988" s="8" t="s">
        <v>44</v>
      </c>
      <c r="L988" s="8" t="s">
        <v>45</v>
      </c>
      <c r="M988" s="8">
        <v>2</v>
      </c>
      <c r="N988" s="10">
        <v>604</v>
      </c>
      <c r="O988" s="11">
        <v>0.25</v>
      </c>
      <c r="P988" s="10">
        <v>906</v>
      </c>
      <c r="Q988" s="10">
        <v>494.62</v>
      </c>
      <c r="R988" s="10">
        <v>411.38</v>
      </c>
      <c r="S988" s="8" t="s">
        <v>46</v>
      </c>
      <c r="T988" s="8" t="s">
        <v>156</v>
      </c>
      <c r="U988" s="8">
        <v>3</v>
      </c>
      <c r="V988" s="8" t="s">
        <v>55</v>
      </c>
    </row>
    <row r="989" spans="1:22" x14ac:dyDescent="0.3">
      <c r="A989" s="12" t="s">
        <v>1721</v>
      </c>
      <c r="B989" s="13">
        <v>45689</v>
      </c>
      <c r="C989" s="12" t="s">
        <v>57</v>
      </c>
      <c r="D989" s="12" t="s">
        <v>58</v>
      </c>
      <c r="E989" s="12" t="s">
        <v>59</v>
      </c>
      <c r="F989" s="12" t="s">
        <v>1610</v>
      </c>
      <c r="G989" s="12" t="s">
        <v>27</v>
      </c>
      <c r="H989" s="12" t="s">
        <v>42</v>
      </c>
      <c r="I989" s="12" t="s">
        <v>68</v>
      </c>
      <c r="J989" s="12" t="s">
        <v>101</v>
      </c>
      <c r="K989" s="12" t="s">
        <v>110</v>
      </c>
      <c r="L989" s="12" t="s">
        <v>91</v>
      </c>
      <c r="M989" s="12">
        <v>5</v>
      </c>
      <c r="N989" s="14">
        <v>4766.2700000000004</v>
      </c>
      <c r="O989" s="15">
        <v>0</v>
      </c>
      <c r="P989" s="14">
        <v>23831.35</v>
      </c>
      <c r="Q989" s="14">
        <v>15321.92</v>
      </c>
      <c r="R989" s="14">
        <v>8509.43</v>
      </c>
      <c r="S989" s="12" t="s">
        <v>53</v>
      </c>
      <c r="T989" s="12" t="s">
        <v>119</v>
      </c>
      <c r="U989" s="12">
        <v>3</v>
      </c>
      <c r="V989" s="12" t="s">
        <v>105</v>
      </c>
    </row>
    <row r="990" spans="1:22" x14ac:dyDescent="0.3">
      <c r="A990" s="8" t="s">
        <v>1722</v>
      </c>
      <c r="B990" s="9">
        <v>45973</v>
      </c>
      <c r="C990" s="8" t="s">
        <v>131</v>
      </c>
      <c r="D990" s="8" t="s">
        <v>132</v>
      </c>
      <c r="E990" s="8" t="s">
        <v>25</v>
      </c>
      <c r="F990" s="8" t="s">
        <v>1723</v>
      </c>
      <c r="G990" s="8" t="s">
        <v>41</v>
      </c>
      <c r="H990" s="8" t="s">
        <v>81</v>
      </c>
      <c r="I990" s="8" t="s">
        <v>68</v>
      </c>
      <c r="J990" s="8" t="s">
        <v>43</v>
      </c>
      <c r="K990" s="8" t="s">
        <v>162</v>
      </c>
      <c r="L990" s="8" t="s">
        <v>52</v>
      </c>
      <c r="M990" s="8">
        <v>5</v>
      </c>
      <c r="N990" s="10">
        <v>892.36</v>
      </c>
      <c r="O990" s="11">
        <v>0.15</v>
      </c>
      <c r="P990" s="10">
        <v>3792.53</v>
      </c>
      <c r="Q990" s="10">
        <v>2008.12</v>
      </c>
      <c r="R990" s="10">
        <v>1784.41</v>
      </c>
      <c r="S990" s="8" t="s">
        <v>83</v>
      </c>
      <c r="T990" s="8" t="s">
        <v>104</v>
      </c>
      <c r="U990" s="8">
        <v>5</v>
      </c>
      <c r="V990" s="8" t="s">
        <v>65</v>
      </c>
    </row>
    <row r="991" spans="1:22" x14ac:dyDescent="0.3">
      <c r="A991" s="12" t="s">
        <v>1724</v>
      </c>
      <c r="B991" s="13">
        <v>45800</v>
      </c>
      <c r="C991" s="12" t="s">
        <v>48</v>
      </c>
      <c r="D991" s="12" t="s">
        <v>49</v>
      </c>
      <c r="E991" s="12" t="s">
        <v>39</v>
      </c>
      <c r="F991" s="12" t="s">
        <v>608</v>
      </c>
      <c r="G991" s="12" t="s">
        <v>27</v>
      </c>
      <c r="H991" s="12" t="s">
        <v>28</v>
      </c>
      <c r="I991" s="12" t="s">
        <v>29</v>
      </c>
      <c r="J991" s="12" t="s">
        <v>43</v>
      </c>
      <c r="K991" s="12" t="s">
        <v>44</v>
      </c>
      <c r="L991" s="12" t="s">
        <v>103</v>
      </c>
      <c r="M991" s="12">
        <v>2</v>
      </c>
      <c r="N991" s="14">
        <v>603.17999999999995</v>
      </c>
      <c r="O991" s="15">
        <v>0.3</v>
      </c>
      <c r="P991" s="14">
        <v>844.45</v>
      </c>
      <c r="Q991" s="14">
        <v>526.21</v>
      </c>
      <c r="R991" s="14">
        <v>318.24</v>
      </c>
      <c r="S991" s="12" t="s">
        <v>63</v>
      </c>
      <c r="T991" s="12" t="s">
        <v>104</v>
      </c>
      <c r="U991" s="12">
        <v>3</v>
      </c>
      <c r="V991" s="12" t="s">
        <v>134</v>
      </c>
    </row>
    <row r="992" spans="1:22" x14ac:dyDescent="0.3">
      <c r="A992" s="8" t="s">
        <v>1725</v>
      </c>
      <c r="B992" s="9">
        <v>46007</v>
      </c>
      <c r="C992" s="8" t="s">
        <v>86</v>
      </c>
      <c r="D992" s="8" t="s">
        <v>87</v>
      </c>
      <c r="E992" s="8" t="s">
        <v>59</v>
      </c>
      <c r="F992" s="8" t="s">
        <v>1726</v>
      </c>
      <c r="G992" s="8" t="s">
        <v>27</v>
      </c>
      <c r="H992" s="8" t="s">
        <v>94</v>
      </c>
      <c r="I992" s="8" t="s">
        <v>61</v>
      </c>
      <c r="J992" s="8" t="s">
        <v>89</v>
      </c>
      <c r="K992" s="8" t="s">
        <v>89</v>
      </c>
      <c r="L992" s="8" t="s">
        <v>45</v>
      </c>
      <c r="M992" s="8">
        <v>4</v>
      </c>
      <c r="N992" s="10">
        <v>1251.77</v>
      </c>
      <c r="O992" s="11">
        <v>0.2</v>
      </c>
      <c r="P992" s="10">
        <v>4005.66</v>
      </c>
      <c r="Q992" s="10">
        <v>2708.75</v>
      </c>
      <c r="R992" s="10">
        <v>1296.9100000000001</v>
      </c>
      <c r="S992" s="8" t="s">
        <v>83</v>
      </c>
      <c r="T992" s="8" t="s">
        <v>156</v>
      </c>
      <c r="U992" s="8">
        <v>3</v>
      </c>
      <c r="V992" s="8" t="s">
        <v>35</v>
      </c>
    </row>
    <row r="993" spans="1:22" x14ac:dyDescent="0.3">
      <c r="A993" s="12" t="s">
        <v>1727</v>
      </c>
      <c r="B993" s="13">
        <v>45728</v>
      </c>
      <c r="C993" s="12" t="s">
        <v>37</v>
      </c>
      <c r="D993" s="12" t="s">
        <v>38</v>
      </c>
      <c r="E993" s="12" t="s">
        <v>39</v>
      </c>
      <c r="F993" s="12" t="s">
        <v>768</v>
      </c>
      <c r="G993" s="12" t="s">
        <v>41</v>
      </c>
      <c r="H993" s="12" t="s">
        <v>81</v>
      </c>
      <c r="I993" s="12" t="s">
        <v>61</v>
      </c>
      <c r="J993" s="12" t="s">
        <v>43</v>
      </c>
      <c r="K993" s="12" t="s">
        <v>162</v>
      </c>
      <c r="L993" s="12" t="s">
        <v>45</v>
      </c>
      <c r="M993" s="12">
        <v>2</v>
      </c>
      <c r="N993" s="14">
        <v>922.29</v>
      </c>
      <c r="O993" s="15">
        <v>0.3</v>
      </c>
      <c r="P993" s="14">
        <v>1291.21</v>
      </c>
      <c r="Q993" s="14">
        <v>779.35</v>
      </c>
      <c r="R993" s="14">
        <v>511.86</v>
      </c>
      <c r="S993" s="12" t="s">
        <v>63</v>
      </c>
      <c r="T993" s="12" t="s">
        <v>104</v>
      </c>
      <c r="U993" s="12">
        <v>5</v>
      </c>
      <c r="V993" s="12" t="s">
        <v>55</v>
      </c>
    </row>
    <row r="994" spans="1:22" x14ac:dyDescent="0.3">
      <c r="A994" s="8" t="s">
        <v>1728</v>
      </c>
      <c r="B994" s="9">
        <v>45924</v>
      </c>
      <c r="C994" s="8" t="s">
        <v>98</v>
      </c>
      <c r="D994" s="8" t="s">
        <v>99</v>
      </c>
      <c r="E994" s="8" t="s">
        <v>25</v>
      </c>
      <c r="F994" s="8" t="s">
        <v>136</v>
      </c>
      <c r="G994" s="8" t="s">
        <v>27</v>
      </c>
      <c r="H994" s="8" t="s">
        <v>28</v>
      </c>
      <c r="I994" s="8" t="s">
        <v>61</v>
      </c>
      <c r="J994" s="8" t="s">
        <v>101</v>
      </c>
      <c r="K994" s="8" t="s">
        <v>102</v>
      </c>
      <c r="L994" s="8" t="s">
        <v>45</v>
      </c>
      <c r="M994" s="8">
        <v>5</v>
      </c>
      <c r="N994" s="10">
        <v>696.93</v>
      </c>
      <c r="O994" s="11">
        <v>0.1</v>
      </c>
      <c r="P994" s="10">
        <v>3136.18</v>
      </c>
      <c r="Q994" s="10">
        <v>1297.26</v>
      </c>
      <c r="R994" s="10">
        <v>1838.92</v>
      </c>
      <c r="S994" s="8" t="s">
        <v>53</v>
      </c>
      <c r="T994" s="8" t="s">
        <v>34</v>
      </c>
      <c r="U994" s="8">
        <v>4</v>
      </c>
      <c r="V994" s="8" t="s">
        <v>116</v>
      </c>
    </row>
    <row r="995" spans="1:22" x14ac:dyDescent="0.3">
      <c r="A995" s="12" t="s">
        <v>1729</v>
      </c>
      <c r="B995" s="13">
        <v>45858</v>
      </c>
      <c r="C995" s="12" t="s">
        <v>37</v>
      </c>
      <c r="D995" s="12" t="s">
        <v>38</v>
      </c>
      <c r="E995" s="12" t="s">
        <v>39</v>
      </c>
      <c r="F995" s="12" t="s">
        <v>237</v>
      </c>
      <c r="G995" s="12" t="s">
        <v>41</v>
      </c>
      <c r="H995" s="12" t="s">
        <v>94</v>
      </c>
      <c r="I995" s="12" t="s">
        <v>68</v>
      </c>
      <c r="J995" s="12" t="s">
        <v>30</v>
      </c>
      <c r="K995" s="12" t="s">
        <v>62</v>
      </c>
      <c r="L995" s="12" t="s">
        <v>82</v>
      </c>
      <c r="M995" s="12">
        <v>2</v>
      </c>
      <c r="N995" s="14">
        <v>1014.98</v>
      </c>
      <c r="O995" s="15">
        <v>0.25</v>
      </c>
      <c r="P995" s="14">
        <v>1522.47</v>
      </c>
      <c r="Q995" s="14">
        <v>862.48</v>
      </c>
      <c r="R995" s="14">
        <v>659.99</v>
      </c>
      <c r="S995" s="12" t="s">
        <v>33</v>
      </c>
      <c r="T995" s="12" t="s">
        <v>64</v>
      </c>
      <c r="U995" s="12">
        <v>4</v>
      </c>
      <c r="V995" s="12" t="s">
        <v>120</v>
      </c>
    </row>
    <row r="996" spans="1:22" x14ac:dyDescent="0.3">
      <c r="A996" s="8" t="s">
        <v>1730</v>
      </c>
      <c r="B996" s="9">
        <v>45771</v>
      </c>
      <c r="C996" s="8" t="s">
        <v>37</v>
      </c>
      <c r="D996" s="8" t="s">
        <v>38</v>
      </c>
      <c r="E996" s="8" t="s">
        <v>39</v>
      </c>
      <c r="F996" s="8" t="s">
        <v>1482</v>
      </c>
      <c r="G996" s="8" t="s">
        <v>41</v>
      </c>
      <c r="H996" s="8" t="s">
        <v>81</v>
      </c>
      <c r="I996" s="8" t="s">
        <v>68</v>
      </c>
      <c r="J996" s="8" t="s">
        <v>101</v>
      </c>
      <c r="K996" s="8" t="s">
        <v>102</v>
      </c>
      <c r="L996" s="8" t="s">
        <v>103</v>
      </c>
      <c r="M996" s="8">
        <v>5</v>
      </c>
      <c r="N996" s="10">
        <v>708.75</v>
      </c>
      <c r="O996" s="11">
        <v>0.15</v>
      </c>
      <c r="P996" s="10">
        <v>3012.19</v>
      </c>
      <c r="Q996" s="10">
        <v>1299.04</v>
      </c>
      <c r="R996" s="10">
        <v>1713.15</v>
      </c>
      <c r="S996" s="8" t="s">
        <v>83</v>
      </c>
      <c r="T996" s="8" t="s">
        <v>111</v>
      </c>
      <c r="U996" s="8">
        <v>4</v>
      </c>
      <c r="V996" s="8" t="s">
        <v>96</v>
      </c>
    </row>
    <row r="997" spans="1:22" x14ac:dyDescent="0.3">
      <c r="A997" s="12" t="s">
        <v>1731</v>
      </c>
      <c r="B997" s="13">
        <v>45824</v>
      </c>
      <c r="C997" s="12" t="s">
        <v>98</v>
      </c>
      <c r="D997" s="12" t="s">
        <v>99</v>
      </c>
      <c r="E997" s="12" t="s">
        <v>25</v>
      </c>
      <c r="F997" s="12" t="s">
        <v>1732</v>
      </c>
      <c r="G997" s="12" t="s">
        <v>27</v>
      </c>
      <c r="H997" s="12" t="s">
        <v>81</v>
      </c>
      <c r="I997" s="12" t="s">
        <v>29</v>
      </c>
      <c r="J997" s="12" t="s">
        <v>75</v>
      </c>
      <c r="K997" s="12" t="s">
        <v>154</v>
      </c>
      <c r="L997" s="12" t="s">
        <v>32</v>
      </c>
      <c r="M997" s="12">
        <v>2</v>
      </c>
      <c r="N997" s="14">
        <v>1984.45</v>
      </c>
      <c r="O997" s="15">
        <v>0.05</v>
      </c>
      <c r="P997" s="14">
        <v>3770.45</v>
      </c>
      <c r="Q997" s="14">
        <v>2133.36</v>
      </c>
      <c r="R997" s="14">
        <v>1637.09</v>
      </c>
      <c r="S997" s="12" t="s">
        <v>83</v>
      </c>
      <c r="T997" s="12" t="s">
        <v>78</v>
      </c>
      <c r="U997" s="12">
        <v>4</v>
      </c>
      <c r="V997" s="12" t="s">
        <v>157</v>
      </c>
    </row>
    <row r="998" spans="1:22" x14ac:dyDescent="0.3">
      <c r="A998" s="8" t="s">
        <v>1733</v>
      </c>
      <c r="B998" s="9">
        <v>45762</v>
      </c>
      <c r="C998" s="8" t="s">
        <v>86</v>
      </c>
      <c r="D998" s="8" t="s">
        <v>87</v>
      </c>
      <c r="E998" s="8" t="s">
        <v>59</v>
      </c>
      <c r="F998" s="8" t="s">
        <v>578</v>
      </c>
      <c r="G998" s="8" t="s">
        <v>27</v>
      </c>
      <c r="H998" s="8" t="s">
        <v>94</v>
      </c>
      <c r="I998" s="8" t="s">
        <v>68</v>
      </c>
      <c r="J998" s="8" t="s">
        <v>89</v>
      </c>
      <c r="K998" s="8" t="s">
        <v>90</v>
      </c>
      <c r="L998" s="8" t="s">
        <v>77</v>
      </c>
      <c r="M998" s="8">
        <v>3</v>
      </c>
      <c r="N998" s="10">
        <v>3504.18</v>
      </c>
      <c r="O998" s="11">
        <v>0.05</v>
      </c>
      <c r="P998" s="10">
        <v>9986.91</v>
      </c>
      <c r="Q998" s="10">
        <v>6149.14</v>
      </c>
      <c r="R998" s="10">
        <v>3837.77</v>
      </c>
      <c r="S998" s="8" t="s">
        <v>33</v>
      </c>
      <c r="T998" s="8" t="s">
        <v>111</v>
      </c>
      <c r="U998" s="8">
        <v>3</v>
      </c>
      <c r="V998" s="8" t="s">
        <v>96</v>
      </c>
    </row>
    <row r="999" spans="1:22" x14ac:dyDescent="0.3">
      <c r="A999" s="12" t="s">
        <v>1734</v>
      </c>
      <c r="B999" s="13">
        <v>45833</v>
      </c>
      <c r="C999" s="12" t="s">
        <v>48</v>
      </c>
      <c r="D999" s="12" t="s">
        <v>49</v>
      </c>
      <c r="E999" s="12" t="s">
        <v>39</v>
      </c>
      <c r="F999" s="12" t="s">
        <v>1735</v>
      </c>
      <c r="G999" s="12" t="s">
        <v>41</v>
      </c>
      <c r="H999" s="12" t="s">
        <v>81</v>
      </c>
      <c r="I999" s="12" t="s">
        <v>61</v>
      </c>
      <c r="J999" s="12" t="s">
        <v>101</v>
      </c>
      <c r="K999" s="12" t="s">
        <v>110</v>
      </c>
      <c r="L999" s="12" t="s">
        <v>103</v>
      </c>
      <c r="M999" s="12">
        <v>1</v>
      </c>
      <c r="N999" s="14">
        <v>5087.6400000000003</v>
      </c>
      <c r="O999" s="15">
        <v>0.25</v>
      </c>
      <c r="P999" s="14">
        <v>3815.73</v>
      </c>
      <c r="Q999" s="14">
        <v>3251.71</v>
      </c>
      <c r="R999" s="14">
        <v>564.02</v>
      </c>
      <c r="S999" s="12" t="s">
        <v>83</v>
      </c>
      <c r="T999" s="12" t="s">
        <v>71</v>
      </c>
      <c r="U999" s="12">
        <v>3</v>
      </c>
      <c r="V999" s="12" t="s">
        <v>157</v>
      </c>
    </row>
    <row r="1000" spans="1:22" x14ac:dyDescent="0.3">
      <c r="A1000" s="8" t="s">
        <v>1736</v>
      </c>
      <c r="B1000" s="9">
        <v>45706</v>
      </c>
      <c r="C1000" s="8" t="s">
        <v>48</v>
      </c>
      <c r="D1000" s="8" t="s">
        <v>49</v>
      </c>
      <c r="E1000" s="8" t="s">
        <v>39</v>
      </c>
      <c r="F1000" s="8" t="s">
        <v>750</v>
      </c>
      <c r="G1000" s="8" t="s">
        <v>27</v>
      </c>
      <c r="H1000" s="8" t="s">
        <v>28</v>
      </c>
      <c r="I1000" s="8" t="s">
        <v>68</v>
      </c>
      <c r="J1000" s="8" t="s">
        <v>75</v>
      </c>
      <c r="K1000" s="8" t="s">
        <v>154</v>
      </c>
      <c r="L1000" s="8" t="s">
        <v>103</v>
      </c>
      <c r="M1000" s="8">
        <v>4</v>
      </c>
      <c r="N1000" s="10">
        <v>2008.82</v>
      </c>
      <c r="O1000" s="11">
        <v>0</v>
      </c>
      <c r="P1000" s="10">
        <v>8035.28</v>
      </c>
      <c r="Q1000" s="10">
        <v>4372.99</v>
      </c>
      <c r="R1000" s="10">
        <v>3662.29</v>
      </c>
      <c r="S1000" s="8" t="s">
        <v>53</v>
      </c>
      <c r="T1000" s="8" t="s">
        <v>71</v>
      </c>
      <c r="U1000" s="8">
        <v>3</v>
      </c>
      <c r="V1000" s="8" t="s">
        <v>105</v>
      </c>
    </row>
    <row r="1001" spans="1:22" x14ac:dyDescent="0.3">
      <c r="A1001" s="12" t="s">
        <v>1737</v>
      </c>
      <c r="B1001" s="13">
        <v>45911</v>
      </c>
      <c r="C1001" s="12" t="s">
        <v>107</v>
      </c>
      <c r="D1001" s="12" t="s">
        <v>108</v>
      </c>
      <c r="E1001" s="12" t="s">
        <v>39</v>
      </c>
      <c r="F1001" s="12" t="s">
        <v>1738</v>
      </c>
      <c r="G1001" s="12" t="s">
        <v>27</v>
      </c>
      <c r="H1001" s="12" t="s">
        <v>42</v>
      </c>
      <c r="I1001" s="12" t="s">
        <v>29</v>
      </c>
      <c r="J1001" s="12" t="s">
        <v>101</v>
      </c>
      <c r="K1001" s="12" t="s">
        <v>110</v>
      </c>
      <c r="L1001" s="12" t="s">
        <v>175</v>
      </c>
      <c r="M1001" s="12">
        <v>3</v>
      </c>
      <c r="N1001" s="14">
        <v>4892.16</v>
      </c>
      <c r="O1001" s="15">
        <v>0.3</v>
      </c>
      <c r="P1001" s="14">
        <v>10273.540000000001</v>
      </c>
      <c r="Q1001" s="14">
        <v>9914.67</v>
      </c>
      <c r="R1001" s="14">
        <v>358.87</v>
      </c>
      <c r="S1001" s="12" t="s">
        <v>63</v>
      </c>
      <c r="T1001" s="12" t="s">
        <v>54</v>
      </c>
      <c r="U1001" s="12">
        <v>4</v>
      </c>
      <c r="V1001" s="12" t="s">
        <v>116</v>
      </c>
    </row>
    <row r="1002" spans="1:22" x14ac:dyDescent="0.3">
      <c r="A1002" s="8" t="s">
        <v>1739</v>
      </c>
      <c r="B1002" s="9">
        <v>45981</v>
      </c>
      <c r="C1002" s="8" t="s">
        <v>86</v>
      </c>
      <c r="D1002" s="8" t="s">
        <v>87</v>
      </c>
      <c r="E1002" s="8" t="s">
        <v>59</v>
      </c>
      <c r="F1002" s="8" t="s">
        <v>1740</v>
      </c>
      <c r="G1002" s="8" t="s">
        <v>27</v>
      </c>
      <c r="H1002" s="8" t="s">
        <v>42</v>
      </c>
      <c r="I1002" s="8" t="s">
        <v>29</v>
      </c>
      <c r="J1002" s="8" t="s">
        <v>30</v>
      </c>
      <c r="K1002" s="8" t="s">
        <v>62</v>
      </c>
      <c r="L1002" s="8" t="s">
        <v>175</v>
      </c>
      <c r="M1002" s="8">
        <v>3</v>
      </c>
      <c r="N1002" s="10">
        <v>1043.26</v>
      </c>
      <c r="O1002" s="11">
        <v>0.2</v>
      </c>
      <c r="P1002" s="10">
        <v>2503.8200000000002</v>
      </c>
      <c r="Q1002" s="10">
        <v>1401.38</v>
      </c>
      <c r="R1002" s="10">
        <v>1102.44</v>
      </c>
      <c r="S1002" s="8" t="s">
        <v>83</v>
      </c>
      <c r="T1002" s="8" t="s">
        <v>64</v>
      </c>
      <c r="U1002" s="8">
        <v>4</v>
      </c>
      <c r="V1002" s="8" t="s">
        <v>65</v>
      </c>
    </row>
    <row r="1003" spans="1:22" x14ac:dyDescent="0.3">
      <c r="A1003" s="12" t="s">
        <v>1741</v>
      </c>
      <c r="B1003" s="13">
        <v>45702</v>
      </c>
      <c r="C1003" s="12" t="s">
        <v>131</v>
      </c>
      <c r="D1003" s="12" t="s">
        <v>132</v>
      </c>
      <c r="E1003" s="12" t="s">
        <v>25</v>
      </c>
      <c r="F1003" s="12" t="s">
        <v>1742</v>
      </c>
      <c r="G1003" s="12" t="s">
        <v>41</v>
      </c>
      <c r="H1003" s="12" t="s">
        <v>81</v>
      </c>
      <c r="I1003" s="12" t="s">
        <v>29</v>
      </c>
      <c r="J1003" s="12" t="s">
        <v>30</v>
      </c>
      <c r="K1003" s="12" t="s">
        <v>144</v>
      </c>
      <c r="L1003" s="12" t="s">
        <v>77</v>
      </c>
      <c r="M1003" s="12">
        <v>3</v>
      </c>
      <c r="N1003" s="14">
        <v>2606.92</v>
      </c>
      <c r="O1003" s="15">
        <v>0.3</v>
      </c>
      <c r="P1003" s="14">
        <v>5474.53</v>
      </c>
      <c r="Q1003" s="14">
        <v>4711.83</v>
      </c>
      <c r="R1003" s="14">
        <v>762.7</v>
      </c>
      <c r="S1003" s="12" t="s">
        <v>83</v>
      </c>
      <c r="T1003" s="12" t="s">
        <v>64</v>
      </c>
      <c r="U1003" s="12">
        <v>3</v>
      </c>
      <c r="V1003" s="12" t="s">
        <v>105</v>
      </c>
    </row>
    <row r="1004" spans="1:22" x14ac:dyDescent="0.3">
      <c r="A1004" s="8" t="s">
        <v>1743</v>
      </c>
      <c r="B1004" s="9">
        <v>45722</v>
      </c>
      <c r="C1004" s="8" t="s">
        <v>23</v>
      </c>
      <c r="D1004" s="8" t="s">
        <v>24</v>
      </c>
      <c r="E1004" s="8" t="s">
        <v>25</v>
      </c>
      <c r="F1004" s="8" t="s">
        <v>1562</v>
      </c>
      <c r="G1004" s="8" t="s">
        <v>27</v>
      </c>
      <c r="H1004" s="8" t="s">
        <v>28</v>
      </c>
      <c r="I1004" s="8" t="s">
        <v>29</v>
      </c>
      <c r="J1004" s="8" t="s">
        <v>30</v>
      </c>
      <c r="K1004" s="8" t="s">
        <v>144</v>
      </c>
      <c r="L1004" s="8" t="s">
        <v>91</v>
      </c>
      <c r="M1004" s="8">
        <v>5</v>
      </c>
      <c r="N1004" s="10">
        <v>2529.31</v>
      </c>
      <c r="O1004" s="11">
        <v>0</v>
      </c>
      <c r="P1004" s="10">
        <v>12646.55</v>
      </c>
      <c r="Q1004" s="10">
        <v>7676.36</v>
      </c>
      <c r="R1004" s="10">
        <v>4970.1899999999996</v>
      </c>
      <c r="S1004" s="8" t="s">
        <v>83</v>
      </c>
      <c r="T1004" s="8" t="s">
        <v>119</v>
      </c>
      <c r="U1004" s="8">
        <v>5</v>
      </c>
      <c r="V1004" s="8" t="s">
        <v>55</v>
      </c>
    </row>
    <row r="1005" spans="1:22" x14ac:dyDescent="0.3">
      <c r="A1005" s="12" t="s">
        <v>1744</v>
      </c>
      <c r="B1005" s="13">
        <v>45714</v>
      </c>
      <c r="C1005" s="12" t="s">
        <v>131</v>
      </c>
      <c r="D1005" s="12" t="s">
        <v>132</v>
      </c>
      <c r="E1005" s="12" t="s">
        <v>25</v>
      </c>
      <c r="F1005" s="12" t="s">
        <v>1745</v>
      </c>
      <c r="G1005" s="12" t="s">
        <v>27</v>
      </c>
      <c r="H1005" s="12" t="s">
        <v>94</v>
      </c>
      <c r="I1005" s="12" t="s">
        <v>61</v>
      </c>
      <c r="J1005" s="12" t="s">
        <v>69</v>
      </c>
      <c r="K1005" s="12" t="s">
        <v>70</v>
      </c>
      <c r="L1005" s="12" t="s">
        <v>175</v>
      </c>
      <c r="M1005" s="12">
        <v>4</v>
      </c>
      <c r="N1005" s="14">
        <v>903.2</v>
      </c>
      <c r="O1005" s="15">
        <v>0</v>
      </c>
      <c r="P1005" s="14">
        <v>3612.8</v>
      </c>
      <c r="Q1005" s="14">
        <v>1804.16</v>
      </c>
      <c r="R1005" s="14">
        <v>1808.64</v>
      </c>
      <c r="S1005" s="12" t="s">
        <v>83</v>
      </c>
      <c r="T1005" s="12" t="s">
        <v>54</v>
      </c>
      <c r="U1005" s="12">
        <v>5</v>
      </c>
      <c r="V1005" s="12" t="s">
        <v>105</v>
      </c>
    </row>
    <row r="1006" spans="1:22" x14ac:dyDescent="0.3">
      <c r="A1006" s="8" t="s">
        <v>1746</v>
      </c>
      <c r="B1006" s="9">
        <v>45692</v>
      </c>
      <c r="C1006" s="8" t="s">
        <v>37</v>
      </c>
      <c r="D1006" s="8" t="s">
        <v>38</v>
      </c>
      <c r="E1006" s="8" t="s">
        <v>39</v>
      </c>
      <c r="F1006" s="8" t="s">
        <v>598</v>
      </c>
      <c r="G1006" s="8" t="s">
        <v>41</v>
      </c>
      <c r="H1006" s="8" t="s">
        <v>81</v>
      </c>
      <c r="I1006" s="8" t="s">
        <v>29</v>
      </c>
      <c r="J1006" s="8" t="s">
        <v>89</v>
      </c>
      <c r="K1006" s="8" t="s">
        <v>90</v>
      </c>
      <c r="L1006" s="8" t="s">
        <v>52</v>
      </c>
      <c r="M1006" s="8">
        <v>4</v>
      </c>
      <c r="N1006" s="10">
        <v>3652.64</v>
      </c>
      <c r="O1006" s="11">
        <v>0.3</v>
      </c>
      <c r="P1006" s="10">
        <v>10227.39</v>
      </c>
      <c r="Q1006" s="10">
        <v>8465.99</v>
      </c>
      <c r="R1006" s="10">
        <v>1761.4</v>
      </c>
      <c r="S1006" s="8" t="s">
        <v>46</v>
      </c>
      <c r="T1006" s="8" t="s">
        <v>54</v>
      </c>
      <c r="U1006" s="8">
        <v>3</v>
      </c>
      <c r="V1006" s="8" t="s">
        <v>105</v>
      </c>
    </row>
    <row r="1007" spans="1:22" x14ac:dyDescent="0.3">
      <c r="A1007" s="12" t="s">
        <v>1747</v>
      </c>
      <c r="B1007" s="13">
        <v>45921</v>
      </c>
      <c r="C1007" s="12" t="s">
        <v>131</v>
      </c>
      <c r="D1007" s="12" t="s">
        <v>132</v>
      </c>
      <c r="E1007" s="12" t="s">
        <v>25</v>
      </c>
      <c r="F1007" s="12" t="s">
        <v>643</v>
      </c>
      <c r="G1007" s="12" t="s">
        <v>41</v>
      </c>
      <c r="H1007" s="12" t="s">
        <v>81</v>
      </c>
      <c r="I1007" s="12" t="s">
        <v>29</v>
      </c>
      <c r="J1007" s="12" t="s">
        <v>43</v>
      </c>
      <c r="K1007" s="12" t="s">
        <v>51</v>
      </c>
      <c r="L1007" s="12" t="s">
        <v>91</v>
      </c>
      <c r="M1007" s="12">
        <v>3</v>
      </c>
      <c r="N1007" s="14">
        <v>1456.57</v>
      </c>
      <c r="O1007" s="15">
        <v>0.2</v>
      </c>
      <c r="P1007" s="14">
        <v>3495.77</v>
      </c>
      <c r="Q1007" s="14">
        <v>2155.5</v>
      </c>
      <c r="R1007" s="14">
        <v>1340.27</v>
      </c>
      <c r="S1007" s="12" t="s">
        <v>33</v>
      </c>
      <c r="T1007" s="12" t="s">
        <v>104</v>
      </c>
      <c r="U1007" s="12">
        <v>5</v>
      </c>
      <c r="V1007" s="12" t="s">
        <v>116</v>
      </c>
    </row>
    <row r="1008" spans="1:22" x14ac:dyDescent="0.3">
      <c r="A1008" s="8" t="s">
        <v>1748</v>
      </c>
      <c r="B1008" s="9">
        <v>45886</v>
      </c>
      <c r="C1008" s="8" t="s">
        <v>37</v>
      </c>
      <c r="D1008" s="8" t="s">
        <v>38</v>
      </c>
      <c r="E1008" s="8" t="s">
        <v>39</v>
      </c>
      <c r="F1008" s="8" t="s">
        <v>1017</v>
      </c>
      <c r="G1008" s="8" t="s">
        <v>41</v>
      </c>
      <c r="H1008" s="8" t="s">
        <v>94</v>
      </c>
      <c r="I1008" s="8" t="s">
        <v>68</v>
      </c>
      <c r="J1008" s="8" t="s">
        <v>43</v>
      </c>
      <c r="K1008" s="8" t="s">
        <v>162</v>
      </c>
      <c r="L1008" s="8" t="s">
        <v>91</v>
      </c>
      <c r="M1008" s="8">
        <v>5</v>
      </c>
      <c r="N1008" s="10">
        <v>932.72</v>
      </c>
      <c r="O1008" s="11">
        <v>0</v>
      </c>
      <c r="P1008" s="10">
        <v>4663.6000000000004</v>
      </c>
      <c r="Q1008" s="10">
        <v>2029.6</v>
      </c>
      <c r="R1008" s="10">
        <v>2634</v>
      </c>
      <c r="S1008" s="8" t="s">
        <v>33</v>
      </c>
      <c r="T1008" s="8" t="s">
        <v>71</v>
      </c>
      <c r="U1008" s="8">
        <v>5</v>
      </c>
      <c r="V1008" s="8" t="s">
        <v>72</v>
      </c>
    </row>
    <row r="1009" spans="1:22" x14ac:dyDescent="0.3">
      <c r="A1009" s="12" t="s">
        <v>1749</v>
      </c>
      <c r="B1009" s="13">
        <v>45810</v>
      </c>
      <c r="C1009" s="12" t="s">
        <v>107</v>
      </c>
      <c r="D1009" s="12" t="s">
        <v>108</v>
      </c>
      <c r="E1009" s="12" t="s">
        <v>39</v>
      </c>
      <c r="F1009" s="12" t="s">
        <v>170</v>
      </c>
      <c r="G1009" s="12" t="s">
        <v>27</v>
      </c>
      <c r="H1009" s="12" t="s">
        <v>94</v>
      </c>
      <c r="I1009" s="12" t="s">
        <v>61</v>
      </c>
      <c r="J1009" s="12" t="s">
        <v>75</v>
      </c>
      <c r="K1009" s="12" t="s">
        <v>95</v>
      </c>
      <c r="L1009" s="12" t="s">
        <v>91</v>
      </c>
      <c r="M1009" s="12">
        <v>3</v>
      </c>
      <c r="N1009" s="14">
        <v>25746.17</v>
      </c>
      <c r="O1009" s="15">
        <v>0.1</v>
      </c>
      <c r="P1009" s="14">
        <v>69514.66</v>
      </c>
      <c r="Q1009" s="14">
        <v>54423.68</v>
      </c>
      <c r="R1009" s="14">
        <v>15090.98</v>
      </c>
      <c r="S1009" s="12" t="s">
        <v>33</v>
      </c>
      <c r="T1009" s="12" t="s">
        <v>71</v>
      </c>
      <c r="U1009" s="12">
        <v>4</v>
      </c>
      <c r="V1009" s="12" t="s">
        <v>157</v>
      </c>
    </row>
    <row r="1010" spans="1:22" x14ac:dyDescent="0.3">
      <c r="A1010" s="8" t="s">
        <v>1750</v>
      </c>
      <c r="B1010" s="9">
        <v>45839</v>
      </c>
      <c r="C1010" s="8" t="s">
        <v>125</v>
      </c>
      <c r="D1010" s="8" t="s">
        <v>126</v>
      </c>
      <c r="E1010" s="8" t="s">
        <v>25</v>
      </c>
      <c r="F1010" s="8" t="s">
        <v>1751</v>
      </c>
      <c r="G1010" s="8" t="s">
        <v>41</v>
      </c>
      <c r="H1010" s="8" t="s">
        <v>42</v>
      </c>
      <c r="I1010" s="8" t="s">
        <v>68</v>
      </c>
      <c r="J1010" s="8" t="s">
        <v>43</v>
      </c>
      <c r="K1010" s="8" t="s">
        <v>162</v>
      </c>
      <c r="L1010" s="8" t="s">
        <v>91</v>
      </c>
      <c r="M1010" s="8">
        <v>1</v>
      </c>
      <c r="N1010" s="10">
        <v>862.93</v>
      </c>
      <c r="O1010" s="11">
        <v>0.2</v>
      </c>
      <c r="P1010" s="10">
        <v>690.34</v>
      </c>
      <c r="Q1010" s="10">
        <v>415.2</v>
      </c>
      <c r="R1010" s="10">
        <v>275.14</v>
      </c>
      <c r="S1010" s="8" t="s">
        <v>83</v>
      </c>
      <c r="T1010" s="8" t="s">
        <v>64</v>
      </c>
      <c r="U1010" s="8">
        <v>5</v>
      </c>
      <c r="V1010" s="8" t="s">
        <v>120</v>
      </c>
    </row>
    <row r="1011" spans="1:22" x14ac:dyDescent="0.3">
      <c r="A1011" s="12" t="s">
        <v>1752</v>
      </c>
      <c r="B1011" s="13">
        <v>45782</v>
      </c>
      <c r="C1011" s="12" t="s">
        <v>113</v>
      </c>
      <c r="D1011" s="12" t="s">
        <v>114</v>
      </c>
      <c r="E1011" s="12" t="s">
        <v>59</v>
      </c>
      <c r="F1011" s="12" t="s">
        <v>962</v>
      </c>
      <c r="G1011" s="12" t="s">
        <v>27</v>
      </c>
      <c r="H1011" s="12" t="s">
        <v>42</v>
      </c>
      <c r="I1011" s="12" t="s">
        <v>29</v>
      </c>
      <c r="J1011" s="12" t="s">
        <v>43</v>
      </c>
      <c r="K1011" s="12" t="s">
        <v>162</v>
      </c>
      <c r="L1011" s="12" t="s">
        <v>82</v>
      </c>
      <c r="M1011" s="12">
        <v>2</v>
      </c>
      <c r="N1011" s="14">
        <v>909.41</v>
      </c>
      <c r="O1011" s="15">
        <v>0.1</v>
      </c>
      <c r="P1011" s="14">
        <v>1636.94</v>
      </c>
      <c r="Q1011" s="14">
        <v>787.14</v>
      </c>
      <c r="R1011" s="14">
        <v>849.8</v>
      </c>
      <c r="S1011" s="12" t="s">
        <v>53</v>
      </c>
      <c r="T1011" s="12" t="s">
        <v>104</v>
      </c>
      <c r="U1011" s="12">
        <v>4</v>
      </c>
      <c r="V1011" s="12" t="s">
        <v>134</v>
      </c>
    </row>
    <row r="1012" spans="1:22" x14ac:dyDescent="0.3">
      <c r="A1012" s="8" t="s">
        <v>1753</v>
      </c>
      <c r="B1012" s="9">
        <v>45994</v>
      </c>
      <c r="C1012" s="8" t="s">
        <v>125</v>
      </c>
      <c r="D1012" s="8" t="s">
        <v>126</v>
      </c>
      <c r="E1012" s="8" t="s">
        <v>25</v>
      </c>
      <c r="F1012" s="8" t="s">
        <v>146</v>
      </c>
      <c r="G1012" s="8" t="s">
        <v>27</v>
      </c>
      <c r="H1012" s="8" t="s">
        <v>94</v>
      </c>
      <c r="I1012" s="8" t="s">
        <v>29</v>
      </c>
      <c r="J1012" s="8" t="s">
        <v>75</v>
      </c>
      <c r="K1012" s="8" t="s">
        <v>95</v>
      </c>
      <c r="L1012" s="8" t="s">
        <v>82</v>
      </c>
      <c r="M1012" s="8">
        <v>1</v>
      </c>
      <c r="N1012" s="10">
        <v>24465.69</v>
      </c>
      <c r="O1012" s="11">
        <v>0.25</v>
      </c>
      <c r="P1012" s="10">
        <v>18349.27</v>
      </c>
      <c r="Q1012" s="10">
        <v>18447.05</v>
      </c>
      <c r="R1012" s="10">
        <v>-97.78</v>
      </c>
      <c r="S1012" s="8" t="s">
        <v>33</v>
      </c>
      <c r="T1012" s="8" t="s">
        <v>71</v>
      </c>
      <c r="U1012" s="8">
        <v>5</v>
      </c>
      <c r="V1012" s="8" t="s">
        <v>35</v>
      </c>
    </row>
    <row r="1013" spans="1:22" x14ac:dyDescent="0.3">
      <c r="A1013" s="12" t="s">
        <v>1754</v>
      </c>
      <c r="B1013" s="13">
        <v>45971</v>
      </c>
      <c r="C1013" s="12" t="s">
        <v>113</v>
      </c>
      <c r="D1013" s="12" t="s">
        <v>114</v>
      </c>
      <c r="E1013" s="12" t="s">
        <v>59</v>
      </c>
      <c r="F1013" s="12" t="s">
        <v>1190</v>
      </c>
      <c r="G1013" s="12" t="s">
        <v>27</v>
      </c>
      <c r="H1013" s="12" t="s">
        <v>81</v>
      </c>
      <c r="I1013" s="12" t="s">
        <v>68</v>
      </c>
      <c r="J1013" s="12" t="s">
        <v>43</v>
      </c>
      <c r="K1013" s="12" t="s">
        <v>51</v>
      </c>
      <c r="L1013" s="12" t="s">
        <v>91</v>
      </c>
      <c r="M1013" s="12">
        <v>1</v>
      </c>
      <c r="N1013" s="14">
        <v>1514.49</v>
      </c>
      <c r="O1013" s="15">
        <v>0.25</v>
      </c>
      <c r="P1013" s="14">
        <v>1135.8699999999999</v>
      </c>
      <c r="Q1013" s="14">
        <v>677.37</v>
      </c>
      <c r="R1013" s="14">
        <v>458.5</v>
      </c>
      <c r="S1013" s="12" t="s">
        <v>53</v>
      </c>
      <c r="T1013" s="12" t="s">
        <v>71</v>
      </c>
      <c r="U1013" s="12">
        <v>5</v>
      </c>
      <c r="V1013" s="12" t="s">
        <v>65</v>
      </c>
    </row>
    <row r="1014" spans="1:22" x14ac:dyDescent="0.3">
      <c r="A1014" s="8" t="s">
        <v>1755</v>
      </c>
      <c r="B1014" s="9">
        <v>45880</v>
      </c>
      <c r="C1014" s="8" t="s">
        <v>23</v>
      </c>
      <c r="D1014" s="8" t="s">
        <v>24</v>
      </c>
      <c r="E1014" s="8" t="s">
        <v>25</v>
      </c>
      <c r="F1014" s="8" t="s">
        <v>379</v>
      </c>
      <c r="G1014" s="8" t="s">
        <v>27</v>
      </c>
      <c r="H1014" s="8" t="s">
        <v>28</v>
      </c>
      <c r="I1014" s="8" t="s">
        <v>68</v>
      </c>
      <c r="J1014" s="8" t="s">
        <v>43</v>
      </c>
      <c r="K1014" s="8" t="s">
        <v>44</v>
      </c>
      <c r="L1014" s="8" t="s">
        <v>175</v>
      </c>
      <c r="M1014" s="8">
        <v>2</v>
      </c>
      <c r="N1014" s="10">
        <v>579.77</v>
      </c>
      <c r="O1014" s="11">
        <v>0.25</v>
      </c>
      <c r="P1014" s="10">
        <v>869.65</v>
      </c>
      <c r="Q1014" s="10">
        <v>508</v>
      </c>
      <c r="R1014" s="10">
        <v>361.65</v>
      </c>
      <c r="S1014" s="8" t="s">
        <v>83</v>
      </c>
      <c r="T1014" s="8" t="s">
        <v>104</v>
      </c>
      <c r="U1014" s="8">
        <v>3</v>
      </c>
      <c r="V1014" s="8" t="s">
        <v>72</v>
      </c>
    </row>
    <row r="1015" spans="1:22" x14ac:dyDescent="0.3">
      <c r="A1015" s="12" t="s">
        <v>1756</v>
      </c>
      <c r="B1015" s="13">
        <v>45731</v>
      </c>
      <c r="C1015" s="12" t="s">
        <v>37</v>
      </c>
      <c r="D1015" s="12" t="s">
        <v>38</v>
      </c>
      <c r="E1015" s="12" t="s">
        <v>39</v>
      </c>
      <c r="F1015" s="12" t="s">
        <v>809</v>
      </c>
      <c r="G1015" s="12" t="s">
        <v>27</v>
      </c>
      <c r="H1015" s="12" t="s">
        <v>28</v>
      </c>
      <c r="I1015" s="12" t="s">
        <v>29</v>
      </c>
      <c r="J1015" s="12" t="s">
        <v>89</v>
      </c>
      <c r="K1015" s="12" t="s">
        <v>151</v>
      </c>
      <c r="L1015" s="12" t="s">
        <v>32</v>
      </c>
      <c r="M1015" s="12">
        <v>1</v>
      </c>
      <c r="N1015" s="14">
        <v>974.97</v>
      </c>
      <c r="O1015" s="15">
        <v>0.15</v>
      </c>
      <c r="P1015" s="14">
        <v>828.72</v>
      </c>
      <c r="Q1015" s="14">
        <v>523.57000000000005</v>
      </c>
      <c r="R1015" s="14">
        <v>305.14999999999998</v>
      </c>
      <c r="S1015" s="12" t="s">
        <v>33</v>
      </c>
      <c r="T1015" s="12" t="s">
        <v>111</v>
      </c>
      <c r="U1015" s="12">
        <v>5</v>
      </c>
      <c r="V1015" s="12" t="s">
        <v>55</v>
      </c>
    </row>
    <row r="1016" spans="1:22" x14ac:dyDescent="0.3">
      <c r="A1016" s="8" t="s">
        <v>1757</v>
      </c>
      <c r="B1016" s="9">
        <v>45719</v>
      </c>
      <c r="C1016" s="8" t="s">
        <v>23</v>
      </c>
      <c r="D1016" s="8" t="s">
        <v>24</v>
      </c>
      <c r="E1016" s="8" t="s">
        <v>25</v>
      </c>
      <c r="F1016" s="8" t="s">
        <v>204</v>
      </c>
      <c r="G1016" s="8" t="s">
        <v>41</v>
      </c>
      <c r="H1016" s="8" t="s">
        <v>94</v>
      </c>
      <c r="I1016" s="8" t="s">
        <v>68</v>
      </c>
      <c r="J1016" s="8" t="s">
        <v>43</v>
      </c>
      <c r="K1016" s="8" t="s">
        <v>51</v>
      </c>
      <c r="L1016" s="8" t="s">
        <v>91</v>
      </c>
      <c r="M1016" s="8">
        <v>5</v>
      </c>
      <c r="N1016" s="10">
        <v>1473.5</v>
      </c>
      <c r="O1016" s="11">
        <v>0.1</v>
      </c>
      <c r="P1016" s="10">
        <v>6630.75</v>
      </c>
      <c r="Q1016" s="10">
        <v>3512.39</v>
      </c>
      <c r="R1016" s="10">
        <v>3118.36</v>
      </c>
      <c r="S1016" s="8" t="s">
        <v>53</v>
      </c>
      <c r="T1016" s="8" t="s">
        <v>147</v>
      </c>
      <c r="U1016" s="8">
        <v>4</v>
      </c>
      <c r="V1016" s="8" t="s">
        <v>55</v>
      </c>
    </row>
    <row r="1017" spans="1:22" x14ac:dyDescent="0.3">
      <c r="A1017" s="12" t="s">
        <v>1758</v>
      </c>
      <c r="B1017" s="13">
        <v>45920</v>
      </c>
      <c r="C1017" s="12" t="s">
        <v>48</v>
      </c>
      <c r="D1017" s="12" t="s">
        <v>49</v>
      </c>
      <c r="E1017" s="12" t="s">
        <v>39</v>
      </c>
      <c r="F1017" s="12" t="s">
        <v>1759</v>
      </c>
      <c r="G1017" s="12" t="s">
        <v>41</v>
      </c>
      <c r="H1017" s="12" t="s">
        <v>28</v>
      </c>
      <c r="I1017" s="12" t="s">
        <v>61</v>
      </c>
      <c r="J1017" s="12" t="s">
        <v>30</v>
      </c>
      <c r="K1017" s="12" t="s">
        <v>144</v>
      </c>
      <c r="L1017" s="12" t="s">
        <v>82</v>
      </c>
      <c r="M1017" s="12">
        <v>3</v>
      </c>
      <c r="N1017" s="14">
        <v>2385.36</v>
      </c>
      <c r="O1017" s="15">
        <v>0.15</v>
      </c>
      <c r="P1017" s="14">
        <v>6082.67</v>
      </c>
      <c r="Q1017" s="14">
        <v>4332.04</v>
      </c>
      <c r="R1017" s="14">
        <v>1750.63</v>
      </c>
      <c r="S1017" s="12" t="s">
        <v>33</v>
      </c>
      <c r="T1017" s="12" t="s">
        <v>119</v>
      </c>
      <c r="U1017" s="12">
        <v>3</v>
      </c>
      <c r="V1017" s="12" t="s">
        <v>116</v>
      </c>
    </row>
    <row r="1018" spans="1:22" x14ac:dyDescent="0.3">
      <c r="A1018" s="8" t="s">
        <v>1760</v>
      </c>
      <c r="B1018" s="9">
        <v>45936</v>
      </c>
      <c r="C1018" s="8" t="s">
        <v>57</v>
      </c>
      <c r="D1018" s="8" t="s">
        <v>58</v>
      </c>
      <c r="E1018" s="8" t="s">
        <v>59</v>
      </c>
      <c r="F1018" s="8" t="s">
        <v>1761</v>
      </c>
      <c r="G1018" s="8" t="s">
        <v>27</v>
      </c>
      <c r="H1018" s="8" t="s">
        <v>81</v>
      </c>
      <c r="I1018" s="8" t="s">
        <v>68</v>
      </c>
      <c r="J1018" s="8" t="s">
        <v>43</v>
      </c>
      <c r="K1018" s="8" t="s">
        <v>51</v>
      </c>
      <c r="L1018" s="8" t="s">
        <v>32</v>
      </c>
      <c r="M1018" s="8">
        <v>1</v>
      </c>
      <c r="N1018" s="10">
        <v>1550.51</v>
      </c>
      <c r="O1018" s="11">
        <v>0.15</v>
      </c>
      <c r="P1018" s="10">
        <v>1317.93</v>
      </c>
      <c r="Q1018" s="10">
        <v>669.28</v>
      </c>
      <c r="R1018" s="10">
        <v>648.65</v>
      </c>
      <c r="S1018" s="8" t="s">
        <v>53</v>
      </c>
      <c r="T1018" s="8" t="s">
        <v>111</v>
      </c>
      <c r="U1018" s="8">
        <v>3</v>
      </c>
      <c r="V1018" s="8" t="s">
        <v>123</v>
      </c>
    </row>
    <row r="1019" spans="1:22" x14ac:dyDescent="0.3">
      <c r="A1019" s="12" t="s">
        <v>1762</v>
      </c>
      <c r="B1019" s="13">
        <v>45806</v>
      </c>
      <c r="C1019" s="12" t="s">
        <v>23</v>
      </c>
      <c r="D1019" s="12" t="s">
        <v>24</v>
      </c>
      <c r="E1019" s="12" t="s">
        <v>25</v>
      </c>
      <c r="F1019" s="12" t="s">
        <v>1001</v>
      </c>
      <c r="G1019" s="12" t="s">
        <v>27</v>
      </c>
      <c r="H1019" s="12" t="s">
        <v>28</v>
      </c>
      <c r="I1019" s="12" t="s">
        <v>61</v>
      </c>
      <c r="J1019" s="12" t="s">
        <v>69</v>
      </c>
      <c r="K1019" s="12" t="s">
        <v>70</v>
      </c>
      <c r="L1019" s="12" t="s">
        <v>91</v>
      </c>
      <c r="M1019" s="12">
        <v>1</v>
      </c>
      <c r="N1019" s="14">
        <v>906.33</v>
      </c>
      <c r="O1019" s="15">
        <v>0.25</v>
      </c>
      <c r="P1019" s="14">
        <v>679.75</v>
      </c>
      <c r="Q1019" s="14">
        <v>427.57</v>
      </c>
      <c r="R1019" s="14">
        <v>252.18</v>
      </c>
      <c r="S1019" s="12" t="s">
        <v>46</v>
      </c>
      <c r="T1019" s="12" t="s">
        <v>34</v>
      </c>
      <c r="U1019" s="12">
        <v>5</v>
      </c>
      <c r="V1019" s="12" t="s">
        <v>134</v>
      </c>
    </row>
    <row r="1020" spans="1:22" x14ac:dyDescent="0.3">
      <c r="A1020" s="8" t="s">
        <v>1763</v>
      </c>
      <c r="B1020" s="9">
        <v>45697</v>
      </c>
      <c r="C1020" s="8" t="s">
        <v>131</v>
      </c>
      <c r="D1020" s="8" t="s">
        <v>132</v>
      </c>
      <c r="E1020" s="8" t="s">
        <v>25</v>
      </c>
      <c r="F1020" s="8" t="s">
        <v>1764</v>
      </c>
      <c r="G1020" s="8" t="s">
        <v>27</v>
      </c>
      <c r="H1020" s="8" t="s">
        <v>81</v>
      </c>
      <c r="I1020" s="8" t="s">
        <v>61</v>
      </c>
      <c r="J1020" s="8" t="s">
        <v>69</v>
      </c>
      <c r="K1020" s="8" t="s">
        <v>70</v>
      </c>
      <c r="L1020" s="8" t="s">
        <v>52</v>
      </c>
      <c r="M1020" s="8">
        <v>1</v>
      </c>
      <c r="N1020" s="10">
        <v>918.07</v>
      </c>
      <c r="O1020" s="11">
        <v>0.15</v>
      </c>
      <c r="P1020" s="10">
        <v>780.36</v>
      </c>
      <c r="Q1020" s="10">
        <v>466.08</v>
      </c>
      <c r="R1020" s="10">
        <v>314.27999999999997</v>
      </c>
      <c r="S1020" s="8" t="s">
        <v>53</v>
      </c>
      <c r="T1020" s="8" t="s">
        <v>71</v>
      </c>
      <c r="U1020" s="8">
        <v>3</v>
      </c>
      <c r="V1020" s="8" t="s">
        <v>105</v>
      </c>
    </row>
    <row r="1021" spans="1:22" x14ac:dyDescent="0.3">
      <c r="A1021" s="12" t="s">
        <v>1765</v>
      </c>
      <c r="B1021" s="13">
        <v>45989</v>
      </c>
      <c r="C1021" s="12" t="s">
        <v>107</v>
      </c>
      <c r="D1021" s="12" t="s">
        <v>108</v>
      </c>
      <c r="E1021" s="12" t="s">
        <v>39</v>
      </c>
      <c r="F1021" s="12" t="s">
        <v>717</v>
      </c>
      <c r="G1021" s="12" t="s">
        <v>27</v>
      </c>
      <c r="H1021" s="12" t="s">
        <v>28</v>
      </c>
      <c r="I1021" s="12" t="s">
        <v>61</v>
      </c>
      <c r="J1021" s="12" t="s">
        <v>43</v>
      </c>
      <c r="K1021" s="12" t="s">
        <v>51</v>
      </c>
      <c r="L1021" s="12" t="s">
        <v>77</v>
      </c>
      <c r="M1021" s="12">
        <v>3</v>
      </c>
      <c r="N1021" s="14">
        <v>1513.04</v>
      </c>
      <c r="O1021" s="15">
        <v>0</v>
      </c>
      <c r="P1021" s="14">
        <v>4539.12</v>
      </c>
      <c r="Q1021" s="14">
        <v>2016.16</v>
      </c>
      <c r="R1021" s="14">
        <v>2522.96</v>
      </c>
      <c r="S1021" s="12" t="s">
        <v>53</v>
      </c>
      <c r="T1021" s="12" t="s">
        <v>71</v>
      </c>
      <c r="U1021" s="12">
        <v>4</v>
      </c>
      <c r="V1021" s="12" t="s">
        <v>65</v>
      </c>
    </row>
    <row r="1022" spans="1:22" x14ac:dyDescent="0.3">
      <c r="A1022" s="8" t="s">
        <v>1766</v>
      </c>
      <c r="B1022" s="9">
        <v>45802</v>
      </c>
      <c r="C1022" s="8" t="s">
        <v>98</v>
      </c>
      <c r="D1022" s="8" t="s">
        <v>99</v>
      </c>
      <c r="E1022" s="8" t="s">
        <v>25</v>
      </c>
      <c r="F1022" s="8" t="s">
        <v>1767</v>
      </c>
      <c r="G1022" s="8" t="s">
        <v>41</v>
      </c>
      <c r="H1022" s="8" t="s">
        <v>81</v>
      </c>
      <c r="I1022" s="8" t="s">
        <v>29</v>
      </c>
      <c r="J1022" s="8" t="s">
        <v>43</v>
      </c>
      <c r="K1022" s="8" t="s">
        <v>51</v>
      </c>
      <c r="L1022" s="8" t="s">
        <v>91</v>
      </c>
      <c r="M1022" s="8">
        <v>5</v>
      </c>
      <c r="N1022" s="10">
        <v>1573.35</v>
      </c>
      <c r="O1022" s="11">
        <v>0.15</v>
      </c>
      <c r="P1022" s="10">
        <v>6686.74</v>
      </c>
      <c r="Q1022" s="10">
        <v>3453.84</v>
      </c>
      <c r="R1022" s="10">
        <v>3232.9</v>
      </c>
      <c r="S1022" s="8" t="s">
        <v>83</v>
      </c>
      <c r="T1022" s="8" t="s">
        <v>71</v>
      </c>
      <c r="U1022" s="8">
        <v>4</v>
      </c>
      <c r="V1022" s="8" t="s">
        <v>134</v>
      </c>
    </row>
    <row r="1023" spans="1:22" x14ac:dyDescent="0.3">
      <c r="A1023" s="12" t="s">
        <v>1768</v>
      </c>
      <c r="B1023" s="13">
        <v>45816</v>
      </c>
      <c r="C1023" s="12" t="s">
        <v>107</v>
      </c>
      <c r="D1023" s="12" t="s">
        <v>108</v>
      </c>
      <c r="E1023" s="12" t="s">
        <v>39</v>
      </c>
      <c r="F1023" s="12" t="s">
        <v>216</v>
      </c>
      <c r="G1023" s="12" t="s">
        <v>41</v>
      </c>
      <c r="H1023" s="12" t="s">
        <v>81</v>
      </c>
      <c r="I1023" s="12" t="s">
        <v>68</v>
      </c>
      <c r="J1023" s="12" t="s">
        <v>101</v>
      </c>
      <c r="K1023" s="12" t="s">
        <v>110</v>
      </c>
      <c r="L1023" s="12" t="s">
        <v>82</v>
      </c>
      <c r="M1023" s="12">
        <v>4</v>
      </c>
      <c r="N1023" s="14">
        <v>5080.38</v>
      </c>
      <c r="O1023" s="15">
        <v>0.05</v>
      </c>
      <c r="P1023" s="14">
        <v>19305.439999999999</v>
      </c>
      <c r="Q1023" s="14">
        <v>12308.47</v>
      </c>
      <c r="R1023" s="14">
        <v>6996.97</v>
      </c>
      <c r="S1023" s="12" t="s">
        <v>63</v>
      </c>
      <c r="T1023" s="12" t="s">
        <v>119</v>
      </c>
      <c r="U1023" s="12">
        <v>5</v>
      </c>
      <c r="V1023" s="12" t="s">
        <v>157</v>
      </c>
    </row>
    <row r="1024" spans="1:22" x14ac:dyDescent="0.3">
      <c r="A1024" s="8" t="s">
        <v>1769</v>
      </c>
      <c r="B1024" s="9">
        <v>45982</v>
      </c>
      <c r="C1024" s="8" t="s">
        <v>113</v>
      </c>
      <c r="D1024" s="8" t="s">
        <v>114</v>
      </c>
      <c r="E1024" s="8" t="s">
        <v>59</v>
      </c>
      <c r="F1024" s="8" t="s">
        <v>486</v>
      </c>
      <c r="G1024" s="8" t="s">
        <v>41</v>
      </c>
      <c r="H1024" s="8" t="s">
        <v>94</v>
      </c>
      <c r="I1024" s="8" t="s">
        <v>61</v>
      </c>
      <c r="J1024" s="8" t="s">
        <v>75</v>
      </c>
      <c r="K1024" s="8" t="s">
        <v>76</v>
      </c>
      <c r="L1024" s="8" t="s">
        <v>45</v>
      </c>
      <c r="M1024" s="8">
        <v>3</v>
      </c>
      <c r="N1024" s="10">
        <v>832.57</v>
      </c>
      <c r="O1024" s="11">
        <v>0</v>
      </c>
      <c r="P1024" s="10">
        <v>2497.71</v>
      </c>
      <c r="Q1024" s="10">
        <v>1060.79</v>
      </c>
      <c r="R1024" s="10">
        <v>1436.92</v>
      </c>
      <c r="S1024" s="8" t="s">
        <v>53</v>
      </c>
      <c r="T1024" s="8" t="s">
        <v>54</v>
      </c>
      <c r="U1024" s="8">
        <v>5</v>
      </c>
      <c r="V1024" s="8" t="s">
        <v>65</v>
      </c>
    </row>
    <row r="1025" spans="1:22" x14ac:dyDescent="0.3">
      <c r="A1025" s="12" t="s">
        <v>1770</v>
      </c>
      <c r="B1025" s="13">
        <v>45998</v>
      </c>
      <c r="C1025" s="12" t="s">
        <v>125</v>
      </c>
      <c r="D1025" s="12" t="s">
        <v>126</v>
      </c>
      <c r="E1025" s="12" t="s">
        <v>25</v>
      </c>
      <c r="F1025" s="12" t="s">
        <v>396</v>
      </c>
      <c r="G1025" s="12" t="s">
        <v>41</v>
      </c>
      <c r="H1025" s="12" t="s">
        <v>94</v>
      </c>
      <c r="I1025" s="12" t="s">
        <v>61</v>
      </c>
      <c r="J1025" s="12" t="s">
        <v>69</v>
      </c>
      <c r="K1025" s="12" t="s">
        <v>180</v>
      </c>
      <c r="L1025" s="12" t="s">
        <v>77</v>
      </c>
      <c r="M1025" s="12">
        <v>1</v>
      </c>
      <c r="N1025" s="14">
        <v>1508.56</v>
      </c>
      <c r="O1025" s="15">
        <v>0.3</v>
      </c>
      <c r="P1025" s="14">
        <v>1055.99</v>
      </c>
      <c r="Q1025" s="14">
        <v>836.16</v>
      </c>
      <c r="R1025" s="14">
        <v>219.83</v>
      </c>
      <c r="S1025" s="12" t="s">
        <v>33</v>
      </c>
      <c r="T1025" s="12" t="s">
        <v>119</v>
      </c>
      <c r="U1025" s="12">
        <v>5</v>
      </c>
      <c r="V1025" s="12" t="s">
        <v>35</v>
      </c>
    </row>
    <row r="1026" spans="1:22" x14ac:dyDescent="0.3">
      <c r="A1026" s="8" t="s">
        <v>1771</v>
      </c>
      <c r="B1026" s="9">
        <v>45901</v>
      </c>
      <c r="C1026" s="8" t="s">
        <v>125</v>
      </c>
      <c r="D1026" s="8" t="s">
        <v>126</v>
      </c>
      <c r="E1026" s="8" t="s">
        <v>25</v>
      </c>
      <c r="F1026" s="8" t="s">
        <v>893</v>
      </c>
      <c r="G1026" s="8" t="s">
        <v>41</v>
      </c>
      <c r="H1026" s="8" t="s">
        <v>94</v>
      </c>
      <c r="I1026" s="8" t="s">
        <v>68</v>
      </c>
      <c r="J1026" s="8" t="s">
        <v>69</v>
      </c>
      <c r="K1026" s="8" t="s">
        <v>70</v>
      </c>
      <c r="L1026" s="8" t="s">
        <v>82</v>
      </c>
      <c r="M1026" s="8">
        <v>1</v>
      </c>
      <c r="N1026" s="10">
        <v>925.79</v>
      </c>
      <c r="O1026" s="11">
        <v>0.2</v>
      </c>
      <c r="P1026" s="10">
        <v>740.63</v>
      </c>
      <c r="Q1026" s="10">
        <v>456.74</v>
      </c>
      <c r="R1026" s="10">
        <v>283.89</v>
      </c>
      <c r="S1026" s="8" t="s">
        <v>53</v>
      </c>
      <c r="T1026" s="8" t="s">
        <v>156</v>
      </c>
      <c r="U1026" s="8">
        <v>4</v>
      </c>
      <c r="V1026" s="8" t="s">
        <v>116</v>
      </c>
    </row>
    <row r="1027" spans="1:22" x14ac:dyDescent="0.3">
      <c r="A1027" s="12" t="s">
        <v>1772</v>
      </c>
      <c r="B1027" s="13">
        <v>45868</v>
      </c>
      <c r="C1027" s="12" t="s">
        <v>113</v>
      </c>
      <c r="D1027" s="12" t="s">
        <v>114</v>
      </c>
      <c r="E1027" s="12" t="s">
        <v>59</v>
      </c>
      <c r="F1027" s="12" t="s">
        <v>813</v>
      </c>
      <c r="G1027" s="12" t="s">
        <v>27</v>
      </c>
      <c r="H1027" s="12" t="s">
        <v>42</v>
      </c>
      <c r="I1027" s="12" t="s">
        <v>29</v>
      </c>
      <c r="J1027" s="12" t="s">
        <v>101</v>
      </c>
      <c r="K1027" s="12" t="s">
        <v>217</v>
      </c>
      <c r="L1027" s="12" t="s">
        <v>82</v>
      </c>
      <c r="M1027" s="12">
        <v>3</v>
      </c>
      <c r="N1027" s="14">
        <v>3102.5</v>
      </c>
      <c r="O1027" s="15">
        <v>0.2</v>
      </c>
      <c r="P1027" s="14">
        <v>7446</v>
      </c>
      <c r="Q1027" s="14">
        <v>5228.87</v>
      </c>
      <c r="R1027" s="14">
        <v>2217.13</v>
      </c>
      <c r="S1027" s="12" t="s">
        <v>46</v>
      </c>
      <c r="T1027" s="12" t="s">
        <v>111</v>
      </c>
      <c r="U1027" s="12">
        <v>5</v>
      </c>
      <c r="V1027" s="12" t="s">
        <v>120</v>
      </c>
    </row>
    <row r="1028" spans="1:22" x14ac:dyDescent="0.3">
      <c r="A1028" s="8" t="s">
        <v>1773</v>
      </c>
      <c r="B1028" s="9">
        <v>45749</v>
      </c>
      <c r="C1028" s="8" t="s">
        <v>98</v>
      </c>
      <c r="D1028" s="8" t="s">
        <v>99</v>
      </c>
      <c r="E1028" s="8" t="s">
        <v>25</v>
      </c>
      <c r="F1028" s="8" t="s">
        <v>412</v>
      </c>
      <c r="G1028" s="8" t="s">
        <v>27</v>
      </c>
      <c r="H1028" s="8" t="s">
        <v>28</v>
      </c>
      <c r="I1028" s="8" t="s">
        <v>61</v>
      </c>
      <c r="J1028" s="8" t="s">
        <v>43</v>
      </c>
      <c r="K1028" s="8" t="s">
        <v>51</v>
      </c>
      <c r="L1028" s="8" t="s">
        <v>103</v>
      </c>
      <c r="M1028" s="8">
        <v>4</v>
      </c>
      <c r="N1028" s="10">
        <v>1429.13</v>
      </c>
      <c r="O1028" s="11">
        <v>0.3</v>
      </c>
      <c r="P1028" s="10">
        <v>4001.56</v>
      </c>
      <c r="Q1028" s="10">
        <v>2851.89</v>
      </c>
      <c r="R1028" s="10">
        <v>1149.67</v>
      </c>
      <c r="S1028" s="8" t="s">
        <v>33</v>
      </c>
      <c r="T1028" s="8" t="s">
        <v>147</v>
      </c>
      <c r="U1028" s="8">
        <v>5</v>
      </c>
      <c r="V1028" s="8" t="s">
        <v>96</v>
      </c>
    </row>
    <row r="1029" spans="1:22" x14ac:dyDescent="0.3">
      <c r="A1029" s="12" t="s">
        <v>1774</v>
      </c>
      <c r="B1029" s="13">
        <v>45862</v>
      </c>
      <c r="C1029" s="12" t="s">
        <v>125</v>
      </c>
      <c r="D1029" s="12" t="s">
        <v>126</v>
      </c>
      <c r="E1029" s="12" t="s">
        <v>25</v>
      </c>
      <c r="F1029" s="12" t="s">
        <v>1360</v>
      </c>
      <c r="G1029" s="12" t="s">
        <v>27</v>
      </c>
      <c r="H1029" s="12" t="s">
        <v>28</v>
      </c>
      <c r="I1029" s="12" t="s">
        <v>29</v>
      </c>
      <c r="J1029" s="12" t="s">
        <v>69</v>
      </c>
      <c r="K1029" s="12" t="s">
        <v>70</v>
      </c>
      <c r="L1029" s="12" t="s">
        <v>91</v>
      </c>
      <c r="M1029" s="12">
        <v>3</v>
      </c>
      <c r="N1029" s="14">
        <v>888.52</v>
      </c>
      <c r="O1029" s="15">
        <v>0.15</v>
      </c>
      <c r="P1029" s="14">
        <v>2265.73</v>
      </c>
      <c r="Q1029" s="14">
        <v>1401.73</v>
      </c>
      <c r="R1029" s="14">
        <v>864</v>
      </c>
      <c r="S1029" s="12" t="s">
        <v>63</v>
      </c>
      <c r="T1029" s="12" t="s">
        <v>111</v>
      </c>
      <c r="U1029" s="12">
        <v>3</v>
      </c>
      <c r="V1029" s="12" t="s">
        <v>120</v>
      </c>
    </row>
    <row r="1030" spans="1:22" x14ac:dyDescent="0.3">
      <c r="A1030" s="8" t="s">
        <v>1775</v>
      </c>
      <c r="B1030" s="9">
        <v>45898</v>
      </c>
      <c r="C1030" s="8" t="s">
        <v>37</v>
      </c>
      <c r="D1030" s="8" t="s">
        <v>38</v>
      </c>
      <c r="E1030" s="8" t="s">
        <v>39</v>
      </c>
      <c r="F1030" s="8" t="s">
        <v>1776</v>
      </c>
      <c r="G1030" s="8" t="s">
        <v>27</v>
      </c>
      <c r="H1030" s="8" t="s">
        <v>28</v>
      </c>
      <c r="I1030" s="8" t="s">
        <v>29</v>
      </c>
      <c r="J1030" s="8" t="s">
        <v>43</v>
      </c>
      <c r="K1030" s="8" t="s">
        <v>162</v>
      </c>
      <c r="L1030" s="8" t="s">
        <v>82</v>
      </c>
      <c r="M1030" s="8">
        <v>1</v>
      </c>
      <c r="N1030" s="10">
        <v>878.79</v>
      </c>
      <c r="O1030" s="11">
        <v>0.1</v>
      </c>
      <c r="P1030" s="10">
        <v>790.91</v>
      </c>
      <c r="Q1030" s="10">
        <v>383.47</v>
      </c>
      <c r="R1030" s="10">
        <v>407.44</v>
      </c>
      <c r="S1030" s="8" t="s">
        <v>53</v>
      </c>
      <c r="T1030" s="8" t="s">
        <v>147</v>
      </c>
      <c r="U1030" s="8">
        <v>3</v>
      </c>
      <c r="V1030" s="8" t="s">
        <v>72</v>
      </c>
    </row>
    <row r="1031" spans="1:22" x14ac:dyDescent="0.3">
      <c r="A1031" s="12" t="s">
        <v>1777</v>
      </c>
      <c r="B1031" s="13">
        <v>45890</v>
      </c>
      <c r="C1031" s="12" t="s">
        <v>48</v>
      </c>
      <c r="D1031" s="12" t="s">
        <v>49</v>
      </c>
      <c r="E1031" s="12" t="s">
        <v>39</v>
      </c>
      <c r="F1031" s="12" t="s">
        <v>1778</v>
      </c>
      <c r="G1031" s="12" t="s">
        <v>41</v>
      </c>
      <c r="H1031" s="12" t="s">
        <v>94</v>
      </c>
      <c r="I1031" s="12" t="s">
        <v>29</v>
      </c>
      <c r="J1031" s="12" t="s">
        <v>75</v>
      </c>
      <c r="K1031" s="12" t="s">
        <v>95</v>
      </c>
      <c r="L1031" s="12" t="s">
        <v>91</v>
      </c>
      <c r="M1031" s="12">
        <v>3</v>
      </c>
      <c r="N1031" s="14">
        <v>24740.76</v>
      </c>
      <c r="O1031" s="15">
        <v>0</v>
      </c>
      <c r="P1031" s="14">
        <v>74222.28</v>
      </c>
      <c r="Q1031" s="14">
        <v>54662.5</v>
      </c>
      <c r="R1031" s="14">
        <v>19559.78</v>
      </c>
      <c r="S1031" s="12" t="s">
        <v>53</v>
      </c>
      <c r="T1031" s="12" t="s">
        <v>147</v>
      </c>
      <c r="U1031" s="12">
        <v>5</v>
      </c>
      <c r="V1031" s="12" t="s">
        <v>72</v>
      </c>
    </row>
    <row r="1032" spans="1:22" x14ac:dyDescent="0.3">
      <c r="A1032" s="8" t="s">
        <v>1779</v>
      </c>
      <c r="B1032" s="9">
        <v>45741</v>
      </c>
      <c r="C1032" s="8" t="s">
        <v>57</v>
      </c>
      <c r="D1032" s="8" t="s">
        <v>58</v>
      </c>
      <c r="E1032" s="8" t="s">
        <v>59</v>
      </c>
      <c r="F1032" s="8" t="s">
        <v>967</v>
      </c>
      <c r="G1032" s="8" t="s">
        <v>41</v>
      </c>
      <c r="H1032" s="8" t="s">
        <v>28</v>
      </c>
      <c r="I1032" s="8" t="s">
        <v>61</v>
      </c>
      <c r="J1032" s="8" t="s">
        <v>75</v>
      </c>
      <c r="K1032" s="8" t="s">
        <v>154</v>
      </c>
      <c r="L1032" s="8" t="s">
        <v>32</v>
      </c>
      <c r="M1032" s="8">
        <v>1</v>
      </c>
      <c r="N1032" s="10">
        <v>2047.74</v>
      </c>
      <c r="O1032" s="11">
        <v>0.3</v>
      </c>
      <c r="P1032" s="10">
        <v>1433.42</v>
      </c>
      <c r="Q1032" s="10">
        <v>1052.1400000000001</v>
      </c>
      <c r="R1032" s="10">
        <v>381.28</v>
      </c>
      <c r="S1032" s="8" t="s">
        <v>83</v>
      </c>
      <c r="T1032" s="8" t="s">
        <v>104</v>
      </c>
      <c r="U1032" s="8">
        <v>5</v>
      </c>
      <c r="V1032" s="8" t="s">
        <v>55</v>
      </c>
    </row>
    <row r="1033" spans="1:22" x14ac:dyDescent="0.3">
      <c r="A1033" s="12" t="s">
        <v>1780</v>
      </c>
      <c r="B1033" s="13">
        <v>45781</v>
      </c>
      <c r="C1033" s="12" t="s">
        <v>113</v>
      </c>
      <c r="D1033" s="12" t="s">
        <v>114</v>
      </c>
      <c r="E1033" s="12" t="s">
        <v>59</v>
      </c>
      <c r="F1033" s="12" t="s">
        <v>1781</v>
      </c>
      <c r="G1033" s="12" t="s">
        <v>27</v>
      </c>
      <c r="H1033" s="12" t="s">
        <v>94</v>
      </c>
      <c r="I1033" s="12" t="s">
        <v>68</v>
      </c>
      <c r="J1033" s="12" t="s">
        <v>75</v>
      </c>
      <c r="K1033" s="12" t="s">
        <v>76</v>
      </c>
      <c r="L1033" s="12" t="s">
        <v>103</v>
      </c>
      <c r="M1033" s="12">
        <v>1</v>
      </c>
      <c r="N1033" s="14">
        <v>797.63</v>
      </c>
      <c r="O1033" s="15">
        <v>0.1</v>
      </c>
      <c r="P1033" s="14">
        <v>717.87</v>
      </c>
      <c r="Q1033" s="14">
        <v>365.94</v>
      </c>
      <c r="R1033" s="14">
        <v>351.93</v>
      </c>
      <c r="S1033" s="12" t="s">
        <v>83</v>
      </c>
      <c r="T1033" s="12" t="s">
        <v>71</v>
      </c>
      <c r="U1033" s="12">
        <v>4</v>
      </c>
      <c r="V1033" s="12" t="s">
        <v>134</v>
      </c>
    </row>
    <row r="1034" spans="1:22" x14ac:dyDescent="0.3">
      <c r="A1034" s="8" t="s">
        <v>1782</v>
      </c>
      <c r="B1034" s="9">
        <v>45693</v>
      </c>
      <c r="C1034" s="8" t="s">
        <v>131</v>
      </c>
      <c r="D1034" s="8" t="s">
        <v>132</v>
      </c>
      <c r="E1034" s="8" t="s">
        <v>25</v>
      </c>
      <c r="F1034" s="8" t="s">
        <v>1783</v>
      </c>
      <c r="G1034" s="8" t="s">
        <v>41</v>
      </c>
      <c r="H1034" s="8" t="s">
        <v>94</v>
      </c>
      <c r="I1034" s="8" t="s">
        <v>29</v>
      </c>
      <c r="J1034" s="8" t="s">
        <v>89</v>
      </c>
      <c r="K1034" s="8" t="s">
        <v>90</v>
      </c>
      <c r="L1034" s="8" t="s">
        <v>175</v>
      </c>
      <c r="M1034" s="8">
        <v>4</v>
      </c>
      <c r="N1034" s="10">
        <v>3651.97</v>
      </c>
      <c r="O1034" s="11">
        <v>0.2</v>
      </c>
      <c r="P1034" s="10">
        <v>11686.3</v>
      </c>
      <c r="Q1034" s="10">
        <v>8181.17</v>
      </c>
      <c r="R1034" s="10">
        <v>3505.13</v>
      </c>
      <c r="S1034" s="8" t="s">
        <v>53</v>
      </c>
      <c r="T1034" s="8" t="s">
        <v>147</v>
      </c>
      <c r="U1034" s="8">
        <v>5</v>
      </c>
      <c r="V1034" s="8" t="s">
        <v>105</v>
      </c>
    </row>
    <row r="1035" spans="1:22" x14ac:dyDescent="0.3">
      <c r="A1035" s="12" t="s">
        <v>1784</v>
      </c>
      <c r="B1035" s="13">
        <v>45814</v>
      </c>
      <c r="C1035" s="12" t="s">
        <v>125</v>
      </c>
      <c r="D1035" s="12" t="s">
        <v>126</v>
      </c>
      <c r="E1035" s="12" t="s">
        <v>25</v>
      </c>
      <c r="F1035" s="12" t="s">
        <v>1167</v>
      </c>
      <c r="G1035" s="12" t="s">
        <v>41</v>
      </c>
      <c r="H1035" s="12" t="s">
        <v>94</v>
      </c>
      <c r="I1035" s="12" t="s">
        <v>29</v>
      </c>
      <c r="J1035" s="12" t="s">
        <v>101</v>
      </c>
      <c r="K1035" s="12" t="s">
        <v>110</v>
      </c>
      <c r="L1035" s="12" t="s">
        <v>103</v>
      </c>
      <c r="M1035" s="12">
        <v>1</v>
      </c>
      <c r="N1035" s="14">
        <v>4837.28</v>
      </c>
      <c r="O1035" s="15">
        <v>0.2</v>
      </c>
      <c r="P1035" s="14">
        <v>3869.82</v>
      </c>
      <c r="Q1035" s="14">
        <v>3107.62</v>
      </c>
      <c r="R1035" s="14">
        <v>762.2</v>
      </c>
      <c r="S1035" s="12" t="s">
        <v>33</v>
      </c>
      <c r="T1035" s="12" t="s">
        <v>54</v>
      </c>
      <c r="U1035" s="12">
        <v>5</v>
      </c>
      <c r="V1035" s="12" t="s">
        <v>157</v>
      </c>
    </row>
    <row r="1036" spans="1:22" x14ac:dyDescent="0.3">
      <c r="A1036" s="8" t="s">
        <v>1785</v>
      </c>
      <c r="B1036" s="9">
        <v>45912</v>
      </c>
      <c r="C1036" s="8" t="s">
        <v>131</v>
      </c>
      <c r="D1036" s="8" t="s">
        <v>132</v>
      </c>
      <c r="E1036" s="8" t="s">
        <v>25</v>
      </c>
      <c r="F1036" s="8" t="s">
        <v>289</v>
      </c>
      <c r="G1036" s="8" t="s">
        <v>27</v>
      </c>
      <c r="H1036" s="8" t="s">
        <v>42</v>
      </c>
      <c r="I1036" s="8" t="s">
        <v>29</v>
      </c>
      <c r="J1036" s="8" t="s">
        <v>69</v>
      </c>
      <c r="K1036" s="8" t="s">
        <v>70</v>
      </c>
      <c r="L1036" s="8" t="s">
        <v>175</v>
      </c>
      <c r="M1036" s="8">
        <v>2</v>
      </c>
      <c r="N1036" s="10">
        <v>884.98</v>
      </c>
      <c r="O1036" s="11">
        <v>0.3</v>
      </c>
      <c r="P1036" s="10">
        <v>1238.97</v>
      </c>
      <c r="Q1036" s="10">
        <v>874.86</v>
      </c>
      <c r="R1036" s="10">
        <v>364.11</v>
      </c>
      <c r="S1036" s="8" t="s">
        <v>46</v>
      </c>
      <c r="T1036" s="8" t="s">
        <v>147</v>
      </c>
      <c r="U1036" s="8">
        <v>3</v>
      </c>
      <c r="V1036" s="8" t="s">
        <v>116</v>
      </c>
    </row>
    <row r="1037" spans="1:22" x14ac:dyDescent="0.3">
      <c r="A1037" s="12" t="s">
        <v>1786</v>
      </c>
      <c r="B1037" s="13">
        <v>45659</v>
      </c>
      <c r="C1037" s="12" t="s">
        <v>131</v>
      </c>
      <c r="D1037" s="12" t="s">
        <v>132</v>
      </c>
      <c r="E1037" s="12" t="s">
        <v>25</v>
      </c>
      <c r="F1037" s="12" t="s">
        <v>1787</v>
      </c>
      <c r="G1037" s="12" t="s">
        <v>41</v>
      </c>
      <c r="H1037" s="12" t="s">
        <v>81</v>
      </c>
      <c r="I1037" s="12" t="s">
        <v>29</v>
      </c>
      <c r="J1037" s="12" t="s">
        <v>75</v>
      </c>
      <c r="K1037" s="12" t="s">
        <v>95</v>
      </c>
      <c r="L1037" s="12" t="s">
        <v>82</v>
      </c>
      <c r="M1037" s="12">
        <v>1</v>
      </c>
      <c r="N1037" s="14">
        <v>25689.01</v>
      </c>
      <c r="O1037" s="15">
        <v>0.05</v>
      </c>
      <c r="P1037" s="14">
        <v>24404.560000000001</v>
      </c>
      <c r="Q1037" s="14">
        <v>17461.46</v>
      </c>
      <c r="R1037" s="14">
        <v>6943.1</v>
      </c>
      <c r="S1037" s="12" t="s">
        <v>46</v>
      </c>
      <c r="T1037" s="12" t="s">
        <v>54</v>
      </c>
      <c r="U1037" s="12">
        <v>3</v>
      </c>
      <c r="V1037" s="12" t="s">
        <v>84</v>
      </c>
    </row>
    <row r="1038" spans="1:22" x14ac:dyDescent="0.3">
      <c r="A1038" s="8" t="s">
        <v>1788</v>
      </c>
      <c r="B1038" s="9">
        <v>45863</v>
      </c>
      <c r="C1038" s="8" t="s">
        <v>98</v>
      </c>
      <c r="D1038" s="8" t="s">
        <v>99</v>
      </c>
      <c r="E1038" s="8" t="s">
        <v>25</v>
      </c>
      <c r="F1038" s="8" t="s">
        <v>1789</v>
      </c>
      <c r="G1038" s="8" t="s">
        <v>27</v>
      </c>
      <c r="H1038" s="8" t="s">
        <v>94</v>
      </c>
      <c r="I1038" s="8" t="s">
        <v>61</v>
      </c>
      <c r="J1038" s="8" t="s">
        <v>69</v>
      </c>
      <c r="K1038" s="8" t="s">
        <v>137</v>
      </c>
      <c r="L1038" s="8" t="s">
        <v>82</v>
      </c>
      <c r="M1038" s="8">
        <v>3</v>
      </c>
      <c r="N1038" s="10">
        <v>494.61</v>
      </c>
      <c r="O1038" s="11">
        <v>0.25</v>
      </c>
      <c r="P1038" s="10">
        <v>1112.8699999999999</v>
      </c>
      <c r="Q1038" s="10">
        <v>639.70000000000005</v>
      </c>
      <c r="R1038" s="10">
        <v>473.17</v>
      </c>
      <c r="S1038" s="8" t="s">
        <v>63</v>
      </c>
      <c r="T1038" s="8" t="s">
        <v>78</v>
      </c>
      <c r="U1038" s="8">
        <v>3</v>
      </c>
      <c r="V1038" s="8" t="s">
        <v>120</v>
      </c>
    </row>
    <row r="1039" spans="1:22" x14ac:dyDescent="0.3">
      <c r="A1039" s="12" t="s">
        <v>1790</v>
      </c>
      <c r="B1039" s="13">
        <v>45992</v>
      </c>
      <c r="C1039" s="12" t="s">
        <v>86</v>
      </c>
      <c r="D1039" s="12" t="s">
        <v>87</v>
      </c>
      <c r="E1039" s="12" t="s">
        <v>59</v>
      </c>
      <c r="F1039" s="12" t="s">
        <v>100</v>
      </c>
      <c r="G1039" s="12" t="s">
        <v>41</v>
      </c>
      <c r="H1039" s="12" t="s">
        <v>94</v>
      </c>
      <c r="I1039" s="12" t="s">
        <v>61</v>
      </c>
      <c r="J1039" s="12" t="s">
        <v>89</v>
      </c>
      <c r="K1039" s="12" t="s">
        <v>89</v>
      </c>
      <c r="L1039" s="12" t="s">
        <v>103</v>
      </c>
      <c r="M1039" s="12">
        <v>4</v>
      </c>
      <c r="N1039" s="14">
        <v>1335.82</v>
      </c>
      <c r="O1039" s="15">
        <v>0.1</v>
      </c>
      <c r="P1039" s="14">
        <v>4808.95</v>
      </c>
      <c r="Q1039" s="14">
        <v>2782.98</v>
      </c>
      <c r="R1039" s="14">
        <v>2025.97</v>
      </c>
      <c r="S1039" s="12" t="s">
        <v>63</v>
      </c>
      <c r="T1039" s="12" t="s">
        <v>78</v>
      </c>
      <c r="U1039" s="12">
        <v>4</v>
      </c>
      <c r="V1039" s="12" t="s">
        <v>35</v>
      </c>
    </row>
    <row r="1040" spans="1:22" x14ac:dyDescent="0.3">
      <c r="A1040" s="8" t="s">
        <v>1791</v>
      </c>
      <c r="B1040" s="9">
        <v>45939</v>
      </c>
      <c r="C1040" s="8" t="s">
        <v>23</v>
      </c>
      <c r="D1040" s="8" t="s">
        <v>24</v>
      </c>
      <c r="E1040" s="8" t="s">
        <v>25</v>
      </c>
      <c r="F1040" s="8" t="s">
        <v>1171</v>
      </c>
      <c r="G1040" s="8" t="s">
        <v>27</v>
      </c>
      <c r="H1040" s="8" t="s">
        <v>28</v>
      </c>
      <c r="I1040" s="8" t="s">
        <v>29</v>
      </c>
      <c r="J1040" s="8" t="s">
        <v>43</v>
      </c>
      <c r="K1040" s="8" t="s">
        <v>162</v>
      </c>
      <c r="L1040" s="8" t="s">
        <v>82</v>
      </c>
      <c r="M1040" s="8">
        <v>3</v>
      </c>
      <c r="N1040" s="10">
        <v>942.33</v>
      </c>
      <c r="O1040" s="11">
        <v>0.2</v>
      </c>
      <c r="P1040" s="10">
        <v>2261.59</v>
      </c>
      <c r="Q1040" s="10">
        <v>1235.69</v>
      </c>
      <c r="R1040" s="10">
        <v>1025.9000000000001</v>
      </c>
      <c r="S1040" s="8" t="s">
        <v>83</v>
      </c>
      <c r="T1040" s="8" t="s">
        <v>156</v>
      </c>
      <c r="U1040" s="8">
        <v>4</v>
      </c>
      <c r="V1040" s="8" t="s">
        <v>123</v>
      </c>
    </row>
    <row r="1041" spans="1:22" x14ac:dyDescent="0.3">
      <c r="A1041" s="12" t="s">
        <v>1792</v>
      </c>
      <c r="B1041" s="13">
        <v>45714</v>
      </c>
      <c r="C1041" s="12" t="s">
        <v>107</v>
      </c>
      <c r="D1041" s="12" t="s">
        <v>108</v>
      </c>
      <c r="E1041" s="12" t="s">
        <v>39</v>
      </c>
      <c r="F1041" s="12" t="s">
        <v>1793</v>
      </c>
      <c r="G1041" s="12" t="s">
        <v>41</v>
      </c>
      <c r="H1041" s="12" t="s">
        <v>81</v>
      </c>
      <c r="I1041" s="12" t="s">
        <v>61</v>
      </c>
      <c r="J1041" s="12" t="s">
        <v>89</v>
      </c>
      <c r="K1041" s="12" t="s">
        <v>89</v>
      </c>
      <c r="L1041" s="12" t="s">
        <v>52</v>
      </c>
      <c r="M1041" s="12">
        <v>2</v>
      </c>
      <c r="N1041" s="14">
        <v>1254.31</v>
      </c>
      <c r="O1041" s="15">
        <v>0</v>
      </c>
      <c r="P1041" s="14">
        <v>2508.62</v>
      </c>
      <c r="Q1041" s="14">
        <v>1424.72</v>
      </c>
      <c r="R1041" s="14">
        <v>1083.9000000000001</v>
      </c>
      <c r="S1041" s="12" t="s">
        <v>63</v>
      </c>
      <c r="T1041" s="12" t="s">
        <v>156</v>
      </c>
      <c r="U1041" s="12">
        <v>3</v>
      </c>
      <c r="V1041" s="12" t="s">
        <v>105</v>
      </c>
    </row>
    <row r="1042" spans="1:22" x14ac:dyDescent="0.3">
      <c r="A1042" s="8" t="s">
        <v>1794</v>
      </c>
      <c r="B1042" s="9">
        <v>45931</v>
      </c>
      <c r="C1042" s="8" t="s">
        <v>57</v>
      </c>
      <c r="D1042" s="8" t="s">
        <v>58</v>
      </c>
      <c r="E1042" s="8" t="s">
        <v>59</v>
      </c>
      <c r="F1042" s="8" t="s">
        <v>865</v>
      </c>
      <c r="G1042" s="8" t="s">
        <v>27</v>
      </c>
      <c r="H1042" s="8" t="s">
        <v>42</v>
      </c>
      <c r="I1042" s="8" t="s">
        <v>61</v>
      </c>
      <c r="J1042" s="8" t="s">
        <v>75</v>
      </c>
      <c r="K1042" s="8" t="s">
        <v>95</v>
      </c>
      <c r="L1042" s="8" t="s">
        <v>32</v>
      </c>
      <c r="M1042" s="8">
        <v>3</v>
      </c>
      <c r="N1042" s="10">
        <v>25239.63</v>
      </c>
      <c r="O1042" s="11">
        <v>0.05</v>
      </c>
      <c r="P1042" s="10">
        <v>71932.95</v>
      </c>
      <c r="Q1042" s="10">
        <v>53267.31</v>
      </c>
      <c r="R1042" s="10">
        <v>18665.64</v>
      </c>
      <c r="S1042" s="8" t="s">
        <v>53</v>
      </c>
      <c r="T1042" s="8" t="s">
        <v>156</v>
      </c>
      <c r="U1042" s="8">
        <v>4</v>
      </c>
      <c r="V1042" s="8" t="s">
        <v>123</v>
      </c>
    </row>
    <row r="1043" spans="1:22" x14ac:dyDescent="0.3">
      <c r="A1043" s="12" t="s">
        <v>1795</v>
      </c>
      <c r="B1043" s="13">
        <v>45865</v>
      </c>
      <c r="C1043" s="12" t="s">
        <v>57</v>
      </c>
      <c r="D1043" s="12" t="s">
        <v>58</v>
      </c>
      <c r="E1043" s="12" t="s">
        <v>59</v>
      </c>
      <c r="F1043" s="12" t="s">
        <v>880</v>
      </c>
      <c r="G1043" s="12" t="s">
        <v>27</v>
      </c>
      <c r="H1043" s="12" t="s">
        <v>81</v>
      </c>
      <c r="I1043" s="12" t="s">
        <v>61</v>
      </c>
      <c r="J1043" s="12" t="s">
        <v>101</v>
      </c>
      <c r="K1043" s="12" t="s">
        <v>217</v>
      </c>
      <c r="L1043" s="12" t="s">
        <v>52</v>
      </c>
      <c r="M1043" s="12">
        <v>4</v>
      </c>
      <c r="N1043" s="14">
        <v>3115.42</v>
      </c>
      <c r="O1043" s="15">
        <v>0</v>
      </c>
      <c r="P1043" s="14">
        <v>12461.68</v>
      </c>
      <c r="Q1043" s="14">
        <v>7075.89</v>
      </c>
      <c r="R1043" s="14">
        <v>5385.79</v>
      </c>
      <c r="S1043" s="12" t="s">
        <v>63</v>
      </c>
      <c r="T1043" s="12" t="s">
        <v>156</v>
      </c>
      <c r="U1043" s="12">
        <v>4</v>
      </c>
      <c r="V1043" s="12" t="s">
        <v>120</v>
      </c>
    </row>
    <row r="1044" spans="1:22" x14ac:dyDescent="0.3">
      <c r="A1044" s="8" t="s">
        <v>1796</v>
      </c>
      <c r="B1044" s="9">
        <v>45689</v>
      </c>
      <c r="C1044" s="8" t="s">
        <v>107</v>
      </c>
      <c r="D1044" s="8" t="s">
        <v>108</v>
      </c>
      <c r="E1044" s="8" t="s">
        <v>39</v>
      </c>
      <c r="F1044" s="8" t="s">
        <v>508</v>
      </c>
      <c r="G1044" s="8" t="s">
        <v>41</v>
      </c>
      <c r="H1044" s="8" t="s">
        <v>28</v>
      </c>
      <c r="I1044" s="8" t="s">
        <v>68</v>
      </c>
      <c r="J1044" s="8" t="s">
        <v>43</v>
      </c>
      <c r="K1044" s="8" t="s">
        <v>51</v>
      </c>
      <c r="L1044" s="8" t="s">
        <v>175</v>
      </c>
      <c r="M1044" s="8">
        <v>4</v>
      </c>
      <c r="N1044" s="10">
        <v>1519.12</v>
      </c>
      <c r="O1044" s="11">
        <v>0.15</v>
      </c>
      <c r="P1044" s="10">
        <v>5165.01</v>
      </c>
      <c r="Q1044" s="10">
        <v>2781.05</v>
      </c>
      <c r="R1044" s="10">
        <v>2383.96</v>
      </c>
      <c r="S1044" s="8" t="s">
        <v>53</v>
      </c>
      <c r="T1044" s="8" t="s">
        <v>104</v>
      </c>
      <c r="U1044" s="8">
        <v>3</v>
      </c>
      <c r="V1044" s="8" t="s">
        <v>105</v>
      </c>
    </row>
    <row r="1045" spans="1:22" x14ac:dyDescent="0.3">
      <c r="A1045" s="12" t="s">
        <v>1797</v>
      </c>
      <c r="B1045" s="13">
        <v>45930</v>
      </c>
      <c r="C1045" s="12" t="s">
        <v>57</v>
      </c>
      <c r="D1045" s="12" t="s">
        <v>58</v>
      </c>
      <c r="E1045" s="12" t="s">
        <v>59</v>
      </c>
      <c r="F1045" s="12" t="s">
        <v>1277</v>
      </c>
      <c r="G1045" s="12" t="s">
        <v>27</v>
      </c>
      <c r="H1045" s="12" t="s">
        <v>81</v>
      </c>
      <c r="I1045" s="12" t="s">
        <v>68</v>
      </c>
      <c r="J1045" s="12" t="s">
        <v>101</v>
      </c>
      <c r="K1045" s="12" t="s">
        <v>217</v>
      </c>
      <c r="L1045" s="12" t="s">
        <v>52</v>
      </c>
      <c r="M1045" s="12">
        <v>4</v>
      </c>
      <c r="N1045" s="14">
        <v>2956.36</v>
      </c>
      <c r="O1045" s="15">
        <v>0</v>
      </c>
      <c r="P1045" s="14">
        <v>11825.44</v>
      </c>
      <c r="Q1045" s="14">
        <v>6862.05</v>
      </c>
      <c r="R1045" s="14">
        <v>4963.3900000000003</v>
      </c>
      <c r="S1045" s="12" t="s">
        <v>33</v>
      </c>
      <c r="T1045" s="12" t="s">
        <v>119</v>
      </c>
      <c r="U1045" s="12">
        <v>3</v>
      </c>
      <c r="V1045" s="12" t="s">
        <v>116</v>
      </c>
    </row>
    <row r="1046" spans="1:22" x14ac:dyDescent="0.3">
      <c r="A1046" s="8" t="s">
        <v>1798</v>
      </c>
      <c r="B1046" s="9">
        <v>45726</v>
      </c>
      <c r="C1046" s="8" t="s">
        <v>107</v>
      </c>
      <c r="D1046" s="8" t="s">
        <v>108</v>
      </c>
      <c r="E1046" s="8" t="s">
        <v>39</v>
      </c>
      <c r="F1046" s="8" t="s">
        <v>161</v>
      </c>
      <c r="G1046" s="8" t="s">
        <v>41</v>
      </c>
      <c r="H1046" s="8" t="s">
        <v>28</v>
      </c>
      <c r="I1046" s="8" t="s">
        <v>68</v>
      </c>
      <c r="J1046" s="8" t="s">
        <v>43</v>
      </c>
      <c r="K1046" s="8" t="s">
        <v>51</v>
      </c>
      <c r="L1046" s="8" t="s">
        <v>52</v>
      </c>
      <c r="M1046" s="8">
        <v>1</v>
      </c>
      <c r="N1046" s="10">
        <v>1556.46</v>
      </c>
      <c r="O1046" s="11">
        <v>0.15</v>
      </c>
      <c r="P1046" s="10">
        <v>1322.99</v>
      </c>
      <c r="Q1046" s="10">
        <v>719.85</v>
      </c>
      <c r="R1046" s="10">
        <v>603.14</v>
      </c>
      <c r="S1046" s="8" t="s">
        <v>53</v>
      </c>
      <c r="T1046" s="8" t="s">
        <v>54</v>
      </c>
      <c r="U1046" s="8">
        <v>4</v>
      </c>
      <c r="V1046" s="8" t="s">
        <v>55</v>
      </c>
    </row>
    <row r="1047" spans="1:22" x14ac:dyDescent="0.3">
      <c r="A1047" s="12" t="s">
        <v>1799</v>
      </c>
      <c r="B1047" s="13">
        <v>45923</v>
      </c>
      <c r="C1047" s="12" t="s">
        <v>125</v>
      </c>
      <c r="D1047" s="12" t="s">
        <v>126</v>
      </c>
      <c r="E1047" s="12" t="s">
        <v>25</v>
      </c>
      <c r="F1047" s="12" t="s">
        <v>1800</v>
      </c>
      <c r="G1047" s="12" t="s">
        <v>27</v>
      </c>
      <c r="H1047" s="12" t="s">
        <v>28</v>
      </c>
      <c r="I1047" s="12" t="s">
        <v>61</v>
      </c>
      <c r="J1047" s="12" t="s">
        <v>75</v>
      </c>
      <c r="K1047" s="12" t="s">
        <v>154</v>
      </c>
      <c r="L1047" s="12" t="s">
        <v>52</v>
      </c>
      <c r="M1047" s="12">
        <v>1</v>
      </c>
      <c r="N1047" s="14">
        <v>2054.58</v>
      </c>
      <c r="O1047" s="15">
        <v>0.3</v>
      </c>
      <c r="P1047" s="14">
        <v>1438.21</v>
      </c>
      <c r="Q1047" s="14">
        <v>1076.1400000000001</v>
      </c>
      <c r="R1047" s="14">
        <v>362.07</v>
      </c>
      <c r="S1047" s="12" t="s">
        <v>63</v>
      </c>
      <c r="T1047" s="12" t="s">
        <v>111</v>
      </c>
      <c r="U1047" s="12">
        <v>3</v>
      </c>
      <c r="V1047" s="12" t="s">
        <v>116</v>
      </c>
    </row>
    <row r="1048" spans="1:22" x14ac:dyDescent="0.3">
      <c r="A1048" s="8" t="s">
        <v>1801</v>
      </c>
      <c r="B1048" s="9">
        <v>45874</v>
      </c>
      <c r="C1048" s="8" t="s">
        <v>113</v>
      </c>
      <c r="D1048" s="8" t="s">
        <v>114</v>
      </c>
      <c r="E1048" s="8" t="s">
        <v>59</v>
      </c>
      <c r="F1048" s="8" t="s">
        <v>1802</v>
      </c>
      <c r="G1048" s="8" t="s">
        <v>27</v>
      </c>
      <c r="H1048" s="8" t="s">
        <v>28</v>
      </c>
      <c r="I1048" s="8" t="s">
        <v>61</v>
      </c>
      <c r="J1048" s="8" t="s">
        <v>69</v>
      </c>
      <c r="K1048" s="8" t="s">
        <v>180</v>
      </c>
      <c r="L1048" s="8" t="s">
        <v>91</v>
      </c>
      <c r="M1048" s="8">
        <v>1</v>
      </c>
      <c r="N1048" s="10">
        <v>1510.11</v>
      </c>
      <c r="O1048" s="11">
        <v>0.15</v>
      </c>
      <c r="P1048" s="10">
        <v>1283.5899999999999</v>
      </c>
      <c r="Q1048" s="10">
        <v>877.43</v>
      </c>
      <c r="R1048" s="10">
        <v>406.16</v>
      </c>
      <c r="S1048" s="8" t="s">
        <v>83</v>
      </c>
      <c r="T1048" s="8" t="s">
        <v>54</v>
      </c>
      <c r="U1048" s="8">
        <v>4</v>
      </c>
      <c r="V1048" s="8" t="s">
        <v>72</v>
      </c>
    </row>
    <row r="1049" spans="1:22" x14ac:dyDescent="0.3">
      <c r="A1049" s="12" t="s">
        <v>1803</v>
      </c>
      <c r="B1049" s="13">
        <v>45845</v>
      </c>
      <c r="C1049" s="12" t="s">
        <v>98</v>
      </c>
      <c r="D1049" s="12" t="s">
        <v>99</v>
      </c>
      <c r="E1049" s="12" t="s">
        <v>25</v>
      </c>
      <c r="F1049" s="12" t="s">
        <v>967</v>
      </c>
      <c r="G1049" s="12" t="s">
        <v>27</v>
      </c>
      <c r="H1049" s="12" t="s">
        <v>42</v>
      </c>
      <c r="I1049" s="12" t="s">
        <v>68</v>
      </c>
      <c r="J1049" s="12" t="s">
        <v>89</v>
      </c>
      <c r="K1049" s="12" t="s">
        <v>89</v>
      </c>
      <c r="L1049" s="12" t="s">
        <v>82</v>
      </c>
      <c r="M1049" s="12">
        <v>1</v>
      </c>
      <c r="N1049" s="14">
        <v>1267.75</v>
      </c>
      <c r="O1049" s="15">
        <v>0.3</v>
      </c>
      <c r="P1049" s="14">
        <v>887.42</v>
      </c>
      <c r="Q1049" s="14">
        <v>693.12</v>
      </c>
      <c r="R1049" s="14">
        <v>194.3</v>
      </c>
      <c r="S1049" s="12" t="s">
        <v>33</v>
      </c>
      <c r="T1049" s="12" t="s">
        <v>64</v>
      </c>
      <c r="U1049" s="12">
        <v>4</v>
      </c>
      <c r="V1049" s="12" t="s">
        <v>120</v>
      </c>
    </row>
    <row r="1050" spans="1:22" x14ac:dyDescent="0.3">
      <c r="A1050" s="8" t="s">
        <v>1804</v>
      </c>
      <c r="B1050" s="9">
        <v>45940</v>
      </c>
      <c r="C1050" s="8" t="s">
        <v>113</v>
      </c>
      <c r="D1050" s="8" t="s">
        <v>114</v>
      </c>
      <c r="E1050" s="8" t="s">
        <v>59</v>
      </c>
      <c r="F1050" s="8" t="s">
        <v>1248</v>
      </c>
      <c r="G1050" s="8" t="s">
        <v>41</v>
      </c>
      <c r="H1050" s="8" t="s">
        <v>28</v>
      </c>
      <c r="I1050" s="8" t="s">
        <v>68</v>
      </c>
      <c r="J1050" s="8" t="s">
        <v>89</v>
      </c>
      <c r="K1050" s="8" t="s">
        <v>151</v>
      </c>
      <c r="L1050" s="8" t="s">
        <v>77</v>
      </c>
      <c r="M1050" s="8">
        <v>3</v>
      </c>
      <c r="N1050" s="10">
        <v>1033.52</v>
      </c>
      <c r="O1050" s="11">
        <v>0.25</v>
      </c>
      <c r="P1050" s="10">
        <v>2325.42</v>
      </c>
      <c r="Q1050" s="10">
        <v>1516.25</v>
      </c>
      <c r="R1050" s="10">
        <v>809.17</v>
      </c>
      <c r="S1050" s="8" t="s">
        <v>83</v>
      </c>
      <c r="T1050" s="8" t="s">
        <v>119</v>
      </c>
      <c r="U1050" s="8">
        <v>4</v>
      </c>
      <c r="V1050" s="8" t="s">
        <v>123</v>
      </c>
    </row>
    <row r="1051" spans="1:22" x14ac:dyDescent="0.3">
      <c r="A1051" s="12" t="s">
        <v>1805</v>
      </c>
      <c r="B1051" s="13">
        <v>45683</v>
      </c>
      <c r="C1051" s="12" t="s">
        <v>37</v>
      </c>
      <c r="D1051" s="12" t="s">
        <v>38</v>
      </c>
      <c r="E1051" s="12" t="s">
        <v>39</v>
      </c>
      <c r="F1051" s="12" t="s">
        <v>281</v>
      </c>
      <c r="G1051" s="12" t="s">
        <v>27</v>
      </c>
      <c r="H1051" s="12" t="s">
        <v>28</v>
      </c>
      <c r="I1051" s="12" t="s">
        <v>61</v>
      </c>
      <c r="J1051" s="12" t="s">
        <v>75</v>
      </c>
      <c r="K1051" s="12" t="s">
        <v>76</v>
      </c>
      <c r="L1051" s="12" t="s">
        <v>175</v>
      </c>
      <c r="M1051" s="12">
        <v>3</v>
      </c>
      <c r="N1051" s="14">
        <v>798.58</v>
      </c>
      <c r="O1051" s="15">
        <v>0.3</v>
      </c>
      <c r="P1051" s="14">
        <v>1677.02</v>
      </c>
      <c r="Q1051" s="14">
        <v>1036.07</v>
      </c>
      <c r="R1051" s="14">
        <v>640.95000000000005</v>
      </c>
      <c r="S1051" s="12" t="s">
        <v>46</v>
      </c>
      <c r="T1051" s="12" t="s">
        <v>54</v>
      </c>
      <c r="U1051" s="12">
        <v>3</v>
      </c>
      <c r="V1051" s="12" t="s">
        <v>84</v>
      </c>
    </row>
    <row r="1052" spans="1:22" x14ac:dyDescent="0.3">
      <c r="A1052" s="8" t="s">
        <v>1806</v>
      </c>
      <c r="B1052" s="9">
        <v>45809</v>
      </c>
      <c r="C1052" s="8" t="s">
        <v>23</v>
      </c>
      <c r="D1052" s="8" t="s">
        <v>24</v>
      </c>
      <c r="E1052" s="8" t="s">
        <v>25</v>
      </c>
      <c r="F1052" s="8" t="s">
        <v>1297</v>
      </c>
      <c r="G1052" s="8" t="s">
        <v>27</v>
      </c>
      <c r="H1052" s="8" t="s">
        <v>28</v>
      </c>
      <c r="I1052" s="8" t="s">
        <v>68</v>
      </c>
      <c r="J1052" s="8" t="s">
        <v>75</v>
      </c>
      <c r="K1052" s="8" t="s">
        <v>76</v>
      </c>
      <c r="L1052" s="8" t="s">
        <v>82</v>
      </c>
      <c r="M1052" s="8">
        <v>1</v>
      </c>
      <c r="N1052" s="10">
        <v>816.83</v>
      </c>
      <c r="O1052" s="11">
        <v>0.25</v>
      </c>
      <c r="P1052" s="10">
        <v>612.62</v>
      </c>
      <c r="Q1052" s="10">
        <v>352.63</v>
      </c>
      <c r="R1052" s="10">
        <v>259.99</v>
      </c>
      <c r="S1052" s="8" t="s">
        <v>83</v>
      </c>
      <c r="T1052" s="8" t="s">
        <v>156</v>
      </c>
      <c r="U1052" s="8">
        <v>3</v>
      </c>
      <c r="V1052" s="8" t="s">
        <v>157</v>
      </c>
    </row>
    <row r="1053" spans="1:22" x14ac:dyDescent="0.3">
      <c r="A1053" s="12" t="s">
        <v>1807</v>
      </c>
      <c r="B1053" s="13">
        <v>45662</v>
      </c>
      <c r="C1053" s="12" t="s">
        <v>131</v>
      </c>
      <c r="D1053" s="12" t="s">
        <v>132</v>
      </c>
      <c r="E1053" s="12" t="s">
        <v>25</v>
      </c>
      <c r="F1053" s="12" t="s">
        <v>1317</v>
      </c>
      <c r="G1053" s="12" t="s">
        <v>41</v>
      </c>
      <c r="H1053" s="12" t="s">
        <v>42</v>
      </c>
      <c r="I1053" s="12" t="s">
        <v>61</v>
      </c>
      <c r="J1053" s="12" t="s">
        <v>89</v>
      </c>
      <c r="K1053" s="12" t="s">
        <v>151</v>
      </c>
      <c r="L1053" s="12" t="s">
        <v>103</v>
      </c>
      <c r="M1053" s="12">
        <v>5</v>
      </c>
      <c r="N1053" s="14">
        <v>1023.77</v>
      </c>
      <c r="O1053" s="15">
        <v>0.15</v>
      </c>
      <c r="P1053" s="14">
        <v>4351.0200000000004</v>
      </c>
      <c r="Q1053" s="14">
        <v>2471.2199999999998</v>
      </c>
      <c r="R1053" s="14">
        <v>1879.8</v>
      </c>
      <c r="S1053" s="12" t="s">
        <v>46</v>
      </c>
      <c r="T1053" s="12" t="s">
        <v>156</v>
      </c>
      <c r="U1053" s="12">
        <v>4</v>
      </c>
      <c r="V1053" s="12" t="s">
        <v>84</v>
      </c>
    </row>
    <row r="1054" spans="1:22" x14ac:dyDescent="0.3">
      <c r="A1054" s="8" t="s">
        <v>1808</v>
      </c>
      <c r="B1054" s="9">
        <v>45796</v>
      </c>
      <c r="C1054" s="8" t="s">
        <v>23</v>
      </c>
      <c r="D1054" s="8" t="s">
        <v>24</v>
      </c>
      <c r="E1054" s="8" t="s">
        <v>25</v>
      </c>
      <c r="F1054" s="8" t="s">
        <v>895</v>
      </c>
      <c r="G1054" s="8" t="s">
        <v>41</v>
      </c>
      <c r="H1054" s="8" t="s">
        <v>28</v>
      </c>
      <c r="I1054" s="8" t="s">
        <v>29</v>
      </c>
      <c r="J1054" s="8" t="s">
        <v>89</v>
      </c>
      <c r="K1054" s="8" t="s">
        <v>89</v>
      </c>
      <c r="L1054" s="8" t="s">
        <v>103</v>
      </c>
      <c r="M1054" s="8">
        <v>3</v>
      </c>
      <c r="N1054" s="10">
        <v>1305.1099999999999</v>
      </c>
      <c r="O1054" s="11">
        <v>0.2</v>
      </c>
      <c r="P1054" s="10">
        <v>3132.26</v>
      </c>
      <c r="Q1054" s="10">
        <v>2122.9699999999998</v>
      </c>
      <c r="R1054" s="10">
        <v>1009.29</v>
      </c>
      <c r="S1054" s="8" t="s">
        <v>46</v>
      </c>
      <c r="T1054" s="8" t="s">
        <v>119</v>
      </c>
      <c r="U1054" s="8">
        <v>3</v>
      </c>
      <c r="V1054" s="8" t="s">
        <v>134</v>
      </c>
    </row>
    <row r="1055" spans="1:22" x14ac:dyDescent="0.3">
      <c r="A1055" s="12" t="s">
        <v>1809</v>
      </c>
      <c r="B1055" s="13">
        <v>45977</v>
      </c>
      <c r="C1055" s="12" t="s">
        <v>131</v>
      </c>
      <c r="D1055" s="12" t="s">
        <v>132</v>
      </c>
      <c r="E1055" s="12" t="s">
        <v>25</v>
      </c>
      <c r="F1055" s="12" t="s">
        <v>1403</v>
      </c>
      <c r="G1055" s="12" t="s">
        <v>27</v>
      </c>
      <c r="H1055" s="12" t="s">
        <v>28</v>
      </c>
      <c r="I1055" s="12" t="s">
        <v>68</v>
      </c>
      <c r="J1055" s="12" t="s">
        <v>30</v>
      </c>
      <c r="K1055" s="12" t="s">
        <v>31</v>
      </c>
      <c r="L1055" s="12" t="s">
        <v>77</v>
      </c>
      <c r="M1055" s="12">
        <v>4</v>
      </c>
      <c r="N1055" s="14">
        <v>4024.97</v>
      </c>
      <c r="O1055" s="15">
        <v>0.1</v>
      </c>
      <c r="P1055" s="14">
        <v>14489.89</v>
      </c>
      <c r="Q1055" s="14">
        <v>9058.84</v>
      </c>
      <c r="R1055" s="14">
        <v>5431.05</v>
      </c>
      <c r="S1055" s="12" t="s">
        <v>33</v>
      </c>
      <c r="T1055" s="12" t="s">
        <v>119</v>
      </c>
      <c r="U1055" s="12">
        <v>3</v>
      </c>
      <c r="V1055" s="12" t="s">
        <v>65</v>
      </c>
    </row>
    <row r="1056" spans="1:22" x14ac:dyDescent="0.3">
      <c r="A1056" s="8" t="s">
        <v>1810</v>
      </c>
      <c r="B1056" s="9">
        <v>45745</v>
      </c>
      <c r="C1056" s="8" t="s">
        <v>57</v>
      </c>
      <c r="D1056" s="8" t="s">
        <v>58</v>
      </c>
      <c r="E1056" s="8" t="s">
        <v>59</v>
      </c>
      <c r="F1056" s="8" t="s">
        <v>1811</v>
      </c>
      <c r="G1056" s="8" t="s">
        <v>27</v>
      </c>
      <c r="H1056" s="8" t="s">
        <v>94</v>
      </c>
      <c r="I1056" s="8" t="s">
        <v>61</v>
      </c>
      <c r="J1056" s="8" t="s">
        <v>75</v>
      </c>
      <c r="K1056" s="8" t="s">
        <v>95</v>
      </c>
      <c r="L1056" s="8" t="s">
        <v>103</v>
      </c>
      <c r="M1056" s="8">
        <v>2</v>
      </c>
      <c r="N1056" s="10">
        <v>26039.53</v>
      </c>
      <c r="O1056" s="11">
        <v>0.15</v>
      </c>
      <c r="P1056" s="10">
        <v>44267.199999999997</v>
      </c>
      <c r="Q1056" s="10">
        <v>37515.21</v>
      </c>
      <c r="R1056" s="10">
        <v>6751.99</v>
      </c>
      <c r="S1056" s="8" t="s">
        <v>33</v>
      </c>
      <c r="T1056" s="8" t="s">
        <v>147</v>
      </c>
      <c r="U1056" s="8">
        <v>4</v>
      </c>
      <c r="V1056" s="8" t="s">
        <v>55</v>
      </c>
    </row>
    <row r="1057" spans="1:22" x14ac:dyDescent="0.3">
      <c r="A1057" s="12" t="s">
        <v>1812</v>
      </c>
      <c r="B1057" s="13">
        <v>45801</v>
      </c>
      <c r="C1057" s="12" t="s">
        <v>131</v>
      </c>
      <c r="D1057" s="12" t="s">
        <v>132</v>
      </c>
      <c r="E1057" s="12" t="s">
        <v>25</v>
      </c>
      <c r="F1057" s="12" t="s">
        <v>1813</v>
      </c>
      <c r="G1057" s="12" t="s">
        <v>41</v>
      </c>
      <c r="H1057" s="12" t="s">
        <v>28</v>
      </c>
      <c r="I1057" s="12" t="s">
        <v>68</v>
      </c>
      <c r="J1057" s="12" t="s">
        <v>75</v>
      </c>
      <c r="K1057" s="12" t="s">
        <v>154</v>
      </c>
      <c r="L1057" s="12" t="s">
        <v>82</v>
      </c>
      <c r="M1057" s="12">
        <v>2</v>
      </c>
      <c r="N1057" s="14">
        <v>1992.48</v>
      </c>
      <c r="O1057" s="15">
        <v>0.3</v>
      </c>
      <c r="P1057" s="14">
        <v>2789.47</v>
      </c>
      <c r="Q1057" s="14">
        <v>2195.0500000000002</v>
      </c>
      <c r="R1057" s="14">
        <v>594.41999999999996</v>
      </c>
      <c r="S1057" s="12" t="s">
        <v>53</v>
      </c>
      <c r="T1057" s="12" t="s">
        <v>147</v>
      </c>
      <c r="U1057" s="12">
        <v>3</v>
      </c>
      <c r="V1057" s="12" t="s">
        <v>134</v>
      </c>
    </row>
    <row r="1058" spans="1:22" x14ac:dyDescent="0.3">
      <c r="A1058" s="8" t="s">
        <v>1814</v>
      </c>
      <c r="B1058" s="9">
        <v>45782</v>
      </c>
      <c r="C1058" s="8" t="s">
        <v>37</v>
      </c>
      <c r="D1058" s="8" t="s">
        <v>38</v>
      </c>
      <c r="E1058" s="8" t="s">
        <v>39</v>
      </c>
      <c r="F1058" s="8" t="s">
        <v>1815</v>
      </c>
      <c r="G1058" s="8" t="s">
        <v>41</v>
      </c>
      <c r="H1058" s="8" t="s">
        <v>28</v>
      </c>
      <c r="I1058" s="8" t="s">
        <v>68</v>
      </c>
      <c r="J1058" s="8" t="s">
        <v>69</v>
      </c>
      <c r="K1058" s="8" t="s">
        <v>180</v>
      </c>
      <c r="L1058" s="8" t="s">
        <v>91</v>
      </c>
      <c r="M1058" s="8">
        <v>3</v>
      </c>
      <c r="N1058" s="10">
        <v>1520.39</v>
      </c>
      <c r="O1058" s="11">
        <v>0</v>
      </c>
      <c r="P1058" s="10">
        <v>4561.17</v>
      </c>
      <c r="Q1058" s="10">
        <v>2667.02</v>
      </c>
      <c r="R1058" s="10">
        <v>1894.15</v>
      </c>
      <c r="S1058" s="8" t="s">
        <v>63</v>
      </c>
      <c r="T1058" s="8" t="s">
        <v>64</v>
      </c>
      <c r="U1058" s="8">
        <v>5</v>
      </c>
      <c r="V1058" s="8" t="s">
        <v>134</v>
      </c>
    </row>
    <row r="1059" spans="1:22" x14ac:dyDescent="0.3">
      <c r="A1059" s="12" t="s">
        <v>1816</v>
      </c>
      <c r="B1059" s="13">
        <v>45676</v>
      </c>
      <c r="C1059" s="12" t="s">
        <v>86</v>
      </c>
      <c r="D1059" s="12" t="s">
        <v>87</v>
      </c>
      <c r="E1059" s="12" t="s">
        <v>59</v>
      </c>
      <c r="F1059" s="12" t="s">
        <v>1623</v>
      </c>
      <c r="G1059" s="12" t="s">
        <v>41</v>
      </c>
      <c r="H1059" s="12" t="s">
        <v>81</v>
      </c>
      <c r="I1059" s="12" t="s">
        <v>61</v>
      </c>
      <c r="J1059" s="12" t="s">
        <v>75</v>
      </c>
      <c r="K1059" s="12" t="s">
        <v>154</v>
      </c>
      <c r="L1059" s="12" t="s">
        <v>82</v>
      </c>
      <c r="M1059" s="12">
        <v>4</v>
      </c>
      <c r="N1059" s="14">
        <v>2062.64</v>
      </c>
      <c r="O1059" s="15">
        <v>0.25</v>
      </c>
      <c r="P1059" s="14">
        <v>6187.92</v>
      </c>
      <c r="Q1059" s="14">
        <v>4311.1899999999996</v>
      </c>
      <c r="R1059" s="14">
        <v>1876.73</v>
      </c>
      <c r="S1059" s="12" t="s">
        <v>33</v>
      </c>
      <c r="T1059" s="12" t="s">
        <v>104</v>
      </c>
      <c r="U1059" s="12">
        <v>3</v>
      </c>
      <c r="V1059" s="12" t="s">
        <v>84</v>
      </c>
    </row>
    <row r="1060" spans="1:22" x14ac:dyDescent="0.3">
      <c r="A1060" s="8" t="s">
        <v>1817</v>
      </c>
      <c r="B1060" s="9">
        <v>45982</v>
      </c>
      <c r="C1060" s="8" t="s">
        <v>98</v>
      </c>
      <c r="D1060" s="8" t="s">
        <v>99</v>
      </c>
      <c r="E1060" s="8" t="s">
        <v>25</v>
      </c>
      <c r="F1060" s="8" t="s">
        <v>206</v>
      </c>
      <c r="G1060" s="8" t="s">
        <v>41</v>
      </c>
      <c r="H1060" s="8" t="s">
        <v>81</v>
      </c>
      <c r="I1060" s="8" t="s">
        <v>29</v>
      </c>
      <c r="J1060" s="8" t="s">
        <v>69</v>
      </c>
      <c r="K1060" s="8" t="s">
        <v>70</v>
      </c>
      <c r="L1060" s="8" t="s">
        <v>91</v>
      </c>
      <c r="M1060" s="8">
        <v>1</v>
      </c>
      <c r="N1060" s="10">
        <v>866.08</v>
      </c>
      <c r="O1060" s="11">
        <v>0.15</v>
      </c>
      <c r="P1060" s="10">
        <v>736.17</v>
      </c>
      <c r="Q1060" s="10">
        <v>448.32</v>
      </c>
      <c r="R1060" s="10">
        <v>287.85000000000002</v>
      </c>
      <c r="S1060" s="8" t="s">
        <v>83</v>
      </c>
      <c r="T1060" s="8" t="s">
        <v>78</v>
      </c>
      <c r="U1060" s="8">
        <v>3</v>
      </c>
      <c r="V1060" s="8" t="s">
        <v>65</v>
      </c>
    </row>
    <row r="1061" spans="1:22" x14ac:dyDescent="0.3">
      <c r="A1061" s="12" t="s">
        <v>1818</v>
      </c>
      <c r="B1061" s="13">
        <v>45807</v>
      </c>
      <c r="C1061" s="12" t="s">
        <v>113</v>
      </c>
      <c r="D1061" s="12" t="s">
        <v>114</v>
      </c>
      <c r="E1061" s="12" t="s">
        <v>59</v>
      </c>
      <c r="F1061" s="12" t="s">
        <v>312</v>
      </c>
      <c r="G1061" s="12" t="s">
        <v>41</v>
      </c>
      <c r="H1061" s="12" t="s">
        <v>94</v>
      </c>
      <c r="I1061" s="12" t="s">
        <v>29</v>
      </c>
      <c r="J1061" s="12" t="s">
        <v>69</v>
      </c>
      <c r="K1061" s="12" t="s">
        <v>180</v>
      </c>
      <c r="L1061" s="12" t="s">
        <v>45</v>
      </c>
      <c r="M1061" s="12">
        <v>5</v>
      </c>
      <c r="N1061" s="14">
        <v>1444.18</v>
      </c>
      <c r="O1061" s="15">
        <v>0.1</v>
      </c>
      <c r="P1061" s="14">
        <v>6498.81</v>
      </c>
      <c r="Q1061" s="14">
        <v>4198.04</v>
      </c>
      <c r="R1061" s="14">
        <v>2300.77</v>
      </c>
      <c r="S1061" s="12" t="s">
        <v>46</v>
      </c>
      <c r="T1061" s="12" t="s">
        <v>104</v>
      </c>
      <c r="U1061" s="12">
        <v>5</v>
      </c>
      <c r="V1061" s="12" t="s">
        <v>134</v>
      </c>
    </row>
    <row r="1062" spans="1:22" x14ac:dyDescent="0.3">
      <c r="A1062" s="8" t="s">
        <v>1819</v>
      </c>
      <c r="B1062" s="9">
        <v>45760</v>
      </c>
      <c r="C1062" s="8" t="s">
        <v>113</v>
      </c>
      <c r="D1062" s="8" t="s">
        <v>114</v>
      </c>
      <c r="E1062" s="8" t="s">
        <v>59</v>
      </c>
      <c r="F1062" s="8" t="s">
        <v>1820</v>
      </c>
      <c r="G1062" s="8" t="s">
        <v>41</v>
      </c>
      <c r="H1062" s="8" t="s">
        <v>94</v>
      </c>
      <c r="I1062" s="8" t="s">
        <v>61</v>
      </c>
      <c r="J1062" s="8" t="s">
        <v>101</v>
      </c>
      <c r="K1062" s="8" t="s">
        <v>217</v>
      </c>
      <c r="L1062" s="8" t="s">
        <v>175</v>
      </c>
      <c r="M1062" s="8">
        <v>5</v>
      </c>
      <c r="N1062" s="10">
        <v>3053.24</v>
      </c>
      <c r="O1062" s="11">
        <v>0</v>
      </c>
      <c r="P1062" s="10">
        <v>15266.2</v>
      </c>
      <c r="Q1062" s="10">
        <v>8397.42</v>
      </c>
      <c r="R1062" s="10">
        <v>6868.78</v>
      </c>
      <c r="S1062" s="8" t="s">
        <v>83</v>
      </c>
      <c r="T1062" s="8" t="s">
        <v>34</v>
      </c>
      <c r="U1062" s="8">
        <v>3</v>
      </c>
      <c r="V1062" s="8" t="s">
        <v>96</v>
      </c>
    </row>
    <row r="1063" spans="1:22" x14ac:dyDescent="0.3">
      <c r="A1063" s="12" t="s">
        <v>1821</v>
      </c>
      <c r="B1063" s="13">
        <v>45900</v>
      </c>
      <c r="C1063" s="12" t="s">
        <v>113</v>
      </c>
      <c r="D1063" s="12" t="s">
        <v>114</v>
      </c>
      <c r="E1063" s="12" t="s">
        <v>59</v>
      </c>
      <c r="F1063" s="12" t="s">
        <v>462</v>
      </c>
      <c r="G1063" s="12" t="s">
        <v>41</v>
      </c>
      <c r="H1063" s="12" t="s">
        <v>42</v>
      </c>
      <c r="I1063" s="12" t="s">
        <v>68</v>
      </c>
      <c r="J1063" s="12" t="s">
        <v>75</v>
      </c>
      <c r="K1063" s="12" t="s">
        <v>154</v>
      </c>
      <c r="L1063" s="12" t="s">
        <v>77</v>
      </c>
      <c r="M1063" s="12">
        <v>2</v>
      </c>
      <c r="N1063" s="14">
        <v>2042.44</v>
      </c>
      <c r="O1063" s="15">
        <v>0.15</v>
      </c>
      <c r="P1063" s="14">
        <v>3472.15</v>
      </c>
      <c r="Q1063" s="14">
        <v>2225.9499999999998</v>
      </c>
      <c r="R1063" s="14">
        <v>1246.2</v>
      </c>
      <c r="S1063" s="12" t="s">
        <v>63</v>
      </c>
      <c r="T1063" s="12" t="s">
        <v>156</v>
      </c>
      <c r="U1063" s="12">
        <v>5</v>
      </c>
      <c r="V1063" s="12" t="s">
        <v>72</v>
      </c>
    </row>
    <row r="1064" spans="1:22" x14ac:dyDescent="0.3">
      <c r="A1064" s="8" t="s">
        <v>1822</v>
      </c>
      <c r="B1064" s="9">
        <v>45672</v>
      </c>
      <c r="C1064" s="8" t="s">
        <v>48</v>
      </c>
      <c r="D1064" s="8" t="s">
        <v>49</v>
      </c>
      <c r="E1064" s="8" t="s">
        <v>39</v>
      </c>
      <c r="F1064" s="8" t="s">
        <v>283</v>
      </c>
      <c r="G1064" s="8" t="s">
        <v>27</v>
      </c>
      <c r="H1064" s="8" t="s">
        <v>42</v>
      </c>
      <c r="I1064" s="8" t="s">
        <v>61</v>
      </c>
      <c r="J1064" s="8" t="s">
        <v>89</v>
      </c>
      <c r="K1064" s="8" t="s">
        <v>151</v>
      </c>
      <c r="L1064" s="8" t="s">
        <v>175</v>
      </c>
      <c r="M1064" s="8">
        <v>4</v>
      </c>
      <c r="N1064" s="10">
        <v>1008.57</v>
      </c>
      <c r="O1064" s="11">
        <v>0</v>
      </c>
      <c r="P1064" s="10">
        <v>4034.28</v>
      </c>
      <c r="Q1064" s="10">
        <v>1918.2</v>
      </c>
      <c r="R1064" s="10">
        <v>2116.08</v>
      </c>
      <c r="S1064" s="8" t="s">
        <v>53</v>
      </c>
      <c r="T1064" s="8" t="s">
        <v>64</v>
      </c>
      <c r="U1064" s="8">
        <v>3</v>
      </c>
      <c r="V1064" s="8" t="s">
        <v>84</v>
      </c>
    </row>
    <row r="1065" spans="1:22" x14ac:dyDescent="0.3">
      <c r="A1065" s="12" t="s">
        <v>1823</v>
      </c>
      <c r="B1065" s="13">
        <v>45856</v>
      </c>
      <c r="C1065" s="12" t="s">
        <v>48</v>
      </c>
      <c r="D1065" s="12" t="s">
        <v>49</v>
      </c>
      <c r="E1065" s="12" t="s">
        <v>39</v>
      </c>
      <c r="F1065" s="12" t="s">
        <v>183</v>
      </c>
      <c r="G1065" s="12" t="s">
        <v>41</v>
      </c>
      <c r="H1065" s="12" t="s">
        <v>94</v>
      </c>
      <c r="I1065" s="12" t="s">
        <v>29</v>
      </c>
      <c r="J1065" s="12" t="s">
        <v>30</v>
      </c>
      <c r="K1065" s="12" t="s">
        <v>31</v>
      </c>
      <c r="L1065" s="12" t="s">
        <v>45</v>
      </c>
      <c r="M1065" s="12">
        <v>3</v>
      </c>
      <c r="N1065" s="14">
        <v>3928.65</v>
      </c>
      <c r="O1065" s="15">
        <v>0.2</v>
      </c>
      <c r="P1065" s="14">
        <v>9428.76</v>
      </c>
      <c r="Q1065" s="14">
        <v>6355.79</v>
      </c>
      <c r="R1065" s="14">
        <v>3072.97</v>
      </c>
      <c r="S1065" s="12" t="s">
        <v>46</v>
      </c>
      <c r="T1065" s="12" t="s">
        <v>34</v>
      </c>
      <c r="U1065" s="12">
        <v>5</v>
      </c>
      <c r="V1065" s="12" t="s">
        <v>120</v>
      </c>
    </row>
    <row r="1066" spans="1:22" x14ac:dyDescent="0.3">
      <c r="A1066" s="8" t="s">
        <v>1824</v>
      </c>
      <c r="B1066" s="9">
        <v>45689</v>
      </c>
      <c r="C1066" s="8" t="s">
        <v>131</v>
      </c>
      <c r="D1066" s="8" t="s">
        <v>132</v>
      </c>
      <c r="E1066" s="8" t="s">
        <v>25</v>
      </c>
      <c r="F1066" s="8" t="s">
        <v>133</v>
      </c>
      <c r="G1066" s="8" t="s">
        <v>27</v>
      </c>
      <c r="H1066" s="8" t="s">
        <v>42</v>
      </c>
      <c r="I1066" s="8" t="s">
        <v>68</v>
      </c>
      <c r="J1066" s="8" t="s">
        <v>30</v>
      </c>
      <c r="K1066" s="8" t="s">
        <v>31</v>
      </c>
      <c r="L1066" s="8" t="s">
        <v>82</v>
      </c>
      <c r="M1066" s="8">
        <v>3</v>
      </c>
      <c r="N1066" s="10">
        <v>3831.13</v>
      </c>
      <c r="O1066" s="11">
        <v>0.1</v>
      </c>
      <c r="P1066" s="10">
        <v>10344.049999999999</v>
      </c>
      <c r="Q1066" s="10">
        <v>6487.12</v>
      </c>
      <c r="R1066" s="10">
        <v>3856.93</v>
      </c>
      <c r="S1066" s="8" t="s">
        <v>63</v>
      </c>
      <c r="T1066" s="8" t="s">
        <v>156</v>
      </c>
      <c r="U1066" s="8">
        <v>4</v>
      </c>
      <c r="V1066" s="8" t="s">
        <v>105</v>
      </c>
    </row>
    <row r="1067" spans="1:22" x14ac:dyDescent="0.3">
      <c r="A1067" s="12" t="s">
        <v>1825</v>
      </c>
      <c r="B1067" s="13">
        <v>45836</v>
      </c>
      <c r="C1067" s="12" t="s">
        <v>131</v>
      </c>
      <c r="D1067" s="12" t="s">
        <v>132</v>
      </c>
      <c r="E1067" s="12" t="s">
        <v>25</v>
      </c>
      <c r="F1067" s="12" t="s">
        <v>1826</v>
      </c>
      <c r="G1067" s="12" t="s">
        <v>27</v>
      </c>
      <c r="H1067" s="12" t="s">
        <v>42</v>
      </c>
      <c r="I1067" s="12" t="s">
        <v>68</v>
      </c>
      <c r="J1067" s="12" t="s">
        <v>75</v>
      </c>
      <c r="K1067" s="12" t="s">
        <v>154</v>
      </c>
      <c r="L1067" s="12" t="s">
        <v>32</v>
      </c>
      <c r="M1067" s="12">
        <v>3</v>
      </c>
      <c r="N1067" s="14">
        <v>1901.8</v>
      </c>
      <c r="O1067" s="15">
        <v>0.15</v>
      </c>
      <c r="P1067" s="14">
        <v>4849.59</v>
      </c>
      <c r="Q1067" s="14">
        <v>3254.79</v>
      </c>
      <c r="R1067" s="14">
        <v>1594.8</v>
      </c>
      <c r="S1067" s="12" t="s">
        <v>63</v>
      </c>
      <c r="T1067" s="12" t="s">
        <v>71</v>
      </c>
      <c r="U1067" s="12">
        <v>3</v>
      </c>
      <c r="V1067" s="12" t="s">
        <v>157</v>
      </c>
    </row>
    <row r="1068" spans="1:22" x14ac:dyDescent="0.3">
      <c r="A1068" s="8" t="s">
        <v>1827</v>
      </c>
      <c r="B1068" s="9">
        <v>45745</v>
      </c>
      <c r="C1068" s="8" t="s">
        <v>98</v>
      </c>
      <c r="D1068" s="8" t="s">
        <v>99</v>
      </c>
      <c r="E1068" s="8" t="s">
        <v>25</v>
      </c>
      <c r="F1068" s="8" t="s">
        <v>670</v>
      </c>
      <c r="G1068" s="8" t="s">
        <v>27</v>
      </c>
      <c r="H1068" s="8" t="s">
        <v>28</v>
      </c>
      <c r="I1068" s="8" t="s">
        <v>68</v>
      </c>
      <c r="J1068" s="8" t="s">
        <v>43</v>
      </c>
      <c r="K1068" s="8" t="s">
        <v>51</v>
      </c>
      <c r="L1068" s="8" t="s">
        <v>77</v>
      </c>
      <c r="M1068" s="8">
        <v>5</v>
      </c>
      <c r="N1068" s="10">
        <v>1425.01</v>
      </c>
      <c r="O1068" s="11">
        <v>0.05</v>
      </c>
      <c r="P1068" s="10">
        <v>6768.8</v>
      </c>
      <c r="Q1068" s="10">
        <v>3507.43</v>
      </c>
      <c r="R1068" s="10">
        <v>3261.37</v>
      </c>
      <c r="S1068" s="8" t="s">
        <v>46</v>
      </c>
      <c r="T1068" s="8" t="s">
        <v>71</v>
      </c>
      <c r="U1068" s="8">
        <v>5</v>
      </c>
      <c r="V1068" s="8" t="s">
        <v>55</v>
      </c>
    </row>
    <row r="1069" spans="1:22" x14ac:dyDescent="0.3">
      <c r="A1069" s="12" t="s">
        <v>1828</v>
      </c>
      <c r="B1069" s="13">
        <v>45927</v>
      </c>
      <c r="C1069" s="12" t="s">
        <v>113</v>
      </c>
      <c r="D1069" s="12" t="s">
        <v>114</v>
      </c>
      <c r="E1069" s="12" t="s">
        <v>59</v>
      </c>
      <c r="F1069" s="12" t="s">
        <v>1175</v>
      </c>
      <c r="G1069" s="12" t="s">
        <v>41</v>
      </c>
      <c r="H1069" s="12" t="s">
        <v>81</v>
      </c>
      <c r="I1069" s="12" t="s">
        <v>61</v>
      </c>
      <c r="J1069" s="12" t="s">
        <v>69</v>
      </c>
      <c r="K1069" s="12" t="s">
        <v>137</v>
      </c>
      <c r="L1069" s="12" t="s">
        <v>52</v>
      </c>
      <c r="M1069" s="12">
        <v>3</v>
      </c>
      <c r="N1069" s="14">
        <v>493.89</v>
      </c>
      <c r="O1069" s="15">
        <v>0.2</v>
      </c>
      <c r="P1069" s="14">
        <v>1185.3399999999999</v>
      </c>
      <c r="Q1069" s="14">
        <v>691.22</v>
      </c>
      <c r="R1069" s="14">
        <v>494.12</v>
      </c>
      <c r="S1069" s="12" t="s">
        <v>53</v>
      </c>
      <c r="T1069" s="12" t="s">
        <v>54</v>
      </c>
      <c r="U1069" s="12">
        <v>3</v>
      </c>
      <c r="V1069" s="12" t="s">
        <v>116</v>
      </c>
    </row>
    <row r="1070" spans="1:22" x14ac:dyDescent="0.3">
      <c r="A1070" s="8" t="s">
        <v>1829</v>
      </c>
      <c r="B1070" s="9">
        <v>45721</v>
      </c>
      <c r="C1070" s="8" t="s">
        <v>57</v>
      </c>
      <c r="D1070" s="8" t="s">
        <v>58</v>
      </c>
      <c r="E1070" s="8" t="s">
        <v>59</v>
      </c>
      <c r="F1070" s="8" t="s">
        <v>967</v>
      </c>
      <c r="G1070" s="8" t="s">
        <v>41</v>
      </c>
      <c r="H1070" s="8" t="s">
        <v>94</v>
      </c>
      <c r="I1070" s="8" t="s">
        <v>29</v>
      </c>
      <c r="J1070" s="8" t="s">
        <v>43</v>
      </c>
      <c r="K1070" s="8" t="s">
        <v>162</v>
      </c>
      <c r="L1070" s="8" t="s">
        <v>45</v>
      </c>
      <c r="M1070" s="8">
        <v>3</v>
      </c>
      <c r="N1070" s="10">
        <v>856.07</v>
      </c>
      <c r="O1070" s="11">
        <v>0.1</v>
      </c>
      <c r="P1070" s="10">
        <v>2311.39</v>
      </c>
      <c r="Q1070" s="10">
        <v>1224.42</v>
      </c>
      <c r="R1070" s="10">
        <v>1086.97</v>
      </c>
      <c r="S1070" s="8" t="s">
        <v>53</v>
      </c>
      <c r="T1070" s="8" t="s">
        <v>104</v>
      </c>
      <c r="U1070" s="8">
        <v>5</v>
      </c>
      <c r="V1070" s="8" t="s">
        <v>55</v>
      </c>
    </row>
    <row r="1071" spans="1:22" x14ac:dyDescent="0.3">
      <c r="A1071" s="12" t="s">
        <v>1830</v>
      </c>
      <c r="B1071" s="13">
        <v>45816</v>
      </c>
      <c r="C1071" s="12" t="s">
        <v>48</v>
      </c>
      <c r="D1071" s="12" t="s">
        <v>49</v>
      </c>
      <c r="E1071" s="12" t="s">
        <v>39</v>
      </c>
      <c r="F1071" s="12" t="s">
        <v>638</v>
      </c>
      <c r="G1071" s="12" t="s">
        <v>27</v>
      </c>
      <c r="H1071" s="12" t="s">
        <v>28</v>
      </c>
      <c r="I1071" s="12" t="s">
        <v>29</v>
      </c>
      <c r="J1071" s="12" t="s">
        <v>101</v>
      </c>
      <c r="K1071" s="12" t="s">
        <v>110</v>
      </c>
      <c r="L1071" s="12" t="s">
        <v>91</v>
      </c>
      <c r="M1071" s="12">
        <v>4</v>
      </c>
      <c r="N1071" s="14">
        <v>5077.07</v>
      </c>
      <c r="O1071" s="15">
        <v>0.15</v>
      </c>
      <c r="P1071" s="14">
        <v>17262.04</v>
      </c>
      <c r="Q1071" s="14">
        <v>13432.4</v>
      </c>
      <c r="R1071" s="14">
        <v>3829.64</v>
      </c>
      <c r="S1071" s="12" t="s">
        <v>46</v>
      </c>
      <c r="T1071" s="12" t="s">
        <v>156</v>
      </c>
      <c r="U1071" s="12">
        <v>3</v>
      </c>
      <c r="V1071" s="12" t="s">
        <v>157</v>
      </c>
    </row>
    <row r="1072" spans="1:22" x14ac:dyDescent="0.3">
      <c r="A1072" s="8" t="s">
        <v>1831</v>
      </c>
      <c r="B1072" s="9">
        <v>45943</v>
      </c>
      <c r="C1072" s="8" t="s">
        <v>107</v>
      </c>
      <c r="D1072" s="8" t="s">
        <v>108</v>
      </c>
      <c r="E1072" s="8" t="s">
        <v>39</v>
      </c>
      <c r="F1072" s="8" t="s">
        <v>578</v>
      </c>
      <c r="G1072" s="8" t="s">
        <v>41</v>
      </c>
      <c r="H1072" s="8" t="s">
        <v>42</v>
      </c>
      <c r="I1072" s="8" t="s">
        <v>29</v>
      </c>
      <c r="J1072" s="8" t="s">
        <v>43</v>
      </c>
      <c r="K1072" s="8" t="s">
        <v>162</v>
      </c>
      <c r="L1072" s="8" t="s">
        <v>52</v>
      </c>
      <c r="M1072" s="8">
        <v>5</v>
      </c>
      <c r="N1072" s="10">
        <v>869.01</v>
      </c>
      <c r="O1072" s="11">
        <v>0.3</v>
      </c>
      <c r="P1072" s="10">
        <v>3041.53</v>
      </c>
      <c r="Q1072" s="10">
        <v>2013.75</v>
      </c>
      <c r="R1072" s="10">
        <v>1027.78</v>
      </c>
      <c r="S1072" s="8" t="s">
        <v>33</v>
      </c>
      <c r="T1072" s="8" t="s">
        <v>54</v>
      </c>
      <c r="U1072" s="8">
        <v>5</v>
      </c>
      <c r="V1072" s="8" t="s">
        <v>123</v>
      </c>
    </row>
    <row r="1073" spans="1:22" x14ac:dyDescent="0.3">
      <c r="A1073" s="12" t="s">
        <v>1832</v>
      </c>
      <c r="B1073" s="13">
        <v>45911</v>
      </c>
      <c r="C1073" s="12" t="s">
        <v>37</v>
      </c>
      <c r="D1073" s="12" t="s">
        <v>38</v>
      </c>
      <c r="E1073" s="12" t="s">
        <v>39</v>
      </c>
      <c r="F1073" s="12" t="s">
        <v>1446</v>
      </c>
      <c r="G1073" s="12" t="s">
        <v>41</v>
      </c>
      <c r="H1073" s="12" t="s">
        <v>42</v>
      </c>
      <c r="I1073" s="12" t="s">
        <v>29</v>
      </c>
      <c r="J1073" s="12" t="s">
        <v>30</v>
      </c>
      <c r="K1073" s="12" t="s">
        <v>144</v>
      </c>
      <c r="L1073" s="12" t="s">
        <v>175</v>
      </c>
      <c r="M1073" s="12">
        <v>1</v>
      </c>
      <c r="N1073" s="14">
        <v>2589.54</v>
      </c>
      <c r="O1073" s="15">
        <v>0.25</v>
      </c>
      <c r="P1073" s="14">
        <v>1942.15</v>
      </c>
      <c r="Q1073" s="14">
        <v>1491.18</v>
      </c>
      <c r="R1073" s="14">
        <v>450.97</v>
      </c>
      <c r="S1073" s="12" t="s">
        <v>83</v>
      </c>
      <c r="T1073" s="12" t="s">
        <v>156</v>
      </c>
      <c r="U1073" s="12">
        <v>5</v>
      </c>
      <c r="V1073" s="12" t="s">
        <v>116</v>
      </c>
    </row>
    <row r="1074" spans="1:22" x14ac:dyDescent="0.3">
      <c r="A1074" s="8" t="s">
        <v>1833</v>
      </c>
      <c r="B1074" s="9">
        <v>45976</v>
      </c>
      <c r="C1074" s="8" t="s">
        <v>125</v>
      </c>
      <c r="D1074" s="8" t="s">
        <v>126</v>
      </c>
      <c r="E1074" s="8" t="s">
        <v>25</v>
      </c>
      <c r="F1074" s="8" t="s">
        <v>1514</v>
      </c>
      <c r="G1074" s="8" t="s">
        <v>41</v>
      </c>
      <c r="H1074" s="8" t="s">
        <v>28</v>
      </c>
      <c r="I1074" s="8" t="s">
        <v>61</v>
      </c>
      <c r="J1074" s="8" t="s">
        <v>43</v>
      </c>
      <c r="K1074" s="8" t="s">
        <v>44</v>
      </c>
      <c r="L1074" s="8" t="s">
        <v>175</v>
      </c>
      <c r="M1074" s="8">
        <v>5</v>
      </c>
      <c r="N1074" s="10">
        <v>620.23</v>
      </c>
      <c r="O1074" s="11">
        <v>0.25</v>
      </c>
      <c r="P1074" s="10">
        <v>2325.86</v>
      </c>
      <c r="Q1074" s="10">
        <v>1308.28</v>
      </c>
      <c r="R1074" s="10">
        <v>1017.58</v>
      </c>
      <c r="S1074" s="8" t="s">
        <v>33</v>
      </c>
      <c r="T1074" s="8" t="s">
        <v>71</v>
      </c>
      <c r="U1074" s="8">
        <v>5</v>
      </c>
      <c r="V1074" s="8" t="s">
        <v>65</v>
      </c>
    </row>
    <row r="1075" spans="1:22" x14ac:dyDescent="0.3">
      <c r="A1075" s="12" t="s">
        <v>1834</v>
      </c>
      <c r="B1075" s="13">
        <v>45879</v>
      </c>
      <c r="C1075" s="12" t="s">
        <v>23</v>
      </c>
      <c r="D1075" s="12" t="s">
        <v>24</v>
      </c>
      <c r="E1075" s="12" t="s">
        <v>25</v>
      </c>
      <c r="F1075" s="12" t="s">
        <v>1835</v>
      </c>
      <c r="G1075" s="12" t="s">
        <v>27</v>
      </c>
      <c r="H1075" s="12" t="s">
        <v>94</v>
      </c>
      <c r="I1075" s="12" t="s">
        <v>68</v>
      </c>
      <c r="J1075" s="12" t="s">
        <v>89</v>
      </c>
      <c r="K1075" s="12" t="s">
        <v>90</v>
      </c>
      <c r="L1075" s="12" t="s">
        <v>82</v>
      </c>
      <c r="M1075" s="12">
        <v>2</v>
      </c>
      <c r="N1075" s="14">
        <v>3638.93</v>
      </c>
      <c r="O1075" s="15">
        <v>0.2</v>
      </c>
      <c r="P1075" s="14">
        <v>5822.29</v>
      </c>
      <c r="Q1075" s="14">
        <v>4179.66</v>
      </c>
      <c r="R1075" s="14">
        <v>1642.63</v>
      </c>
      <c r="S1075" s="12" t="s">
        <v>46</v>
      </c>
      <c r="T1075" s="12" t="s">
        <v>104</v>
      </c>
      <c r="U1075" s="12">
        <v>4</v>
      </c>
      <c r="V1075" s="12" t="s">
        <v>72</v>
      </c>
    </row>
    <row r="1076" spans="1:22" x14ac:dyDescent="0.3">
      <c r="A1076" s="8" t="s">
        <v>1836</v>
      </c>
      <c r="B1076" s="9">
        <v>45890</v>
      </c>
      <c r="C1076" s="8" t="s">
        <v>125</v>
      </c>
      <c r="D1076" s="8" t="s">
        <v>126</v>
      </c>
      <c r="E1076" s="8" t="s">
        <v>25</v>
      </c>
      <c r="F1076" s="8" t="s">
        <v>324</v>
      </c>
      <c r="G1076" s="8" t="s">
        <v>41</v>
      </c>
      <c r="H1076" s="8" t="s">
        <v>94</v>
      </c>
      <c r="I1076" s="8" t="s">
        <v>61</v>
      </c>
      <c r="J1076" s="8" t="s">
        <v>69</v>
      </c>
      <c r="K1076" s="8" t="s">
        <v>70</v>
      </c>
      <c r="L1076" s="8" t="s">
        <v>32</v>
      </c>
      <c r="M1076" s="8">
        <v>4</v>
      </c>
      <c r="N1076" s="10">
        <v>937.73</v>
      </c>
      <c r="O1076" s="11">
        <v>0</v>
      </c>
      <c r="P1076" s="10">
        <v>3750.92</v>
      </c>
      <c r="Q1076" s="10">
        <v>1731.9</v>
      </c>
      <c r="R1076" s="10">
        <v>2019.02</v>
      </c>
      <c r="S1076" s="8" t="s">
        <v>83</v>
      </c>
      <c r="T1076" s="8" t="s">
        <v>54</v>
      </c>
      <c r="U1076" s="8">
        <v>3</v>
      </c>
      <c r="V1076" s="8" t="s">
        <v>72</v>
      </c>
    </row>
    <row r="1077" spans="1:22" x14ac:dyDescent="0.3">
      <c r="A1077" s="12" t="s">
        <v>1837</v>
      </c>
      <c r="B1077" s="13">
        <v>45843</v>
      </c>
      <c r="C1077" s="12" t="s">
        <v>107</v>
      </c>
      <c r="D1077" s="12" t="s">
        <v>108</v>
      </c>
      <c r="E1077" s="12" t="s">
        <v>39</v>
      </c>
      <c r="F1077" s="12" t="s">
        <v>164</v>
      </c>
      <c r="G1077" s="12" t="s">
        <v>27</v>
      </c>
      <c r="H1077" s="12" t="s">
        <v>81</v>
      </c>
      <c r="I1077" s="12" t="s">
        <v>61</v>
      </c>
      <c r="J1077" s="12" t="s">
        <v>89</v>
      </c>
      <c r="K1077" s="12" t="s">
        <v>89</v>
      </c>
      <c r="L1077" s="12" t="s">
        <v>91</v>
      </c>
      <c r="M1077" s="12">
        <v>1</v>
      </c>
      <c r="N1077" s="14">
        <v>1260.7</v>
      </c>
      <c r="O1077" s="15">
        <v>0.1</v>
      </c>
      <c r="P1077" s="14">
        <v>1134.6300000000001</v>
      </c>
      <c r="Q1077" s="14">
        <v>698.83</v>
      </c>
      <c r="R1077" s="14">
        <v>435.8</v>
      </c>
      <c r="S1077" s="12" t="s">
        <v>33</v>
      </c>
      <c r="T1077" s="12" t="s">
        <v>64</v>
      </c>
      <c r="U1077" s="12">
        <v>4</v>
      </c>
      <c r="V1077" s="12" t="s">
        <v>120</v>
      </c>
    </row>
    <row r="1078" spans="1:22" x14ac:dyDescent="0.3">
      <c r="A1078" s="8" t="s">
        <v>1838</v>
      </c>
      <c r="B1078" s="9">
        <v>45910</v>
      </c>
      <c r="C1078" s="8" t="s">
        <v>107</v>
      </c>
      <c r="D1078" s="8" t="s">
        <v>108</v>
      </c>
      <c r="E1078" s="8" t="s">
        <v>39</v>
      </c>
      <c r="F1078" s="8" t="s">
        <v>466</v>
      </c>
      <c r="G1078" s="8" t="s">
        <v>27</v>
      </c>
      <c r="H1078" s="8" t="s">
        <v>42</v>
      </c>
      <c r="I1078" s="8" t="s">
        <v>61</v>
      </c>
      <c r="J1078" s="8" t="s">
        <v>89</v>
      </c>
      <c r="K1078" s="8" t="s">
        <v>151</v>
      </c>
      <c r="L1078" s="8" t="s">
        <v>45</v>
      </c>
      <c r="M1078" s="8">
        <v>5</v>
      </c>
      <c r="N1078" s="10">
        <v>1021.19</v>
      </c>
      <c r="O1078" s="11">
        <v>0.2</v>
      </c>
      <c r="P1078" s="10">
        <v>4084.76</v>
      </c>
      <c r="Q1078" s="10">
        <v>2584.5100000000002</v>
      </c>
      <c r="R1078" s="10">
        <v>1500.25</v>
      </c>
      <c r="S1078" s="8" t="s">
        <v>83</v>
      </c>
      <c r="T1078" s="8" t="s">
        <v>119</v>
      </c>
      <c r="U1078" s="8">
        <v>3</v>
      </c>
      <c r="V1078" s="8" t="s">
        <v>116</v>
      </c>
    </row>
    <row r="1079" spans="1:22" x14ac:dyDescent="0.3">
      <c r="A1079" s="12" t="s">
        <v>1839</v>
      </c>
      <c r="B1079" s="13">
        <v>45903</v>
      </c>
      <c r="C1079" s="12" t="s">
        <v>131</v>
      </c>
      <c r="D1079" s="12" t="s">
        <v>132</v>
      </c>
      <c r="E1079" s="12" t="s">
        <v>25</v>
      </c>
      <c r="F1079" s="12" t="s">
        <v>1216</v>
      </c>
      <c r="G1079" s="12" t="s">
        <v>41</v>
      </c>
      <c r="H1079" s="12" t="s">
        <v>81</v>
      </c>
      <c r="I1079" s="12" t="s">
        <v>68</v>
      </c>
      <c r="J1079" s="12" t="s">
        <v>101</v>
      </c>
      <c r="K1079" s="12" t="s">
        <v>110</v>
      </c>
      <c r="L1079" s="12" t="s">
        <v>103</v>
      </c>
      <c r="M1079" s="12">
        <v>1</v>
      </c>
      <c r="N1079" s="14">
        <v>5053.7</v>
      </c>
      <c r="O1079" s="15">
        <v>0.1</v>
      </c>
      <c r="P1079" s="14">
        <v>4548.33</v>
      </c>
      <c r="Q1079" s="14">
        <v>3290.87</v>
      </c>
      <c r="R1079" s="14">
        <v>1257.46</v>
      </c>
      <c r="S1079" s="12" t="s">
        <v>83</v>
      </c>
      <c r="T1079" s="12" t="s">
        <v>119</v>
      </c>
      <c r="U1079" s="12">
        <v>4</v>
      </c>
      <c r="V1079" s="12" t="s">
        <v>116</v>
      </c>
    </row>
    <row r="1080" spans="1:22" x14ac:dyDescent="0.3">
      <c r="A1080" s="8" t="s">
        <v>1840</v>
      </c>
      <c r="B1080" s="9">
        <v>45753</v>
      </c>
      <c r="C1080" s="8" t="s">
        <v>57</v>
      </c>
      <c r="D1080" s="8" t="s">
        <v>58</v>
      </c>
      <c r="E1080" s="8" t="s">
        <v>59</v>
      </c>
      <c r="F1080" s="8" t="s">
        <v>1429</v>
      </c>
      <c r="G1080" s="8" t="s">
        <v>27</v>
      </c>
      <c r="H1080" s="8" t="s">
        <v>94</v>
      </c>
      <c r="I1080" s="8" t="s">
        <v>68</v>
      </c>
      <c r="J1080" s="8" t="s">
        <v>75</v>
      </c>
      <c r="K1080" s="8" t="s">
        <v>76</v>
      </c>
      <c r="L1080" s="8" t="s">
        <v>52</v>
      </c>
      <c r="M1080" s="8">
        <v>4</v>
      </c>
      <c r="N1080" s="10">
        <v>780.49</v>
      </c>
      <c r="O1080" s="11">
        <v>0</v>
      </c>
      <c r="P1080" s="10">
        <v>3121.96</v>
      </c>
      <c r="Q1080" s="10">
        <v>1457.37</v>
      </c>
      <c r="R1080" s="10">
        <v>1664.59</v>
      </c>
      <c r="S1080" s="8" t="s">
        <v>83</v>
      </c>
      <c r="T1080" s="8" t="s">
        <v>119</v>
      </c>
      <c r="U1080" s="8">
        <v>3</v>
      </c>
      <c r="V1080" s="8" t="s">
        <v>96</v>
      </c>
    </row>
    <row r="1081" spans="1:22" x14ac:dyDescent="0.3">
      <c r="A1081" s="12" t="s">
        <v>1841</v>
      </c>
      <c r="B1081" s="13">
        <v>45712</v>
      </c>
      <c r="C1081" s="12" t="s">
        <v>98</v>
      </c>
      <c r="D1081" s="12" t="s">
        <v>99</v>
      </c>
      <c r="E1081" s="12" t="s">
        <v>25</v>
      </c>
      <c r="F1081" s="12" t="s">
        <v>1826</v>
      </c>
      <c r="G1081" s="12" t="s">
        <v>27</v>
      </c>
      <c r="H1081" s="12" t="s">
        <v>28</v>
      </c>
      <c r="I1081" s="12" t="s">
        <v>61</v>
      </c>
      <c r="J1081" s="12" t="s">
        <v>30</v>
      </c>
      <c r="K1081" s="12" t="s">
        <v>31</v>
      </c>
      <c r="L1081" s="12" t="s">
        <v>77</v>
      </c>
      <c r="M1081" s="12">
        <v>1</v>
      </c>
      <c r="N1081" s="14">
        <v>3891.33</v>
      </c>
      <c r="O1081" s="15">
        <v>0.25</v>
      </c>
      <c r="P1081" s="14">
        <v>2918.5</v>
      </c>
      <c r="Q1081" s="14">
        <v>2165.11</v>
      </c>
      <c r="R1081" s="14">
        <v>753.39</v>
      </c>
      <c r="S1081" s="12" t="s">
        <v>33</v>
      </c>
      <c r="T1081" s="12" t="s">
        <v>64</v>
      </c>
      <c r="U1081" s="12">
        <v>5</v>
      </c>
      <c r="V1081" s="12" t="s">
        <v>105</v>
      </c>
    </row>
    <row r="1082" spans="1:22" x14ac:dyDescent="0.3">
      <c r="A1082" s="8" t="s">
        <v>1842</v>
      </c>
      <c r="B1082" s="9">
        <v>45975</v>
      </c>
      <c r="C1082" s="8" t="s">
        <v>37</v>
      </c>
      <c r="D1082" s="8" t="s">
        <v>38</v>
      </c>
      <c r="E1082" s="8" t="s">
        <v>39</v>
      </c>
      <c r="F1082" s="8" t="s">
        <v>271</v>
      </c>
      <c r="G1082" s="8" t="s">
        <v>41</v>
      </c>
      <c r="H1082" s="8" t="s">
        <v>28</v>
      </c>
      <c r="I1082" s="8" t="s">
        <v>61</v>
      </c>
      <c r="J1082" s="8" t="s">
        <v>30</v>
      </c>
      <c r="K1082" s="8" t="s">
        <v>144</v>
      </c>
      <c r="L1082" s="8" t="s">
        <v>91</v>
      </c>
      <c r="M1082" s="8">
        <v>1</v>
      </c>
      <c r="N1082" s="10">
        <v>2612.4499999999998</v>
      </c>
      <c r="O1082" s="11">
        <v>0.3</v>
      </c>
      <c r="P1082" s="10">
        <v>1828.71</v>
      </c>
      <c r="Q1082" s="10">
        <v>1430.11</v>
      </c>
      <c r="R1082" s="10">
        <v>398.6</v>
      </c>
      <c r="S1082" s="8" t="s">
        <v>46</v>
      </c>
      <c r="T1082" s="8" t="s">
        <v>78</v>
      </c>
      <c r="U1082" s="8">
        <v>4</v>
      </c>
      <c r="V1082" s="8" t="s">
        <v>65</v>
      </c>
    </row>
    <row r="1083" spans="1:22" x14ac:dyDescent="0.3">
      <c r="A1083" s="12" t="s">
        <v>1843</v>
      </c>
      <c r="B1083" s="13">
        <v>45931</v>
      </c>
      <c r="C1083" s="12" t="s">
        <v>131</v>
      </c>
      <c r="D1083" s="12" t="s">
        <v>132</v>
      </c>
      <c r="E1083" s="12" t="s">
        <v>25</v>
      </c>
      <c r="F1083" s="12" t="s">
        <v>653</v>
      </c>
      <c r="G1083" s="12" t="s">
        <v>27</v>
      </c>
      <c r="H1083" s="12" t="s">
        <v>94</v>
      </c>
      <c r="I1083" s="12" t="s">
        <v>29</v>
      </c>
      <c r="J1083" s="12" t="s">
        <v>43</v>
      </c>
      <c r="K1083" s="12" t="s">
        <v>51</v>
      </c>
      <c r="L1083" s="12" t="s">
        <v>103</v>
      </c>
      <c r="M1083" s="12">
        <v>4</v>
      </c>
      <c r="N1083" s="14">
        <v>1563.76</v>
      </c>
      <c r="O1083" s="15">
        <v>0</v>
      </c>
      <c r="P1083" s="14">
        <v>6255.04</v>
      </c>
      <c r="Q1083" s="14">
        <v>2903.97</v>
      </c>
      <c r="R1083" s="14">
        <v>3351.07</v>
      </c>
      <c r="S1083" s="12" t="s">
        <v>53</v>
      </c>
      <c r="T1083" s="12" t="s">
        <v>156</v>
      </c>
      <c r="U1083" s="12">
        <v>5</v>
      </c>
      <c r="V1083" s="12" t="s">
        <v>123</v>
      </c>
    </row>
    <row r="1084" spans="1:22" x14ac:dyDescent="0.3">
      <c r="A1084" s="8" t="s">
        <v>1844</v>
      </c>
      <c r="B1084" s="9">
        <v>45741</v>
      </c>
      <c r="C1084" s="8" t="s">
        <v>86</v>
      </c>
      <c r="D1084" s="8" t="s">
        <v>87</v>
      </c>
      <c r="E1084" s="8" t="s">
        <v>59</v>
      </c>
      <c r="F1084" s="8" t="s">
        <v>988</v>
      </c>
      <c r="G1084" s="8" t="s">
        <v>41</v>
      </c>
      <c r="H1084" s="8" t="s">
        <v>28</v>
      </c>
      <c r="I1084" s="8" t="s">
        <v>68</v>
      </c>
      <c r="J1084" s="8" t="s">
        <v>101</v>
      </c>
      <c r="K1084" s="8" t="s">
        <v>217</v>
      </c>
      <c r="L1084" s="8" t="s">
        <v>77</v>
      </c>
      <c r="M1084" s="8">
        <v>4</v>
      </c>
      <c r="N1084" s="10">
        <v>2866.55</v>
      </c>
      <c r="O1084" s="11">
        <v>0.1</v>
      </c>
      <c r="P1084" s="10">
        <v>10319.58</v>
      </c>
      <c r="Q1084" s="10">
        <v>7119.82</v>
      </c>
      <c r="R1084" s="10">
        <v>3199.76</v>
      </c>
      <c r="S1084" s="8" t="s">
        <v>46</v>
      </c>
      <c r="T1084" s="8" t="s">
        <v>54</v>
      </c>
      <c r="U1084" s="8">
        <v>3</v>
      </c>
      <c r="V1084" s="8" t="s">
        <v>55</v>
      </c>
    </row>
    <row r="1085" spans="1:22" x14ac:dyDescent="0.3">
      <c r="A1085" s="12" t="s">
        <v>1845</v>
      </c>
      <c r="B1085" s="13">
        <v>45857</v>
      </c>
      <c r="C1085" s="12" t="s">
        <v>131</v>
      </c>
      <c r="D1085" s="12" t="s">
        <v>132</v>
      </c>
      <c r="E1085" s="12" t="s">
        <v>25</v>
      </c>
      <c r="F1085" s="12" t="s">
        <v>514</v>
      </c>
      <c r="G1085" s="12" t="s">
        <v>41</v>
      </c>
      <c r="H1085" s="12" t="s">
        <v>28</v>
      </c>
      <c r="I1085" s="12" t="s">
        <v>61</v>
      </c>
      <c r="J1085" s="12" t="s">
        <v>43</v>
      </c>
      <c r="K1085" s="12" t="s">
        <v>162</v>
      </c>
      <c r="L1085" s="12" t="s">
        <v>103</v>
      </c>
      <c r="M1085" s="12">
        <v>4</v>
      </c>
      <c r="N1085" s="14">
        <v>927.7</v>
      </c>
      <c r="O1085" s="15">
        <v>0.3</v>
      </c>
      <c r="P1085" s="14">
        <v>2597.56</v>
      </c>
      <c r="Q1085" s="14">
        <v>1536.42</v>
      </c>
      <c r="R1085" s="14">
        <v>1061.1400000000001</v>
      </c>
      <c r="S1085" s="12" t="s">
        <v>46</v>
      </c>
      <c r="T1085" s="12" t="s">
        <v>71</v>
      </c>
      <c r="U1085" s="12">
        <v>3</v>
      </c>
      <c r="V1085" s="12" t="s">
        <v>120</v>
      </c>
    </row>
    <row r="1086" spans="1:22" x14ac:dyDescent="0.3">
      <c r="A1086" s="8" t="s">
        <v>1846</v>
      </c>
      <c r="B1086" s="9">
        <v>45878</v>
      </c>
      <c r="C1086" s="8" t="s">
        <v>37</v>
      </c>
      <c r="D1086" s="8" t="s">
        <v>38</v>
      </c>
      <c r="E1086" s="8" t="s">
        <v>39</v>
      </c>
      <c r="F1086" s="8" t="s">
        <v>495</v>
      </c>
      <c r="G1086" s="8" t="s">
        <v>41</v>
      </c>
      <c r="H1086" s="8" t="s">
        <v>81</v>
      </c>
      <c r="I1086" s="8" t="s">
        <v>68</v>
      </c>
      <c r="J1086" s="8" t="s">
        <v>43</v>
      </c>
      <c r="K1086" s="8" t="s">
        <v>44</v>
      </c>
      <c r="L1086" s="8" t="s">
        <v>82</v>
      </c>
      <c r="M1086" s="8">
        <v>5</v>
      </c>
      <c r="N1086" s="10">
        <v>589.27</v>
      </c>
      <c r="O1086" s="11">
        <v>0.2</v>
      </c>
      <c r="P1086" s="10">
        <v>2357.08</v>
      </c>
      <c r="Q1086" s="10">
        <v>1297.17</v>
      </c>
      <c r="R1086" s="10">
        <v>1059.9100000000001</v>
      </c>
      <c r="S1086" s="8" t="s">
        <v>33</v>
      </c>
      <c r="T1086" s="8" t="s">
        <v>64</v>
      </c>
      <c r="U1086" s="8">
        <v>3</v>
      </c>
      <c r="V1086" s="8" t="s">
        <v>72</v>
      </c>
    </row>
    <row r="1087" spans="1:22" x14ac:dyDescent="0.3">
      <c r="A1087" s="12" t="s">
        <v>1847</v>
      </c>
      <c r="B1087" s="13">
        <v>45977</v>
      </c>
      <c r="C1087" s="12" t="s">
        <v>57</v>
      </c>
      <c r="D1087" s="12" t="s">
        <v>58</v>
      </c>
      <c r="E1087" s="12" t="s">
        <v>59</v>
      </c>
      <c r="F1087" s="12" t="s">
        <v>1848</v>
      </c>
      <c r="G1087" s="12" t="s">
        <v>27</v>
      </c>
      <c r="H1087" s="12" t="s">
        <v>94</v>
      </c>
      <c r="I1087" s="12" t="s">
        <v>61</v>
      </c>
      <c r="J1087" s="12" t="s">
        <v>89</v>
      </c>
      <c r="K1087" s="12" t="s">
        <v>90</v>
      </c>
      <c r="L1087" s="12" t="s">
        <v>82</v>
      </c>
      <c r="M1087" s="12">
        <v>5</v>
      </c>
      <c r="N1087" s="14">
        <v>3538.94</v>
      </c>
      <c r="O1087" s="15">
        <v>0.2</v>
      </c>
      <c r="P1087" s="14">
        <v>14155.76</v>
      </c>
      <c r="Q1087" s="14">
        <v>10045.26</v>
      </c>
      <c r="R1087" s="14">
        <v>4110.5</v>
      </c>
      <c r="S1087" s="12" t="s">
        <v>33</v>
      </c>
      <c r="T1087" s="12" t="s">
        <v>71</v>
      </c>
      <c r="U1087" s="12">
        <v>4</v>
      </c>
      <c r="V1087" s="12" t="s">
        <v>65</v>
      </c>
    </row>
    <row r="1088" spans="1:22" x14ac:dyDescent="0.3">
      <c r="A1088" s="8" t="s">
        <v>1849</v>
      </c>
      <c r="B1088" s="9">
        <v>45875</v>
      </c>
      <c r="C1088" s="8" t="s">
        <v>125</v>
      </c>
      <c r="D1088" s="8" t="s">
        <v>126</v>
      </c>
      <c r="E1088" s="8" t="s">
        <v>25</v>
      </c>
      <c r="F1088" s="8" t="s">
        <v>970</v>
      </c>
      <c r="G1088" s="8" t="s">
        <v>41</v>
      </c>
      <c r="H1088" s="8" t="s">
        <v>94</v>
      </c>
      <c r="I1088" s="8" t="s">
        <v>68</v>
      </c>
      <c r="J1088" s="8" t="s">
        <v>69</v>
      </c>
      <c r="K1088" s="8" t="s">
        <v>137</v>
      </c>
      <c r="L1088" s="8" t="s">
        <v>77</v>
      </c>
      <c r="M1088" s="8">
        <v>2</v>
      </c>
      <c r="N1088" s="10">
        <v>513.07000000000005</v>
      </c>
      <c r="O1088" s="11">
        <v>0.2</v>
      </c>
      <c r="P1088" s="10">
        <v>820.91</v>
      </c>
      <c r="Q1088" s="10">
        <v>461.53</v>
      </c>
      <c r="R1088" s="10">
        <v>359.38</v>
      </c>
      <c r="S1088" s="8" t="s">
        <v>46</v>
      </c>
      <c r="T1088" s="8" t="s">
        <v>119</v>
      </c>
      <c r="U1088" s="8">
        <v>4</v>
      </c>
      <c r="V1088" s="8" t="s">
        <v>72</v>
      </c>
    </row>
    <row r="1089" spans="1:22" x14ac:dyDescent="0.3">
      <c r="A1089" s="12" t="s">
        <v>1850</v>
      </c>
      <c r="B1089" s="13">
        <v>45723</v>
      </c>
      <c r="C1089" s="12" t="s">
        <v>37</v>
      </c>
      <c r="D1089" s="12" t="s">
        <v>38</v>
      </c>
      <c r="E1089" s="12" t="s">
        <v>39</v>
      </c>
      <c r="F1089" s="12" t="s">
        <v>1751</v>
      </c>
      <c r="G1089" s="12" t="s">
        <v>41</v>
      </c>
      <c r="H1089" s="12" t="s">
        <v>94</v>
      </c>
      <c r="I1089" s="12" t="s">
        <v>29</v>
      </c>
      <c r="J1089" s="12" t="s">
        <v>30</v>
      </c>
      <c r="K1089" s="12" t="s">
        <v>31</v>
      </c>
      <c r="L1089" s="12" t="s">
        <v>32</v>
      </c>
      <c r="M1089" s="12">
        <v>2</v>
      </c>
      <c r="N1089" s="14">
        <v>4007.02</v>
      </c>
      <c r="O1089" s="15">
        <v>0.2</v>
      </c>
      <c r="P1089" s="14">
        <v>6411.23</v>
      </c>
      <c r="Q1089" s="14">
        <v>4374.5</v>
      </c>
      <c r="R1089" s="14">
        <v>2036.73</v>
      </c>
      <c r="S1089" s="12" t="s">
        <v>63</v>
      </c>
      <c r="T1089" s="12" t="s">
        <v>147</v>
      </c>
      <c r="U1089" s="12">
        <v>5</v>
      </c>
      <c r="V1089" s="12" t="s">
        <v>55</v>
      </c>
    </row>
    <row r="1090" spans="1:22" x14ac:dyDescent="0.3">
      <c r="A1090" s="8" t="s">
        <v>1851</v>
      </c>
      <c r="B1090" s="9">
        <v>45726</v>
      </c>
      <c r="C1090" s="8" t="s">
        <v>125</v>
      </c>
      <c r="D1090" s="8" t="s">
        <v>126</v>
      </c>
      <c r="E1090" s="8" t="s">
        <v>25</v>
      </c>
      <c r="F1090" s="8" t="s">
        <v>1486</v>
      </c>
      <c r="G1090" s="8" t="s">
        <v>27</v>
      </c>
      <c r="H1090" s="8" t="s">
        <v>28</v>
      </c>
      <c r="I1090" s="8" t="s">
        <v>68</v>
      </c>
      <c r="J1090" s="8" t="s">
        <v>30</v>
      </c>
      <c r="K1090" s="8" t="s">
        <v>31</v>
      </c>
      <c r="L1090" s="8" t="s">
        <v>77</v>
      </c>
      <c r="M1090" s="8">
        <v>5</v>
      </c>
      <c r="N1090" s="10">
        <v>4126.46</v>
      </c>
      <c r="O1090" s="11">
        <v>0.15</v>
      </c>
      <c r="P1090" s="10">
        <v>17537.45</v>
      </c>
      <c r="Q1090" s="10">
        <v>10553.86</v>
      </c>
      <c r="R1090" s="10">
        <v>6983.59</v>
      </c>
      <c r="S1090" s="8" t="s">
        <v>53</v>
      </c>
      <c r="T1090" s="8" t="s">
        <v>54</v>
      </c>
      <c r="U1090" s="8">
        <v>3</v>
      </c>
      <c r="V1090" s="8" t="s">
        <v>55</v>
      </c>
    </row>
    <row r="1091" spans="1:22" x14ac:dyDescent="0.3">
      <c r="A1091" s="12" t="s">
        <v>1852</v>
      </c>
      <c r="B1091" s="13">
        <v>45745</v>
      </c>
      <c r="C1091" s="12" t="s">
        <v>37</v>
      </c>
      <c r="D1091" s="12" t="s">
        <v>38</v>
      </c>
      <c r="E1091" s="12" t="s">
        <v>39</v>
      </c>
      <c r="F1091" s="12" t="s">
        <v>1559</v>
      </c>
      <c r="G1091" s="12" t="s">
        <v>27</v>
      </c>
      <c r="H1091" s="12" t="s">
        <v>94</v>
      </c>
      <c r="I1091" s="12" t="s">
        <v>61</v>
      </c>
      <c r="J1091" s="12" t="s">
        <v>69</v>
      </c>
      <c r="K1091" s="12" t="s">
        <v>180</v>
      </c>
      <c r="L1091" s="12" t="s">
        <v>45</v>
      </c>
      <c r="M1091" s="12">
        <v>5</v>
      </c>
      <c r="N1091" s="14">
        <v>1488.7</v>
      </c>
      <c r="O1091" s="15">
        <v>0.1</v>
      </c>
      <c r="P1091" s="14">
        <v>6699.15</v>
      </c>
      <c r="Q1091" s="14">
        <v>4409.29</v>
      </c>
      <c r="R1091" s="14">
        <v>2289.86</v>
      </c>
      <c r="S1091" s="12" t="s">
        <v>53</v>
      </c>
      <c r="T1091" s="12" t="s">
        <v>71</v>
      </c>
      <c r="U1091" s="12">
        <v>4</v>
      </c>
      <c r="V1091" s="12" t="s">
        <v>55</v>
      </c>
    </row>
    <row r="1092" spans="1:22" x14ac:dyDescent="0.3">
      <c r="A1092" s="8" t="s">
        <v>1853</v>
      </c>
      <c r="B1092" s="9">
        <v>45797</v>
      </c>
      <c r="C1092" s="8" t="s">
        <v>48</v>
      </c>
      <c r="D1092" s="8" t="s">
        <v>49</v>
      </c>
      <c r="E1092" s="8" t="s">
        <v>39</v>
      </c>
      <c r="F1092" s="8" t="s">
        <v>1854</v>
      </c>
      <c r="G1092" s="8" t="s">
        <v>27</v>
      </c>
      <c r="H1092" s="8" t="s">
        <v>94</v>
      </c>
      <c r="I1092" s="8" t="s">
        <v>61</v>
      </c>
      <c r="J1092" s="8" t="s">
        <v>69</v>
      </c>
      <c r="K1092" s="8" t="s">
        <v>180</v>
      </c>
      <c r="L1092" s="8" t="s">
        <v>103</v>
      </c>
      <c r="M1092" s="8">
        <v>5</v>
      </c>
      <c r="N1092" s="10">
        <v>1427.65</v>
      </c>
      <c r="O1092" s="11">
        <v>0.15</v>
      </c>
      <c r="P1092" s="10">
        <v>6067.51</v>
      </c>
      <c r="Q1092" s="10">
        <v>4295.8100000000004</v>
      </c>
      <c r="R1092" s="10">
        <v>1771.7</v>
      </c>
      <c r="S1092" s="8" t="s">
        <v>46</v>
      </c>
      <c r="T1092" s="8" t="s">
        <v>71</v>
      </c>
      <c r="U1092" s="8">
        <v>3</v>
      </c>
      <c r="V1092" s="8" t="s">
        <v>134</v>
      </c>
    </row>
    <row r="1093" spans="1:22" x14ac:dyDescent="0.3">
      <c r="A1093" s="12" t="s">
        <v>1855</v>
      </c>
      <c r="B1093" s="13">
        <v>45809</v>
      </c>
      <c r="C1093" s="12" t="s">
        <v>23</v>
      </c>
      <c r="D1093" s="12" t="s">
        <v>24</v>
      </c>
      <c r="E1093" s="12" t="s">
        <v>25</v>
      </c>
      <c r="F1093" s="12" t="s">
        <v>1854</v>
      </c>
      <c r="G1093" s="12" t="s">
        <v>27</v>
      </c>
      <c r="H1093" s="12" t="s">
        <v>42</v>
      </c>
      <c r="I1093" s="12" t="s">
        <v>61</v>
      </c>
      <c r="J1093" s="12" t="s">
        <v>43</v>
      </c>
      <c r="K1093" s="12" t="s">
        <v>44</v>
      </c>
      <c r="L1093" s="12" t="s">
        <v>175</v>
      </c>
      <c r="M1093" s="12">
        <v>2</v>
      </c>
      <c r="N1093" s="14">
        <v>598.69000000000005</v>
      </c>
      <c r="O1093" s="15">
        <v>0.05</v>
      </c>
      <c r="P1093" s="14">
        <v>1137.51</v>
      </c>
      <c r="Q1093" s="14">
        <v>527.29</v>
      </c>
      <c r="R1093" s="14">
        <v>610.22</v>
      </c>
      <c r="S1093" s="12" t="s">
        <v>53</v>
      </c>
      <c r="T1093" s="12" t="s">
        <v>147</v>
      </c>
      <c r="U1093" s="12">
        <v>4</v>
      </c>
      <c r="V1093" s="12" t="s">
        <v>157</v>
      </c>
    </row>
    <row r="1094" spans="1:22" x14ac:dyDescent="0.3">
      <c r="A1094" s="8" t="s">
        <v>1856</v>
      </c>
      <c r="B1094" s="9">
        <v>45912</v>
      </c>
      <c r="C1094" s="8" t="s">
        <v>48</v>
      </c>
      <c r="D1094" s="8" t="s">
        <v>49</v>
      </c>
      <c r="E1094" s="8" t="s">
        <v>39</v>
      </c>
      <c r="F1094" s="8" t="s">
        <v>1857</v>
      </c>
      <c r="G1094" s="8" t="s">
        <v>41</v>
      </c>
      <c r="H1094" s="8" t="s">
        <v>42</v>
      </c>
      <c r="I1094" s="8" t="s">
        <v>29</v>
      </c>
      <c r="J1094" s="8" t="s">
        <v>89</v>
      </c>
      <c r="K1094" s="8" t="s">
        <v>151</v>
      </c>
      <c r="L1094" s="8" t="s">
        <v>32</v>
      </c>
      <c r="M1094" s="8">
        <v>4</v>
      </c>
      <c r="N1094" s="10">
        <v>959.45</v>
      </c>
      <c r="O1094" s="11">
        <v>0.1</v>
      </c>
      <c r="P1094" s="10">
        <v>3454.02</v>
      </c>
      <c r="Q1094" s="10">
        <v>1911.53</v>
      </c>
      <c r="R1094" s="10">
        <v>1542.49</v>
      </c>
      <c r="S1094" s="8" t="s">
        <v>33</v>
      </c>
      <c r="T1094" s="8" t="s">
        <v>54</v>
      </c>
      <c r="U1094" s="8">
        <v>4</v>
      </c>
      <c r="V1094" s="8" t="s">
        <v>116</v>
      </c>
    </row>
    <row r="1095" spans="1:22" x14ac:dyDescent="0.3">
      <c r="A1095" s="12" t="s">
        <v>1858</v>
      </c>
      <c r="B1095" s="13">
        <v>46001</v>
      </c>
      <c r="C1095" s="12" t="s">
        <v>131</v>
      </c>
      <c r="D1095" s="12" t="s">
        <v>132</v>
      </c>
      <c r="E1095" s="12" t="s">
        <v>25</v>
      </c>
      <c r="F1095" s="12" t="s">
        <v>1050</v>
      </c>
      <c r="G1095" s="12" t="s">
        <v>41</v>
      </c>
      <c r="H1095" s="12" t="s">
        <v>28</v>
      </c>
      <c r="I1095" s="12" t="s">
        <v>29</v>
      </c>
      <c r="J1095" s="12" t="s">
        <v>69</v>
      </c>
      <c r="K1095" s="12" t="s">
        <v>137</v>
      </c>
      <c r="L1095" s="12" t="s">
        <v>175</v>
      </c>
      <c r="M1095" s="12">
        <v>1</v>
      </c>
      <c r="N1095" s="14">
        <v>475.61</v>
      </c>
      <c r="O1095" s="15">
        <v>0</v>
      </c>
      <c r="P1095" s="14">
        <v>475.61</v>
      </c>
      <c r="Q1095" s="14">
        <v>229.18</v>
      </c>
      <c r="R1095" s="14">
        <v>246.43</v>
      </c>
      <c r="S1095" s="12" t="s">
        <v>83</v>
      </c>
      <c r="T1095" s="12" t="s">
        <v>156</v>
      </c>
      <c r="U1095" s="12">
        <v>3</v>
      </c>
      <c r="V1095" s="12" t="s">
        <v>35</v>
      </c>
    </row>
    <row r="1096" spans="1:22" x14ac:dyDescent="0.3">
      <c r="A1096" s="8" t="s">
        <v>1859</v>
      </c>
      <c r="B1096" s="9">
        <v>45856</v>
      </c>
      <c r="C1096" s="8" t="s">
        <v>57</v>
      </c>
      <c r="D1096" s="8" t="s">
        <v>58</v>
      </c>
      <c r="E1096" s="8" t="s">
        <v>59</v>
      </c>
      <c r="F1096" s="8" t="s">
        <v>1860</v>
      </c>
      <c r="G1096" s="8" t="s">
        <v>41</v>
      </c>
      <c r="H1096" s="8" t="s">
        <v>81</v>
      </c>
      <c r="I1096" s="8" t="s">
        <v>61</v>
      </c>
      <c r="J1096" s="8" t="s">
        <v>75</v>
      </c>
      <c r="K1096" s="8" t="s">
        <v>154</v>
      </c>
      <c r="L1096" s="8" t="s">
        <v>103</v>
      </c>
      <c r="M1096" s="8">
        <v>2</v>
      </c>
      <c r="N1096" s="10">
        <v>1976.08</v>
      </c>
      <c r="O1096" s="11">
        <v>0.05</v>
      </c>
      <c r="P1096" s="10">
        <v>3754.55</v>
      </c>
      <c r="Q1096" s="10">
        <v>2176.25</v>
      </c>
      <c r="R1096" s="10">
        <v>1578.3</v>
      </c>
      <c r="S1096" s="8" t="s">
        <v>53</v>
      </c>
      <c r="T1096" s="8" t="s">
        <v>78</v>
      </c>
      <c r="U1096" s="8">
        <v>3</v>
      </c>
      <c r="V1096" s="8" t="s">
        <v>120</v>
      </c>
    </row>
    <row r="1097" spans="1:22" x14ac:dyDescent="0.3">
      <c r="A1097" s="12" t="s">
        <v>1861</v>
      </c>
      <c r="B1097" s="13">
        <v>45660</v>
      </c>
      <c r="C1097" s="12" t="s">
        <v>57</v>
      </c>
      <c r="D1097" s="12" t="s">
        <v>58</v>
      </c>
      <c r="E1097" s="12" t="s">
        <v>59</v>
      </c>
      <c r="F1097" s="12" t="s">
        <v>1001</v>
      </c>
      <c r="G1097" s="12" t="s">
        <v>27</v>
      </c>
      <c r="H1097" s="12" t="s">
        <v>28</v>
      </c>
      <c r="I1097" s="12" t="s">
        <v>68</v>
      </c>
      <c r="J1097" s="12" t="s">
        <v>75</v>
      </c>
      <c r="K1097" s="12" t="s">
        <v>95</v>
      </c>
      <c r="L1097" s="12" t="s">
        <v>77</v>
      </c>
      <c r="M1097" s="12">
        <v>1</v>
      </c>
      <c r="N1097" s="14">
        <v>25947.15</v>
      </c>
      <c r="O1097" s="15">
        <v>0.1</v>
      </c>
      <c r="P1097" s="14">
        <v>23352.44</v>
      </c>
      <c r="Q1097" s="14">
        <v>18851.73</v>
      </c>
      <c r="R1097" s="14">
        <v>4500.71</v>
      </c>
      <c r="S1097" s="12" t="s">
        <v>53</v>
      </c>
      <c r="T1097" s="12" t="s">
        <v>78</v>
      </c>
      <c r="U1097" s="12">
        <v>3</v>
      </c>
      <c r="V1097" s="12" t="s">
        <v>84</v>
      </c>
    </row>
    <row r="1098" spans="1:22" x14ac:dyDescent="0.3">
      <c r="A1098" s="8" t="s">
        <v>1862</v>
      </c>
      <c r="B1098" s="9">
        <v>45898</v>
      </c>
      <c r="C1098" s="8" t="s">
        <v>131</v>
      </c>
      <c r="D1098" s="8" t="s">
        <v>132</v>
      </c>
      <c r="E1098" s="8" t="s">
        <v>25</v>
      </c>
      <c r="F1098" s="8" t="s">
        <v>1225</v>
      </c>
      <c r="G1098" s="8" t="s">
        <v>27</v>
      </c>
      <c r="H1098" s="8" t="s">
        <v>42</v>
      </c>
      <c r="I1098" s="8" t="s">
        <v>61</v>
      </c>
      <c r="J1098" s="8" t="s">
        <v>101</v>
      </c>
      <c r="K1098" s="8" t="s">
        <v>217</v>
      </c>
      <c r="L1098" s="8" t="s">
        <v>77</v>
      </c>
      <c r="M1098" s="8">
        <v>5</v>
      </c>
      <c r="N1098" s="10">
        <v>3027.17</v>
      </c>
      <c r="O1098" s="11">
        <v>0.25</v>
      </c>
      <c r="P1098" s="10">
        <v>11351.89</v>
      </c>
      <c r="Q1098" s="10">
        <v>8519.43</v>
      </c>
      <c r="R1098" s="10">
        <v>2832.46</v>
      </c>
      <c r="S1098" s="8" t="s">
        <v>63</v>
      </c>
      <c r="T1098" s="8" t="s">
        <v>34</v>
      </c>
      <c r="U1098" s="8">
        <v>4</v>
      </c>
      <c r="V1098" s="8" t="s">
        <v>72</v>
      </c>
    </row>
    <row r="1099" spans="1:22" x14ac:dyDescent="0.3">
      <c r="A1099" s="12" t="s">
        <v>1863</v>
      </c>
      <c r="B1099" s="13">
        <v>45788</v>
      </c>
      <c r="C1099" s="12" t="s">
        <v>131</v>
      </c>
      <c r="D1099" s="12" t="s">
        <v>132</v>
      </c>
      <c r="E1099" s="12" t="s">
        <v>25</v>
      </c>
      <c r="F1099" s="12" t="s">
        <v>1864</v>
      </c>
      <c r="G1099" s="12" t="s">
        <v>27</v>
      </c>
      <c r="H1099" s="12" t="s">
        <v>28</v>
      </c>
      <c r="I1099" s="12" t="s">
        <v>68</v>
      </c>
      <c r="J1099" s="12" t="s">
        <v>43</v>
      </c>
      <c r="K1099" s="12" t="s">
        <v>44</v>
      </c>
      <c r="L1099" s="12" t="s">
        <v>77</v>
      </c>
      <c r="M1099" s="12">
        <v>4</v>
      </c>
      <c r="N1099" s="14">
        <v>613.83000000000004</v>
      </c>
      <c r="O1099" s="15">
        <v>0.25</v>
      </c>
      <c r="P1099" s="14">
        <v>1841.49</v>
      </c>
      <c r="Q1099" s="14">
        <v>1029.96</v>
      </c>
      <c r="R1099" s="14">
        <v>811.53</v>
      </c>
      <c r="S1099" s="12" t="s">
        <v>46</v>
      </c>
      <c r="T1099" s="12" t="s">
        <v>34</v>
      </c>
      <c r="U1099" s="12">
        <v>5</v>
      </c>
      <c r="V1099" s="12" t="s">
        <v>134</v>
      </c>
    </row>
    <row r="1100" spans="1:22" x14ac:dyDescent="0.3">
      <c r="A1100" s="8" t="s">
        <v>1865</v>
      </c>
      <c r="B1100" s="9">
        <v>45859</v>
      </c>
      <c r="C1100" s="8" t="s">
        <v>125</v>
      </c>
      <c r="D1100" s="8" t="s">
        <v>126</v>
      </c>
      <c r="E1100" s="8" t="s">
        <v>25</v>
      </c>
      <c r="F1100" s="8" t="s">
        <v>444</v>
      </c>
      <c r="G1100" s="8" t="s">
        <v>41</v>
      </c>
      <c r="H1100" s="8" t="s">
        <v>94</v>
      </c>
      <c r="I1100" s="8" t="s">
        <v>68</v>
      </c>
      <c r="J1100" s="8" t="s">
        <v>30</v>
      </c>
      <c r="K1100" s="8" t="s">
        <v>62</v>
      </c>
      <c r="L1100" s="8" t="s">
        <v>82</v>
      </c>
      <c r="M1100" s="8">
        <v>2</v>
      </c>
      <c r="N1100" s="10">
        <v>1031.5999999999999</v>
      </c>
      <c r="O1100" s="11">
        <v>0.1</v>
      </c>
      <c r="P1100" s="10">
        <v>1856.88</v>
      </c>
      <c r="Q1100" s="10">
        <v>916.27</v>
      </c>
      <c r="R1100" s="10">
        <v>940.61</v>
      </c>
      <c r="S1100" s="8" t="s">
        <v>33</v>
      </c>
      <c r="T1100" s="8" t="s">
        <v>104</v>
      </c>
      <c r="U1100" s="8">
        <v>5</v>
      </c>
      <c r="V1100" s="8" t="s">
        <v>120</v>
      </c>
    </row>
    <row r="1101" spans="1:22" x14ac:dyDescent="0.3">
      <c r="A1101" s="12" t="s">
        <v>1866</v>
      </c>
      <c r="B1101" s="13">
        <v>46022</v>
      </c>
      <c r="C1101" s="12" t="s">
        <v>57</v>
      </c>
      <c r="D1101" s="12" t="s">
        <v>58</v>
      </c>
      <c r="E1101" s="12" t="s">
        <v>59</v>
      </c>
      <c r="F1101" s="12" t="s">
        <v>820</v>
      </c>
      <c r="G1101" s="12" t="s">
        <v>41</v>
      </c>
      <c r="H1101" s="12" t="s">
        <v>28</v>
      </c>
      <c r="I1101" s="12" t="s">
        <v>68</v>
      </c>
      <c r="J1101" s="12" t="s">
        <v>43</v>
      </c>
      <c r="K1101" s="12" t="s">
        <v>44</v>
      </c>
      <c r="L1101" s="12" t="s">
        <v>175</v>
      </c>
      <c r="M1101" s="12">
        <v>1</v>
      </c>
      <c r="N1101" s="14">
        <v>579.61</v>
      </c>
      <c r="O1101" s="15">
        <v>0.3</v>
      </c>
      <c r="P1101" s="14">
        <v>405.73</v>
      </c>
      <c r="Q1101" s="14">
        <v>253.07</v>
      </c>
      <c r="R1101" s="14">
        <v>152.66</v>
      </c>
      <c r="S1101" s="12" t="s">
        <v>33</v>
      </c>
      <c r="T1101" s="12" t="s">
        <v>71</v>
      </c>
      <c r="U1101" s="12">
        <v>5</v>
      </c>
      <c r="V1101" s="12" t="s">
        <v>35</v>
      </c>
    </row>
    <row r="1102" spans="1:22" x14ac:dyDescent="0.3">
      <c r="A1102" s="8" t="s">
        <v>1867</v>
      </c>
      <c r="B1102" s="9">
        <v>45698</v>
      </c>
      <c r="C1102" s="8" t="s">
        <v>113</v>
      </c>
      <c r="D1102" s="8" t="s">
        <v>114</v>
      </c>
      <c r="E1102" s="8" t="s">
        <v>59</v>
      </c>
      <c r="F1102" s="8" t="s">
        <v>1868</v>
      </c>
      <c r="G1102" s="8" t="s">
        <v>41</v>
      </c>
      <c r="H1102" s="8" t="s">
        <v>94</v>
      </c>
      <c r="I1102" s="8" t="s">
        <v>61</v>
      </c>
      <c r="J1102" s="8" t="s">
        <v>89</v>
      </c>
      <c r="K1102" s="8" t="s">
        <v>90</v>
      </c>
      <c r="L1102" s="8" t="s">
        <v>32</v>
      </c>
      <c r="M1102" s="8">
        <v>4</v>
      </c>
      <c r="N1102" s="10">
        <v>3574.85</v>
      </c>
      <c r="O1102" s="11">
        <v>0.25</v>
      </c>
      <c r="P1102" s="10">
        <v>10724.55</v>
      </c>
      <c r="Q1102" s="10">
        <v>8634.58</v>
      </c>
      <c r="R1102" s="10">
        <v>2089.9699999999998</v>
      </c>
      <c r="S1102" s="8" t="s">
        <v>63</v>
      </c>
      <c r="T1102" s="8" t="s">
        <v>104</v>
      </c>
      <c r="U1102" s="8">
        <v>3</v>
      </c>
      <c r="V1102" s="8" t="s">
        <v>105</v>
      </c>
    </row>
    <row r="1103" spans="1:22" x14ac:dyDescent="0.3">
      <c r="A1103" s="12" t="s">
        <v>1869</v>
      </c>
      <c r="B1103" s="13">
        <v>45746</v>
      </c>
      <c r="C1103" s="12" t="s">
        <v>37</v>
      </c>
      <c r="D1103" s="12" t="s">
        <v>38</v>
      </c>
      <c r="E1103" s="12" t="s">
        <v>39</v>
      </c>
      <c r="F1103" s="12" t="s">
        <v>1870</v>
      </c>
      <c r="G1103" s="12" t="s">
        <v>41</v>
      </c>
      <c r="H1103" s="12" t="s">
        <v>81</v>
      </c>
      <c r="I1103" s="12" t="s">
        <v>68</v>
      </c>
      <c r="J1103" s="12" t="s">
        <v>30</v>
      </c>
      <c r="K1103" s="12" t="s">
        <v>144</v>
      </c>
      <c r="L1103" s="12" t="s">
        <v>32</v>
      </c>
      <c r="M1103" s="12">
        <v>1</v>
      </c>
      <c r="N1103" s="14">
        <v>2581.48</v>
      </c>
      <c r="O1103" s="15">
        <v>0.05</v>
      </c>
      <c r="P1103" s="14">
        <v>2452.41</v>
      </c>
      <c r="Q1103" s="14">
        <v>1532.31</v>
      </c>
      <c r="R1103" s="14">
        <v>920.1</v>
      </c>
      <c r="S1103" s="12" t="s">
        <v>83</v>
      </c>
      <c r="T1103" s="12" t="s">
        <v>71</v>
      </c>
      <c r="U1103" s="12">
        <v>4</v>
      </c>
      <c r="V1103" s="12" t="s">
        <v>55</v>
      </c>
    </row>
    <row r="1104" spans="1:22" x14ac:dyDescent="0.3">
      <c r="A1104" s="8" t="s">
        <v>1871</v>
      </c>
      <c r="B1104" s="9">
        <v>45892</v>
      </c>
      <c r="C1104" s="8" t="s">
        <v>113</v>
      </c>
      <c r="D1104" s="8" t="s">
        <v>114</v>
      </c>
      <c r="E1104" s="8" t="s">
        <v>59</v>
      </c>
      <c r="F1104" s="8" t="s">
        <v>1539</v>
      </c>
      <c r="G1104" s="8" t="s">
        <v>27</v>
      </c>
      <c r="H1104" s="8" t="s">
        <v>42</v>
      </c>
      <c r="I1104" s="8" t="s">
        <v>29</v>
      </c>
      <c r="J1104" s="8" t="s">
        <v>43</v>
      </c>
      <c r="K1104" s="8" t="s">
        <v>44</v>
      </c>
      <c r="L1104" s="8" t="s">
        <v>77</v>
      </c>
      <c r="M1104" s="8">
        <v>4</v>
      </c>
      <c r="N1104" s="10">
        <v>575.66</v>
      </c>
      <c r="O1104" s="11">
        <v>0</v>
      </c>
      <c r="P1104" s="10">
        <v>2302.64</v>
      </c>
      <c r="Q1104" s="10">
        <v>1024.69</v>
      </c>
      <c r="R1104" s="10">
        <v>1277.95</v>
      </c>
      <c r="S1104" s="8" t="s">
        <v>46</v>
      </c>
      <c r="T1104" s="8" t="s">
        <v>71</v>
      </c>
      <c r="U1104" s="8">
        <v>5</v>
      </c>
      <c r="V1104" s="8" t="s">
        <v>72</v>
      </c>
    </row>
    <row r="1105" spans="1:22" x14ac:dyDescent="0.3">
      <c r="A1105" s="12" t="s">
        <v>1872</v>
      </c>
      <c r="B1105" s="13">
        <v>46000</v>
      </c>
      <c r="C1105" s="12" t="s">
        <v>125</v>
      </c>
      <c r="D1105" s="12" t="s">
        <v>126</v>
      </c>
      <c r="E1105" s="12" t="s">
        <v>25</v>
      </c>
      <c r="F1105" s="12" t="s">
        <v>957</v>
      </c>
      <c r="G1105" s="12" t="s">
        <v>41</v>
      </c>
      <c r="H1105" s="12" t="s">
        <v>42</v>
      </c>
      <c r="I1105" s="12" t="s">
        <v>68</v>
      </c>
      <c r="J1105" s="12" t="s">
        <v>101</v>
      </c>
      <c r="K1105" s="12" t="s">
        <v>217</v>
      </c>
      <c r="L1105" s="12" t="s">
        <v>45</v>
      </c>
      <c r="M1105" s="12">
        <v>3</v>
      </c>
      <c r="N1105" s="14">
        <v>2928.35</v>
      </c>
      <c r="O1105" s="15">
        <v>0.15</v>
      </c>
      <c r="P1105" s="14">
        <v>7467.29</v>
      </c>
      <c r="Q1105" s="14">
        <v>5244.2</v>
      </c>
      <c r="R1105" s="14">
        <v>2223.09</v>
      </c>
      <c r="S1105" s="12" t="s">
        <v>83</v>
      </c>
      <c r="T1105" s="12" t="s">
        <v>71</v>
      </c>
      <c r="U1105" s="12">
        <v>4</v>
      </c>
      <c r="V1105" s="12" t="s">
        <v>35</v>
      </c>
    </row>
    <row r="1106" spans="1:22" x14ac:dyDescent="0.3">
      <c r="A1106" s="8" t="s">
        <v>1873</v>
      </c>
      <c r="B1106" s="9">
        <v>45687</v>
      </c>
      <c r="C1106" s="8" t="s">
        <v>57</v>
      </c>
      <c r="D1106" s="8" t="s">
        <v>58</v>
      </c>
      <c r="E1106" s="8" t="s">
        <v>59</v>
      </c>
      <c r="F1106" s="8" t="s">
        <v>631</v>
      </c>
      <c r="G1106" s="8" t="s">
        <v>41</v>
      </c>
      <c r="H1106" s="8" t="s">
        <v>81</v>
      </c>
      <c r="I1106" s="8" t="s">
        <v>68</v>
      </c>
      <c r="J1106" s="8" t="s">
        <v>69</v>
      </c>
      <c r="K1106" s="8" t="s">
        <v>70</v>
      </c>
      <c r="L1106" s="8" t="s">
        <v>103</v>
      </c>
      <c r="M1106" s="8">
        <v>5</v>
      </c>
      <c r="N1106" s="10">
        <v>891.97</v>
      </c>
      <c r="O1106" s="11">
        <v>0</v>
      </c>
      <c r="P1106" s="10">
        <v>4459.8500000000004</v>
      </c>
      <c r="Q1106" s="10">
        <v>2313.75</v>
      </c>
      <c r="R1106" s="10">
        <v>2146.1</v>
      </c>
      <c r="S1106" s="8" t="s">
        <v>83</v>
      </c>
      <c r="T1106" s="8" t="s">
        <v>71</v>
      </c>
      <c r="U1106" s="8">
        <v>5</v>
      </c>
      <c r="V1106" s="8" t="s">
        <v>84</v>
      </c>
    </row>
    <row r="1107" spans="1:22" x14ac:dyDescent="0.3">
      <c r="A1107" s="12" t="s">
        <v>1874</v>
      </c>
      <c r="B1107" s="13">
        <v>45890</v>
      </c>
      <c r="C1107" s="12" t="s">
        <v>125</v>
      </c>
      <c r="D1107" s="12" t="s">
        <v>126</v>
      </c>
      <c r="E1107" s="12" t="s">
        <v>25</v>
      </c>
      <c r="F1107" s="12" t="s">
        <v>1202</v>
      </c>
      <c r="G1107" s="12" t="s">
        <v>41</v>
      </c>
      <c r="H1107" s="12" t="s">
        <v>28</v>
      </c>
      <c r="I1107" s="12" t="s">
        <v>68</v>
      </c>
      <c r="J1107" s="12" t="s">
        <v>43</v>
      </c>
      <c r="K1107" s="12" t="s">
        <v>51</v>
      </c>
      <c r="L1107" s="12" t="s">
        <v>52</v>
      </c>
      <c r="M1107" s="12">
        <v>4</v>
      </c>
      <c r="N1107" s="14">
        <v>1474.51</v>
      </c>
      <c r="O1107" s="15">
        <v>0.25</v>
      </c>
      <c r="P1107" s="14">
        <v>4423.53</v>
      </c>
      <c r="Q1107" s="14">
        <v>2914.79</v>
      </c>
      <c r="R1107" s="14">
        <v>1508.74</v>
      </c>
      <c r="S1107" s="12" t="s">
        <v>63</v>
      </c>
      <c r="T1107" s="12" t="s">
        <v>34</v>
      </c>
      <c r="U1107" s="12">
        <v>5</v>
      </c>
      <c r="V1107" s="12" t="s">
        <v>72</v>
      </c>
    </row>
    <row r="1108" spans="1:22" x14ac:dyDescent="0.3">
      <c r="A1108" s="8" t="s">
        <v>1875</v>
      </c>
      <c r="B1108" s="9">
        <v>45679</v>
      </c>
      <c r="C1108" s="8" t="s">
        <v>57</v>
      </c>
      <c r="D1108" s="8" t="s">
        <v>58</v>
      </c>
      <c r="E1108" s="8" t="s">
        <v>59</v>
      </c>
      <c r="F1108" s="8" t="s">
        <v>1566</v>
      </c>
      <c r="G1108" s="8" t="s">
        <v>27</v>
      </c>
      <c r="H1108" s="8" t="s">
        <v>42</v>
      </c>
      <c r="I1108" s="8" t="s">
        <v>29</v>
      </c>
      <c r="J1108" s="8" t="s">
        <v>69</v>
      </c>
      <c r="K1108" s="8" t="s">
        <v>137</v>
      </c>
      <c r="L1108" s="8" t="s">
        <v>91</v>
      </c>
      <c r="M1108" s="8">
        <v>4</v>
      </c>
      <c r="N1108" s="10">
        <v>483.14</v>
      </c>
      <c r="O1108" s="11">
        <v>0</v>
      </c>
      <c r="P1108" s="10">
        <v>1932.56</v>
      </c>
      <c r="Q1108" s="10">
        <v>878.84</v>
      </c>
      <c r="R1108" s="10">
        <v>1053.72</v>
      </c>
      <c r="S1108" s="8" t="s">
        <v>63</v>
      </c>
      <c r="T1108" s="8" t="s">
        <v>78</v>
      </c>
      <c r="U1108" s="8">
        <v>5</v>
      </c>
      <c r="V1108" s="8" t="s">
        <v>84</v>
      </c>
    </row>
    <row r="1109" spans="1:22" x14ac:dyDescent="0.3">
      <c r="A1109" s="12" t="s">
        <v>1876</v>
      </c>
      <c r="B1109" s="13">
        <v>45835</v>
      </c>
      <c r="C1109" s="12" t="s">
        <v>37</v>
      </c>
      <c r="D1109" s="12" t="s">
        <v>38</v>
      </c>
      <c r="E1109" s="12" t="s">
        <v>39</v>
      </c>
      <c r="F1109" s="12" t="s">
        <v>1516</v>
      </c>
      <c r="G1109" s="12" t="s">
        <v>27</v>
      </c>
      <c r="H1109" s="12" t="s">
        <v>42</v>
      </c>
      <c r="I1109" s="12" t="s">
        <v>68</v>
      </c>
      <c r="J1109" s="12" t="s">
        <v>30</v>
      </c>
      <c r="K1109" s="12" t="s">
        <v>31</v>
      </c>
      <c r="L1109" s="12" t="s">
        <v>91</v>
      </c>
      <c r="M1109" s="12">
        <v>4</v>
      </c>
      <c r="N1109" s="14">
        <v>3893.28</v>
      </c>
      <c r="O1109" s="15">
        <v>0.05</v>
      </c>
      <c r="P1109" s="14">
        <v>14794.46</v>
      </c>
      <c r="Q1109" s="14">
        <v>9135.02</v>
      </c>
      <c r="R1109" s="14">
        <v>5659.44</v>
      </c>
      <c r="S1109" s="12" t="s">
        <v>83</v>
      </c>
      <c r="T1109" s="12" t="s">
        <v>78</v>
      </c>
      <c r="U1109" s="12">
        <v>4</v>
      </c>
      <c r="V1109" s="12" t="s">
        <v>157</v>
      </c>
    </row>
    <row r="1110" spans="1:22" x14ac:dyDescent="0.3">
      <c r="A1110" s="8" t="s">
        <v>1877</v>
      </c>
      <c r="B1110" s="9">
        <v>45902</v>
      </c>
      <c r="C1110" s="8" t="s">
        <v>131</v>
      </c>
      <c r="D1110" s="8" t="s">
        <v>132</v>
      </c>
      <c r="E1110" s="8" t="s">
        <v>25</v>
      </c>
      <c r="F1110" s="8" t="s">
        <v>1419</v>
      </c>
      <c r="G1110" s="8" t="s">
        <v>41</v>
      </c>
      <c r="H1110" s="8" t="s">
        <v>28</v>
      </c>
      <c r="I1110" s="8" t="s">
        <v>29</v>
      </c>
      <c r="J1110" s="8" t="s">
        <v>89</v>
      </c>
      <c r="K1110" s="8" t="s">
        <v>90</v>
      </c>
      <c r="L1110" s="8" t="s">
        <v>77</v>
      </c>
      <c r="M1110" s="8">
        <v>2</v>
      </c>
      <c r="N1110" s="10">
        <v>3623.63</v>
      </c>
      <c r="O1110" s="11">
        <v>0.15</v>
      </c>
      <c r="P1110" s="10">
        <v>6160.17</v>
      </c>
      <c r="Q1110" s="10">
        <v>4364.88</v>
      </c>
      <c r="R1110" s="10">
        <v>1795.29</v>
      </c>
      <c r="S1110" s="8" t="s">
        <v>83</v>
      </c>
      <c r="T1110" s="8" t="s">
        <v>34</v>
      </c>
      <c r="U1110" s="8">
        <v>5</v>
      </c>
      <c r="V1110" s="8" t="s">
        <v>116</v>
      </c>
    </row>
    <row r="1111" spans="1:22" x14ac:dyDescent="0.3">
      <c r="A1111" s="12" t="s">
        <v>1878</v>
      </c>
      <c r="B1111" s="13">
        <v>45910</v>
      </c>
      <c r="C1111" s="12" t="s">
        <v>48</v>
      </c>
      <c r="D1111" s="12" t="s">
        <v>49</v>
      </c>
      <c r="E1111" s="12" t="s">
        <v>39</v>
      </c>
      <c r="F1111" s="12" t="s">
        <v>1879</v>
      </c>
      <c r="G1111" s="12" t="s">
        <v>27</v>
      </c>
      <c r="H1111" s="12" t="s">
        <v>81</v>
      </c>
      <c r="I1111" s="12" t="s">
        <v>61</v>
      </c>
      <c r="J1111" s="12" t="s">
        <v>43</v>
      </c>
      <c r="K1111" s="12" t="s">
        <v>44</v>
      </c>
      <c r="L1111" s="12" t="s">
        <v>175</v>
      </c>
      <c r="M1111" s="12">
        <v>5</v>
      </c>
      <c r="N1111" s="14">
        <v>628.47</v>
      </c>
      <c r="O1111" s="15">
        <v>0.2</v>
      </c>
      <c r="P1111" s="14">
        <v>2513.88</v>
      </c>
      <c r="Q1111" s="14">
        <v>1283.8800000000001</v>
      </c>
      <c r="R1111" s="14">
        <v>1230</v>
      </c>
      <c r="S1111" s="12" t="s">
        <v>83</v>
      </c>
      <c r="T1111" s="12" t="s">
        <v>111</v>
      </c>
      <c r="U1111" s="12">
        <v>3</v>
      </c>
      <c r="V1111" s="12" t="s">
        <v>116</v>
      </c>
    </row>
    <row r="1112" spans="1:22" x14ac:dyDescent="0.3">
      <c r="A1112" s="8" t="s">
        <v>1880</v>
      </c>
      <c r="B1112" s="9">
        <v>45933</v>
      </c>
      <c r="C1112" s="8" t="s">
        <v>131</v>
      </c>
      <c r="D1112" s="8" t="s">
        <v>132</v>
      </c>
      <c r="E1112" s="8" t="s">
        <v>25</v>
      </c>
      <c r="F1112" s="8" t="s">
        <v>867</v>
      </c>
      <c r="G1112" s="8" t="s">
        <v>41</v>
      </c>
      <c r="H1112" s="8" t="s">
        <v>81</v>
      </c>
      <c r="I1112" s="8" t="s">
        <v>29</v>
      </c>
      <c r="J1112" s="8" t="s">
        <v>89</v>
      </c>
      <c r="K1112" s="8" t="s">
        <v>89</v>
      </c>
      <c r="L1112" s="8" t="s">
        <v>45</v>
      </c>
      <c r="M1112" s="8">
        <v>5</v>
      </c>
      <c r="N1112" s="10">
        <v>1307.2</v>
      </c>
      <c r="O1112" s="11">
        <v>0.1</v>
      </c>
      <c r="P1112" s="10">
        <v>5882.4</v>
      </c>
      <c r="Q1112" s="10">
        <v>3424.74</v>
      </c>
      <c r="R1112" s="10">
        <v>2457.66</v>
      </c>
      <c r="S1112" s="8" t="s">
        <v>46</v>
      </c>
      <c r="T1112" s="8" t="s">
        <v>104</v>
      </c>
      <c r="U1112" s="8">
        <v>4</v>
      </c>
      <c r="V1112" s="8" t="s">
        <v>123</v>
      </c>
    </row>
    <row r="1113" spans="1:22" x14ac:dyDescent="0.3">
      <c r="A1113" s="12" t="s">
        <v>1881</v>
      </c>
      <c r="B1113" s="13">
        <v>45827</v>
      </c>
      <c r="C1113" s="12" t="s">
        <v>107</v>
      </c>
      <c r="D1113" s="12" t="s">
        <v>108</v>
      </c>
      <c r="E1113" s="12" t="s">
        <v>39</v>
      </c>
      <c r="F1113" s="12" t="s">
        <v>428</v>
      </c>
      <c r="G1113" s="12" t="s">
        <v>27</v>
      </c>
      <c r="H1113" s="12" t="s">
        <v>81</v>
      </c>
      <c r="I1113" s="12" t="s">
        <v>61</v>
      </c>
      <c r="J1113" s="12" t="s">
        <v>101</v>
      </c>
      <c r="K1113" s="12" t="s">
        <v>217</v>
      </c>
      <c r="L1113" s="12" t="s">
        <v>45</v>
      </c>
      <c r="M1113" s="12">
        <v>5</v>
      </c>
      <c r="N1113" s="14">
        <v>3070.95</v>
      </c>
      <c r="O1113" s="15">
        <v>0.15</v>
      </c>
      <c r="P1113" s="14">
        <v>13051.54</v>
      </c>
      <c r="Q1113" s="14">
        <v>8876.14</v>
      </c>
      <c r="R1113" s="14">
        <v>4175.3999999999996</v>
      </c>
      <c r="S1113" s="12" t="s">
        <v>33</v>
      </c>
      <c r="T1113" s="12" t="s">
        <v>147</v>
      </c>
      <c r="U1113" s="12">
        <v>3</v>
      </c>
      <c r="V1113" s="12" t="s">
        <v>157</v>
      </c>
    </row>
    <row r="1114" spans="1:22" x14ac:dyDescent="0.3">
      <c r="A1114" s="8" t="s">
        <v>1882</v>
      </c>
      <c r="B1114" s="9">
        <v>45804</v>
      </c>
      <c r="C1114" s="8" t="s">
        <v>57</v>
      </c>
      <c r="D1114" s="8" t="s">
        <v>58</v>
      </c>
      <c r="E1114" s="8" t="s">
        <v>59</v>
      </c>
      <c r="F1114" s="8" t="s">
        <v>1125</v>
      </c>
      <c r="G1114" s="8" t="s">
        <v>27</v>
      </c>
      <c r="H1114" s="8" t="s">
        <v>28</v>
      </c>
      <c r="I1114" s="8" t="s">
        <v>68</v>
      </c>
      <c r="J1114" s="8" t="s">
        <v>43</v>
      </c>
      <c r="K1114" s="8" t="s">
        <v>162</v>
      </c>
      <c r="L1114" s="8" t="s">
        <v>77</v>
      </c>
      <c r="M1114" s="8">
        <v>1</v>
      </c>
      <c r="N1114" s="10">
        <v>915.81</v>
      </c>
      <c r="O1114" s="11">
        <v>0.05</v>
      </c>
      <c r="P1114" s="10">
        <v>870.02</v>
      </c>
      <c r="Q1114" s="10">
        <v>403.16</v>
      </c>
      <c r="R1114" s="10">
        <v>466.86</v>
      </c>
      <c r="S1114" s="8" t="s">
        <v>83</v>
      </c>
      <c r="T1114" s="8" t="s">
        <v>71</v>
      </c>
      <c r="U1114" s="8">
        <v>3</v>
      </c>
      <c r="V1114" s="8" t="s">
        <v>134</v>
      </c>
    </row>
    <row r="1115" spans="1:22" x14ac:dyDescent="0.3">
      <c r="A1115" s="12" t="s">
        <v>1883</v>
      </c>
      <c r="B1115" s="13">
        <v>45824</v>
      </c>
      <c r="C1115" s="12" t="s">
        <v>57</v>
      </c>
      <c r="D1115" s="12" t="s">
        <v>58</v>
      </c>
      <c r="E1115" s="12" t="s">
        <v>59</v>
      </c>
      <c r="F1115" s="12" t="s">
        <v>1145</v>
      </c>
      <c r="G1115" s="12" t="s">
        <v>27</v>
      </c>
      <c r="H1115" s="12" t="s">
        <v>42</v>
      </c>
      <c r="I1115" s="12" t="s">
        <v>61</v>
      </c>
      <c r="J1115" s="12" t="s">
        <v>30</v>
      </c>
      <c r="K1115" s="12" t="s">
        <v>144</v>
      </c>
      <c r="L1115" s="12" t="s">
        <v>103</v>
      </c>
      <c r="M1115" s="12">
        <v>5</v>
      </c>
      <c r="N1115" s="14">
        <v>2387.2800000000002</v>
      </c>
      <c r="O1115" s="15">
        <v>0.3</v>
      </c>
      <c r="P1115" s="14">
        <v>8355.48</v>
      </c>
      <c r="Q1115" s="14">
        <v>7863.28</v>
      </c>
      <c r="R1115" s="14">
        <v>492.2</v>
      </c>
      <c r="S1115" s="12" t="s">
        <v>83</v>
      </c>
      <c r="T1115" s="12" t="s">
        <v>34</v>
      </c>
      <c r="U1115" s="12">
        <v>4</v>
      </c>
      <c r="V1115" s="12" t="s">
        <v>157</v>
      </c>
    </row>
    <row r="1116" spans="1:22" x14ac:dyDescent="0.3">
      <c r="A1116" s="8" t="s">
        <v>1884</v>
      </c>
      <c r="B1116" s="9">
        <v>45922</v>
      </c>
      <c r="C1116" s="8" t="s">
        <v>86</v>
      </c>
      <c r="D1116" s="8" t="s">
        <v>87</v>
      </c>
      <c r="E1116" s="8" t="s">
        <v>59</v>
      </c>
      <c r="F1116" s="8" t="s">
        <v>1151</v>
      </c>
      <c r="G1116" s="8" t="s">
        <v>27</v>
      </c>
      <c r="H1116" s="8" t="s">
        <v>42</v>
      </c>
      <c r="I1116" s="8" t="s">
        <v>68</v>
      </c>
      <c r="J1116" s="8" t="s">
        <v>89</v>
      </c>
      <c r="K1116" s="8" t="s">
        <v>89</v>
      </c>
      <c r="L1116" s="8" t="s">
        <v>77</v>
      </c>
      <c r="M1116" s="8">
        <v>5</v>
      </c>
      <c r="N1116" s="10">
        <v>1335.19</v>
      </c>
      <c r="O1116" s="11">
        <v>0</v>
      </c>
      <c r="P1116" s="10">
        <v>6675.95</v>
      </c>
      <c r="Q1116" s="10">
        <v>3425.94</v>
      </c>
      <c r="R1116" s="10">
        <v>3250.01</v>
      </c>
      <c r="S1116" s="8" t="s">
        <v>83</v>
      </c>
      <c r="T1116" s="8" t="s">
        <v>64</v>
      </c>
      <c r="U1116" s="8">
        <v>5</v>
      </c>
      <c r="V1116" s="8" t="s">
        <v>116</v>
      </c>
    </row>
    <row r="1117" spans="1:22" x14ac:dyDescent="0.3">
      <c r="A1117" s="12" t="s">
        <v>1885</v>
      </c>
      <c r="B1117" s="13">
        <v>45795</v>
      </c>
      <c r="C1117" s="12" t="s">
        <v>131</v>
      </c>
      <c r="D1117" s="12" t="s">
        <v>132</v>
      </c>
      <c r="E1117" s="12" t="s">
        <v>25</v>
      </c>
      <c r="F1117" s="12" t="s">
        <v>1886</v>
      </c>
      <c r="G1117" s="12" t="s">
        <v>41</v>
      </c>
      <c r="H1117" s="12" t="s">
        <v>94</v>
      </c>
      <c r="I1117" s="12" t="s">
        <v>61</v>
      </c>
      <c r="J1117" s="12" t="s">
        <v>69</v>
      </c>
      <c r="K1117" s="12" t="s">
        <v>180</v>
      </c>
      <c r="L1117" s="12" t="s">
        <v>45</v>
      </c>
      <c r="M1117" s="12">
        <v>3</v>
      </c>
      <c r="N1117" s="14">
        <v>1528.27</v>
      </c>
      <c r="O1117" s="15">
        <v>0.15</v>
      </c>
      <c r="P1117" s="14">
        <v>3897.09</v>
      </c>
      <c r="Q1117" s="14">
        <v>2579.6</v>
      </c>
      <c r="R1117" s="14">
        <v>1317.49</v>
      </c>
      <c r="S1117" s="12" t="s">
        <v>53</v>
      </c>
      <c r="T1117" s="12" t="s">
        <v>54</v>
      </c>
      <c r="U1117" s="12">
        <v>5</v>
      </c>
      <c r="V1117" s="12" t="s">
        <v>134</v>
      </c>
    </row>
    <row r="1118" spans="1:22" x14ac:dyDescent="0.3">
      <c r="A1118" s="8" t="s">
        <v>1887</v>
      </c>
      <c r="B1118" s="9">
        <v>45729</v>
      </c>
      <c r="C1118" s="8" t="s">
        <v>125</v>
      </c>
      <c r="D1118" s="8" t="s">
        <v>126</v>
      </c>
      <c r="E1118" s="8" t="s">
        <v>25</v>
      </c>
      <c r="F1118" s="8" t="s">
        <v>1888</v>
      </c>
      <c r="G1118" s="8" t="s">
        <v>27</v>
      </c>
      <c r="H1118" s="8" t="s">
        <v>94</v>
      </c>
      <c r="I1118" s="8" t="s">
        <v>29</v>
      </c>
      <c r="J1118" s="8" t="s">
        <v>75</v>
      </c>
      <c r="K1118" s="8" t="s">
        <v>154</v>
      </c>
      <c r="L1118" s="8" t="s">
        <v>103</v>
      </c>
      <c r="M1118" s="8">
        <v>3</v>
      </c>
      <c r="N1118" s="10">
        <v>2048.71</v>
      </c>
      <c r="O1118" s="11">
        <v>0.15</v>
      </c>
      <c r="P1118" s="10">
        <v>5224.21</v>
      </c>
      <c r="Q1118" s="10">
        <v>3141.35</v>
      </c>
      <c r="R1118" s="10">
        <v>2082.86</v>
      </c>
      <c r="S1118" s="8" t="s">
        <v>33</v>
      </c>
      <c r="T1118" s="8" t="s">
        <v>147</v>
      </c>
      <c r="U1118" s="8">
        <v>4</v>
      </c>
      <c r="V1118" s="8" t="s">
        <v>55</v>
      </c>
    </row>
    <row r="1119" spans="1:22" x14ac:dyDescent="0.3">
      <c r="A1119" s="12" t="s">
        <v>1889</v>
      </c>
      <c r="B1119" s="13">
        <v>45721</v>
      </c>
      <c r="C1119" s="12" t="s">
        <v>37</v>
      </c>
      <c r="D1119" s="12" t="s">
        <v>38</v>
      </c>
      <c r="E1119" s="12" t="s">
        <v>39</v>
      </c>
      <c r="F1119" s="12" t="s">
        <v>225</v>
      </c>
      <c r="G1119" s="12" t="s">
        <v>27</v>
      </c>
      <c r="H1119" s="12" t="s">
        <v>28</v>
      </c>
      <c r="I1119" s="12" t="s">
        <v>68</v>
      </c>
      <c r="J1119" s="12" t="s">
        <v>43</v>
      </c>
      <c r="K1119" s="12" t="s">
        <v>162</v>
      </c>
      <c r="L1119" s="12" t="s">
        <v>103</v>
      </c>
      <c r="M1119" s="12">
        <v>5</v>
      </c>
      <c r="N1119" s="14">
        <v>899.15</v>
      </c>
      <c r="O1119" s="15">
        <v>0.2</v>
      </c>
      <c r="P1119" s="14">
        <v>3596.6</v>
      </c>
      <c r="Q1119" s="14">
        <v>1996.81</v>
      </c>
      <c r="R1119" s="14">
        <v>1599.79</v>
      </c>
      <c r="S1119" s="12" t="s">
        <v>63</v>
      </c>
      <c r="T1119" s="12" t="s">
        <v>111</v>
      </c>
      <c r="U1119" s="12">
        <v>3</v>
      </c>
      <c r="V1119" s="12" t="s">
        <v>55</v>
      </c>
    </row>
    <row r="1120" spans="1:22" x14ac:dyDescent="0.3">
      <c r="A1120" s="8" t="s">
        <v>1890</v>
      </c>
      <c r="B1120" s="9">
        <v>45869</v>
      </c>
      <c r="C1120" s="8" t="s">
        <v>98</v>
      </c>
      <c r="D1120" s="8" t="s">
        <v>99</v>
      </c>
      <c r="E1120" s="8" t="s">
        <v>25</v>
      </c>
      <c r="F1120" s="8" t="s">
        <v>1446</v>
      </c>
      <c r="G1120" s="8" t="s">
        <v>41</v>
      </c>
      <c r="H1120" s="8" t="s">
        <v>94</v>
      </c>
      <c r="I1120" s="8" t="s">
        <v>61</v>
      </c>
      <c r="J1120" s="8" t="s">
        <v>43</v>
      </c>
      <c r="K1120" s="8" t="s">
        <v>51</v>
      </c>
      <c r="L1120" s="8" t="s">
        <v>175</v>
      </c>
      <c r="M1120" s="8">
        <v>4</v>
      </c>
      <c r="N1120" s="10">
        <v>1469.06</v>
      </c>
      <c r="O1120" s="11">
        <v>0.15</v>
      </c>
      <c r="P1120" s="10">
        <v>4994.8</v>
      </c>
      <c r="Q1120" s="10">
        <v>2848.03</v>
      </c>
      <c r="R1120" s="10">
        <v>2146.77</v>
      </c>
      <c r="S1120" s="8" t="s">
        <v>53</v>
      </c>
      <c r="T1120" s="8" t="s">
        <v>104</v>
      </c>
      <c r="U1120" s="8">
        <v>4</v>
      </c>
      <c r="V1120" s="8" t="s">
        <v>120</v>
      </c>
    </row>
    <row r="1121" spans="1:22" x14ac:dyDescent="0.3">
      <c r="A1121" s="12" t="s">
        <v>1891</v>
      </c>
      <c r="B1121" s="13">
        <v>45762</v>
      </c>
      <c r="C1121" s="12" t="s">
        <v>86</v>
      </c>
      <c r="D1121" s="12" t="s">
        <v>87</v>
      </c>
      <c r="E1121" s="12" t="s">
        <v>59</v>
      </c>
      <c r="F1121" s="12" t="s">
        <v>1892</v>
      </c>
      <c r="G1121" s="12" t="s">
        <v>27</v>
      </c>
      <c r="H1121" s="12" t="s">
        <v>81</v>
      </c>
      <c r="I1121" s="12" t="s">
        <v>68</v>
      </c>
      <c r="J1121" s="12" t="s">
        <v>30</v>
      </c>
      <c r="K1121" s="12" t="s">
        <v>62</v>
      </c>
      <c r="L1121" s="12" t="s">
        <v>77</v>
      </c>
      <c r="M1121" s="12">
        <v>4</v>
      </c>
      <c r="N1121" s="14">
        <v>1045.98</v>
      </c>
      <c r="O1121" s="15">
        <v>0.3</v>
      </c>
      <c r="P1121" s="14">
        <v>2928.74</v>
      </c>
      <c r="Q1121" s="14">
        <v>1868.28</v>
      </c>
      <c r="R1121" s="14">
        <v>1060.46</v>
      </c>
      <c r="S1121" s="12" t="s">
        <v>63</v>
      </c>
      <c r="T1121" s="12" t="s">
        <v>34</v>
      </c>
      <c r="U1121" s="12">
        <v>3</v>
      </c>
      <c r="V1121" s="12" t="s">
        <v>96</v>
      </c>
    </row>
    <row r="1122" spans="1:22" x14ac:dyDescent="0.3">
      <c r="A1122" s="8" t="s">
        <v>1893</v>
      </c>
      <c r="B1122" s="9">
        <v>45690</v>
      </c>
      <c r="C1122" s="8" t="s">
        <v>23</v>
      </c>
      <c r="D1122" s="8" t="s">
        <v>24</v>
      </c>
      <c r="E1122" s="8" t="s">
        <v>25</v>
      </c>
      <c r="F1122" s="8" t="s">
        <v>532</v>
      </c>
      <c r="G1122" s="8" t="s">
        <v>27</v>
      </c>
      <c r="H1122" s="8" t="s">
        <v>42</v>
      </c>
      <c r="I1122" s="8" t="s">
        <v>29</v>
      </c>
      <c r="J1122" s="8" t="s">
        <v>30</v>
      </c>
      <c r="K1122" s="8" t="s">
        <v>144</v>
      </c>
      <c r="L1122" s="8" t="s">
        <v>175</v>
      </c>
      <c r="M1122" s="8">
        <v>4</v>
      </c>
      <c r="N1122" s="10">
        <v>2494.85</v>
      </c>
      <c r="O1122" s="11">
        <v>0.2</v>
      </c>
      <c r="P1122" s="10">
        <v>7983.52</v>
      </c>
      <c r="Q1122" s="10">
        <v>5843.9</v>
      </c>
      <c r="R1122" s="10">
        <v>2139.62</v>
      </c>
      <c r="S1122" s="8" t="s">
        <v>46</v>
      </c>
      <c r="T1122" s="8" t="s">
        <v>104</v>
      </c>
      <c r="U1122" s="8">
        <v>3</v>
      </c>
      <c r="V1122" s="8" t="s">
        <v>105</v>
      </c>
    </row>
    <row r="1123" spans="1:22" x14ac:dyDescent="0.3">
      <c r="A1123" s="12" t="s">
        <v>1894</v>
      </c>
      <c r="B1123" s="13">
        <v>45804</v>
      </c>
      <c r="C1123" s="12" t="s">
        <v>23</v>
      </c>
      <c r="D1123" s="12" t="s">
        <v>24</v>
      </c>
      <c r="E1123" s="12" t="s">
        <v>25</v>
      </c>
      <c r="F1123" s="12" t="s">
        <v>1895</v>
      </c>
      <c r="G1123" s="12" t="s">
        <v>27</v>
      </c>
      <c r="H1123" s="12" t="s">
        <v>42</v>
      </c>
      <c r="I1123" s="12" t="s">
        <v>61</v>
      </c>
      <c r="J1123" s="12" t="s">
        <v>89</v>
      </c>
      <c r="K1123" s="12" t="s">
        <v>89</v>
      </c>
      <c r="L1123" s="12" t="s">
        <v>82</v>
      </c>
      <c r="M1123" s="12">
        <v>2</v>
      </c>
      <c r="N1123" s="14">
        <v>1344.58</v>
      </c>
      <c r="O1123" s="15">
        <v>0.1</v>
      </c>
      <c r="P1123" s="14">
        <v>2420.2399999999998</v>
      </c>
      <c r="Q1123" s="14">
        <v>1365.65</v>
      </c>
      <c r="R1123" s="14">
        <v>1054.5899999999999</v>
      </c>
      <c r="S1123" s="12" t="s">
        <v>46</v>
      </c>
      <c r="T1123" s="12" t="s">
        <v>111</v>
      </c>
      <c r="U1123" s="12">
        <v>5</v>
      </c>
      <c r="V1123" s="12" t="s">
        <v>134</v>
      </c>
    </row>
    <row r="1124" spans="1:22" x14ac:dyDescent="0.3">
      <c r="A1124" s="8" t="s">
        <v>1896</v>
      </c>
      <c r="B1124" s="9">
        <v>45979</v>
      </c>
      <c r="C1124" s="8" t="s">
        <v>131</v>
      </c>
      <c r="D1124" s="8" t="s">
        <v>132</v>
      </c>
      <c r="E1124" s="8" t="s">
        <v>25</v>
      </c>
      <c r="F1124" s="8" t="s">
        <v>1897</v>
      </c>
      <c r="G1124" s="8" t="s">
        <v>41</v>
      </c>
      <c r="H1124" s="8" t="s">
        <v>28</v>
      </c>
      <c r="I1124" s="8" t="s">
        <v>61</v>
      </c>
      <c r="J1124" s="8" t="s">
        <v>43</v>
      </c>
      <c r="K1124" s="8" t="s">
        <v>51</v>
      </c>
      <c r="L1124" s="8" t="s">
        <v>52</v>
      </c>
      <c r="M1124" s="8">
        <v>3</v>
      </c>
      <c r="N1124" s="10">
        <v>1452.17</v>
      </c>
      <c r="O1124" s="11">
        <v>0.15</v>
      </c>
      <c r="P1124" s="10">
        <v>3703.03</v>
      </c>
      <c r="Q1124" s="10">
        <v>2048.92</v>
      </c>
      <c r="R1124" s="10">
        <v>1654.11</v>
      </c>
      <c r="S1124" s="8" t="s">
        <v>33</v>
      </c>
      <c r="T1124" s="8" t="s">
        <v>71</v>
      </c>
      <c r="U1124" s="8">
        <v>5</v>
      </c>
      <c r="V1124" s="8" t="s">
        <v>65</v>
      </c>
    </row>
    <row r="1125" spans="1:22" x14ac:dyDescent="0.3">
      <c r="A1125" s="12" t="s">
        <v>1898</v>
      </c>
      <c r="B1125" s="13">
        <v>45956</v>
      </c>
      <c r="C1125" s="12" t="s">
        <v>113</v>
      </c>
      <c r="D1125" s="12" t="s">
        <v>114</v>
      </c>
      <c r="E1125" s="12" t="s">
        <v>59</v>
      </c>
      <c r="F1125" s="12" t="s">
        <v>1476</v>
      </c>
      <c r="G1125" s="12" t="s">
        <v>41</v>
      </c>
      <c r="H1125" s="12" t="s">
        <v>42</v>
      </c>
      <c r="I1125" s="12" t="s">
        <v>68</v>
      </c>
      <c r="J1125" s="12" t="s">
        <v>43</v>
      </c>
      <c r="K1125" s="12" t="s">
        <v>44</v>
      </c>
      <c r="L1125" s="12" t="s">
        <v>52</v>
      </c>
      <c r="M1125" s="12">
        <v>5</v>
      </c>
      <c r="N1125" s="14">
        <v>581.87</v>
      </c>
      <c r="O1125" s="15">
        <v>0.15</v>
      </c>
      <c r="P1125" s="14">
        <v>2472.9499999999998</v>
      </c>
      <c r="Q1125" s="14">
        <v>1244.1500000000001</v>
      </c>
      <c r="R1125" s="14">
        <v>1228.8</v>
      </c>
      <c r="S1125" s="12" t="s">
        <v>33</v>
      </c>
      <c r="T1125" s="12" t="s">
        <v>54</v>
      </c>
      <c r="U1125" s="12">
        <v>3</v>
      </c>
      <c r="V1125" s="12" t="s">
        <v>123</v>
      </c>
    </row>
    <row r="1126" spans="1:22" x14ac:dyDescent="0.3">
      <c r="A1126" s="8" t="s">
        <v>1899</v>
      </c>
      <c r="B1126" s="9">
        <v>45832</v>
      </c>
      <c r="C1126" s="8" t="s">
        <v>57</v>
      </c>
      <c r="D1126" s="8" t="s">
        <v>58</v>
      </c>
      <c r="E1126" s="8" t="s">
        <v>59</v>
      </c>
      <c r="F1126" s="8" t="s">
        <v>1197</v>
      </c>
      <c r="G1126" s="8" t="s">
        <v>27</v>
      </c>
      <c r="H1126" s="8" t="s">
        <v>81</v>
      </c>
      <c r="I1126" s="8" t="s">
        <v>68</v>
      </c>
      <c r="J1126" s="8" t="s">
        <v>43</v>
      </c>
      <c r="K1126" s="8" t="s">
        <v>162</v>
      </c>
      <c r="L1126" s="8" t="s">
        <v>77</v>
      </c>
      <c r="M1126" s="8">
        <v>2</v>
      </c>
      <c r="N1126" s="10">
        <v>916.78</v>
      </c>
      <c r="O1126" s="11">
        <v>0.3</v>
      </c>
      <c r="P1126" s="10">
        <v>1283.49</v>
      </c>
      <c r="Q1126" s="10">
        <v>760.91</v>
      </c>
      <c r="R1126" s="10">
        <v>522.58000000000004</v>
      </c>
      <c r="S1126" s="8" t="s">
        <v>63</v>
      </c>
      <c r="T1126" s="8" t="s">
        <v>111</v>
      </c>
      <c r="U1126" s="8">
        <v>3</v>
      </c>
      <c r="V1126" s="8" t="s">
        <v>157</v>
      </c>
    </row>
    <row r="1127" spans="1:22" x14ac:dyDescent="0.3">
      <c r="A1127" s="12" t="s">
        <v>1900</v>
      </c>
      <c r="B1127" s="13">
        <v>45670</v>
      </c>
      <c r="C1127" s="12" t="s">
        <v>86</v>
      </c>
      <c r="D1127" s="12" t="s">
        <v>87</v>
      </c>
      <c r="E1127" s="12" t="s">
        <v>59</v>
      </c>
      <c r="F1127" s="12" t="s">
        <v>185</v>
      </c>
      <c r="G1127" s="12" t="s">
        <v>41</v>
      </c>
      <c r="H1127" s="12" t="s">
        <v>81</v>
      </c>
      <c r="I1127" s="12" t="s">
        <v>29</v>
      </c>
      <c r="J1127" s="12" t="s">
        <v>101</v>
      </c>
      <c r="K1127" s="12" t="s">
        <v>102</v>
      </c>
      <c r="L1127" s="12" t="s">
        <v>45</v>
      </c>
      <c r="M1127" s="12">
        <v>3</v>
      </c>
      <c r="N1127" s="14">
        <v>713.54</v>
      </c>
      <c r="O1127" s="15">
        <v>0.15</v>
      </c>
      <c r="P1127" s="14">
        <v>1819.53</v>
      </c>
      <c r="Q1127" s="14">
        <v>728.68</v>
      </c>
      <c r="R1127" s="14">
        <v>1090.8499999999999</v>
      </c>
      <c r="S1127" s="12" t="s">
        <v>46</v>
      </c>
      <c r="T1127" s="12" t="s">
        <v>54</v>
      </c>
      <c r="U1127" s="12">
        <v>3</v>
      </c>
      <c r="V1127" s="12" t="s">
        <v>84</v>
      </c>
    </row>
    <row r="1128" spans="1:22" x14ac:dyDescent="0.3">
      <c r="A1128" s="8" t="s">
        <v>1901</v>
      </c>
      <c r="B1128" s="9">
        <v>45792</v>
      </c>
      <c r="C1128" s="8" t="s">
        <v>107</v>
      </c>
      <c r="D1128" s="8" t="s">
        <v>108</v>
      </c>
      <c r="E1128" s="8" t="s">
        <v>39</v>
      </c>
      <c r="F1128" s="8" t="s">
        <v>1902</v>
      </c>
      <c r="G1128" s="8" t="s">
        <v>27</v>
      </c>
      <c r="H1128" s="8" t="s">
        <v>42</v>
      </c>
      <c r="I1128" s="8" t="s">
        <v>29</v>
      </c>
      <c r="J1128" s="8" t="s">
        <v>89</v>
      </c>
      <c r="K1128" s="8" t="s">
        <v>90</v>
      </c>
      <c r="L1128" s="8" t="s">
        <v>45</v>
      </c>
      <c r="M1128" s="8">
        <v>3</v>
      </c>
      <c r="N1128" s="10">
        <v>3576.98</v>
      </c>
      <c r="O1128" s="11">
        <v>0.05</v>
      </c>
      <c r="P1128" s="10">
        <v>10194.39</v>
      </c>
      <c r="Q1128" s="10">
        <v>6151.88</v>
      </c>
      <c r="R1128" s="10">
        <v>4042.51</v>
      </c>
      <c r="S1128" s="8" t="s">
        <v>83</v>
      </c>
      <c r="T1128" s="8" t="s">
        <v>71</v>
      </c>
      <c r="U1128" s="8">
        <v>4</v>
      </c>
      <c r="V1128" s="8" t="s">
        <v>134</v>
      </c>
    </row>
    <row r="1129" spans="1:22" x14ac:dyDescent="0.3">
      <c r="A1129" s="12" t="s">
        <v>1903</v>
      </c>
      <c r="B1129" s="13">
        <v>45756</v>
      </c>
      <c r="C1129" s="12" t="s">
        <v>98</v>
      </c>
      <c r="D1129" s="12" t="s">
        <v>99</v>
      </c>
      <c r="E1129" s="12" t="s">
        <v>25</v>
      </c>
      <c r="F1129" s="12" t="s">
        <v>340</v>
      </c>
      <c r="G1129" s="12" t="s">
        <v>27</v>
      </c>
      <c r="H1129" s="12" t="s">
        <v>42</v>
      </c>
      <c r="I1129" s="12" t="s">
        <v>29</v>
      </c>
      <c r="J1129" s="12" t="s">
        <v>30</v>
      </c>
      <c r="K1129" s="12" t="s">
        <v>62</v>
      </c>
      <c r="L1129" s="12" t="s">
        <v>103</v>
      </c>
      <c r="M1129" s="12">
        <v>5</v>
      </c>
      <c r="N1129" s="14">
        <v>988.57</v>
      </c>
      <c r="O1129" s="15">
        <v>0.3</v>
      </c>
      <c r="P1129" s="14">
        <v>3459.99</v>
      </c>
      <c r="Q1129" s="14">
        <v>2314.86</v>
      </c>
      <c r="R1129" s="14">
        <v>1145.1300000000001</v>
      </c>
      <c r="S1129" s="12" t="s">
        <v>83</v>
      </c>
      <c r="T1129" s="12" t="s">
        <v>64</v>
      </c>
      <c r="U1129" s="12">
        <v>5</v>
      </c>
      <c r="V1129" s="12" t="s">
        <v>96</v>
      </c>
    </row>
    <row r="1130" spans="1:22" x14ac:dyDescent="0.3">
      <c r="A1130" s="8" t="s">
        <v>1904</v>
      </c>
      <c r="B1130" s="9">
        <v>45748</v>
      </c>
      <c r="C1130" s="8" t="s">
        <v>57</v>
      </c>
      <c r="D1130" s="8" t="s">
        <v>58</v>
      </c>
      <c r="E1130" s="8" t="s">
        <v>59</v>
      </c>
      <c r="F1130" s="8" t="s">
        <v>1905</v>
      </c>
      <c r="G1130" s="8" t="s">
        <v>27</v>
      </c>
      <c r="H1130" s="8" t="s">
        <v>42</v>
      </c>
      <c r="I1130" s="8" t="s">
        <v>61</v>
      </c>
      <c r="J1130" s="8" t="s">
        <v>69</v>
      </c>
      <c r="K1130" s="8" t="s">
        <v>137</v>
      </c>
      <c r="L1130" s="8" t="s">
        <v>82</v>
      </c>
      <c r="M1130" s="8">
        <v>4</v>
      </c>
      <c r="N1130" s="10">
        <v>519.20000000000005</v>
      </c>
      <c r="O1130" s="11">
        <v>0.3</v>
      </c>
      <c r="P1130" s="10">
        <v>1453.76</v>
      </c>
      <c r="Q1130" s="10">
        <v>842.24</v>
      </c>
      <c r="R1130" s="10">
        <v>611.52</v>
      </c>
      <c r="S1130" s="8" t="s">
        <v>46</v>
      </c>
      <c r="T1130" s="8" t="s">
        <v>54</v>
      </c>
      <c r="U1130" s="8">
        <v>3</v>
      </c>
      <c r="V1130" s="8" t="s">
        <v>96</v>
      </c>
    </row>
    <row r="1131" spans="1:22" x14ac:dyDescent="0.3">
      <c r="A1131" s="12" t="s">
        <v>1906</v>
      </c>
      <c r="B1131" s="13">
        <v>45763</v>
      </c>
      <c r="C1131" s="12" t="s">
        <v>113</v>
      </c>
      <c r="D1131" s="12" t="s">
        <v>114</v>
      </c>
      <c r="E1131" s="12" t="s">
        <v>59</v>
      </c>
      <c r="F1131" s="12" t="s">
        <v>1907</v>
      </c>
      <c r="G1131" s="12" t="s">
        <v>41</v>
      </c>
      <c r="H1131" s="12" t="s">
        <v>42</v>
      </c>
      <c r="I1131" s="12" t="s">
        <v>29</v>
      </c>
      <c r="J1131" s="12" t="s">
        <v>43</v>
      </c>
      <c r="K1131" s="12" t="s">
        <v>51</v>
      </c>
      <c r="L1131" s="12" t="s">
        <v>52</v>
      </c>
      <c r="M1131" s="12">
        <v>3</v>
      </c>
      <c r="N1131" s="14">
        <v>1521.8</v>
      </c>
      <c r="O1131" s="15">
        <v>0.2</v>
      </c>
      <c r="P1131" s="14">
        <v>3652.32</v>
      </c>
      <c r="Q1131" s="14">
        <v>2025.87</v>
      </c>
      <c r="R1131" s="14">
        <v>1626.45</v>
      </c>
      <c r="S1131" s="12" t="s">
        <v>53</v>
      </c>
      <c r="T1131" s="12" t="s">
        <v>147</v>
      </c>
      <c r="U1131" s="12">
        <v>3</v>
      </c>
      <c r="V1131" s="12" t="s">
        <v>96</v>
      </c>
    </row>
    <row r="1132" spans="1:22" x14ac:dyDescent="0.3">
      <c r="A1132" s="8" t="s">
        <v>1908</v>
      </c>
      <c r="B1132" s="9">
        <v>45972</v>
      </c>
      <c r="C1132" s="8" t="s">
        <v>48</v>
      </c>
      <c r="D1132" s="8" t="s">
        <v>49</v>
      </c>
      <c r="E1132" s="8" t="s">
        <v>39</v>
      </c>
      <c r="F1132" s="8" t="s">
        <v>1417</v>
      </c>
      <c r="G1132" s="8" t="s">
        <v>27</v>
      </c>
      <c r="H1132" s="8" t="s">
        <v>81</v>
      </c>
      <c r="I1132" s="8" t="s">
        <v>29</v>
      </c>
      <c r="J1132" s="8" t="s">
        <v>75</v>
      </c>
      <c r="K1132" s="8" t="s">
        <v>154</v>
      </c>
      <c r="L1132" s="8" t="s">
        <v>52</v>
      </c>
      <c r="M1132" s="8">
        <v>5</v>
      </c>
      <c r="N1132" s="10">
        <v>2033.07</v>
      </c>
      <c r="O1132" s="11">
        <v>0.05</v>
      </c>
      <c r="P1132" s="10">
        <v>9657.08</v>
      </c>
      <c r="Q1132" s="10">
        <v>5440.45</v>
      </c>
      <c r="R1132" s="10">
        <v>4216.63</v>
      </c>
      <c r="S1132" s="8" t="s">
        <v>33</v>
      </c>
      <c r="T1132" s="8" t="s">
        <v>147</v>
      </c>
      <c r="U1132" s="8">
        <v>4</v>
      </c>
      <c r="V1132" s="8" t="s">
        <v>65</v>
      </c>
    </row>
    <row r="1133" spans="1:22" x14ac:dyDescent="0.3">
      <c r="A1133" s="12" t="s">
        <v>1909</v>
      </c>
      <c r="B1133" s="13">
        <v>45779</v>
      </c>
      <c r="C1133" s="12" t="s">
        <v>48</v>
      </c>
      <c r="D1133" s="12" t="s">
        <v>49</v>
      </c>
      <c r="E1133" s="12" t="s">
        <v>39</v>
      </c>
      <c r="F1133" s="12" t="s">
        <v>412</v>
      </c>
      <c r="G1133" s="12" t="s">
        <v>27</v>
      </c>
      <c r="H1133" s="12" t="s">
        <v>28</v>
      </c>
      <c r="I1133" s="12" t="s">
        <v>29</v>
      </c>
      <c r="J1133" s="12" t="s">
        <v>69</v>
      </c>
      <c r="K1133" s="12" t="s">
        <v>137</v>
      </c>
      <c r="L1133" s="12" t="s">
        <v>52</v>
      </c>
      <c r="M1133" s="12">
        <v>4</v>
      </c>
      <c r="N1133" s="14">
        <v>490.54</v>
      </c>
      <c r="O1133" s="15">
        <v>0.3</v>
      </c>
      <c r="P1133" s="14">
        <v>1373.51</v>
      </c>
      <c r="Q1133" s="14">
        <v>848.85</v>
      </c>
      <c r="R1133" s="14">
        <v>524.66</v>
      </c>
      <c r="S1133" s="12" t="s">
        <v>53</v>
      </c>
      <c r="T1133" s="12" t="s">
        <v>78</v>
      </c>
      <c r="U1133" s="12">
        <v>4</v>
      </c>
      <c r="V1133" s="12" t="s">
        <v>134</v>
      </c>
    </row>
    <row r="1134" spans="1:22" x14ac:dyDescent="0.3">
      <c r="A1134" s="8" t="s">
        <v>1910</v>
      </c>
      <c r="B1134" s="9">
        <v>45803</v>
      </c>
      <c r="C1134" s="8" t="s">
        <v>113</v>
      </c>
      <c r="D1134" s="8" t="s">
        <v>114</v>
      </c>
      <c r="E1134" s="8" t="s">
        <v>59</v>
      </c>
      <c r="F1134" s="8" t="s">
        <v>1365</v>
      </c>
      <c r="G1134" s="8" t="s">
        <v>27</v>
      </c>
      <c r="H1134" s="8" t="s">
        <v>28</v>
      </c>
      <c r="I1134" s="8" t="s">
        <v>61</v>
      </c>
      <c r="J1134" s="8" t="s">
        <v>69</v>
      </c>
      <c r="K1134" s="8" t="s">
        <v>70</v>
      </c>
      <c r="L1134" s="8" t="s">
        <v>77</v>
      </c>
      <c r="M1134" s="8">
        <v>1</v>
      </c>
      <c r="N1134" s="10">
        <v>909.95</v>
      </c>
      <c r="O1134" s="11">
        <v>0.1</v>
      </c>
      <c r="P1134" s="10">
        <v>818.96</v>
      </c>
      <c r="Q1134" s="10">
        <v>457.87</v>
      </c>
      <c r="R1134" s="10">
        <v>361.09</v>
      </c>
      <c r="S1134" s="8" t="s">
        <v>63</v>
      </c>
      <c r="T1134" s="8" t="s">
        <v>34</v>
      </c>
      <c r="U1134" s="8">
        <v>5</v>
      </c>
      <c r="V1134" s="8" t="s">
        <v>134</v>
      </c>
    </row>
    <row r="1135" spans="1:22" x14ac:dyDescent="0.3">
      <c r="A1135" s="12" t="s">
        <v>1911</v>
      </c>
      <c r="B1135" s="13">
        <v>45666</v>
      </c>
      <c r="C1135" s="12" t="s">
        <v>48</v>
      </c>
      <c r="D1135" s="12" t="s">
        <v>49</v>
      </c>
      <c r="E1135" s="12" t="s">
        <v>39</v>
      </c>
      <c r="F1135" s="12" t="s">
        <v>1232</v>
      </c>
      <c r="G1135" s="12" t="s">
        <v>27</v>
      </c>
      <c r="H1135" s="12" t="s">
        <v>81</v>
      </c>
      <c r="I1135" s="12" t="s">
        <v>29</v>
      </c>
      <c r="J1135" s="12" t="s">
        <v>101</v>
      </c>
      <c r="K1135" s="12" t="s">
        <v>217</v>
      </c>
      <c r="L1135" s="12" t="s">
        <v>82</v>
      </c>
      <c r="M1135" s="12">
        <v>5</v>
      </c>
      <c r="N1135" s="14">
        <v>3037.53</v>
      </c>
      <c r="O1135" s="15">
        <v>0.3</v>
      </c>
      <c r="P1135" s="14">
        <v>10631.35</v>
      </c>
      <c r="Q1135" s="14">
        <v>8679.7099999999991</v>
      </c>
      <c r="R1135" s="14">
        <v>1951.64</v>
      </c>
      <c r="S1135" s="12" t="s">
        <v>53</v>
      </c>
      <c r="T1135" s="12" t="s">
        <v>71</v>
      </c>
      <c r="U1135" s="12">
        <v>3</v>
      </c>
      <c r="V1135" s="12" t="s">
        <v>84</v>
      </c>
    </row>
    <row r="1136" spans="1:22" x14ac:dyDescent="0.3">
      <c r="A1136" s="8" t="s">
        <v>1912</v>
      </c>
      <c r="B1136" s="9">
        <v>45922</v>
      </c>
      <c r="C1136" s="8" t="s">
        <v>98</v>
      </c>
      <c r="D1136" s="8" t="s">
        <v>99</v>
      </c>
      <c r="E1136" s="8" t="s">
        <v>25</v>
      </c>
      <c r="F1136" s="8" t="s">
        <v>560</v>
      </c>
      <c r="G1136" s="8" t="s">
        <v>41</v>
      </c>
      <c r="H1136" s="8" t="s">
        <v>94</v>
      </c>
      <c r="I1136" s="8" t="s">
        <v>68</v>
      </c>
      <c r="J1136" s="8" t="s">
        <v>101</v>
      </c>
      <c r="K1136" s="8" t="s">
        <v>110</v>
      </c>
      <c r="L1136" s="8" t="s">
        <v>77</v>
      </c>
      <c r="M1136" s="8">
        <v>4</v>
      </c>
      <c r="N1136" s="10">
        <v>5172.79</v>
      </c>
      <c r="O1136" s="11">
        <v>0</v>
      </c>
      <c r="P1136" s="10">
        <v>20691.16</v>
      </c>
      <c r="Q1136" s="10">
        <v>13311.18</v>
      </c>
      <c r="R1136" s="10">
        <v>7379.98</v>
      </c>
      <c r="S1136" s="8" t="s">
        <v>83</v>
      </c>
      <c r="T1136" s="8" t="s">
        <v>156</v>
      </c>
      <c r="U1136" s="8">
        <v>3</v>
      </c>
      <c r="V1136" s="8" t="s">
        <v>116</v>
      </c>
    </row>
    <row r="1137" spans="1:22" x14ac:dyDescent="0.3">
      <c r="A1137" s="12" t="s">
        <v>1913</v>
      </c>
      <c r="B1137" s="13">
        <v>45880</v>
      </c>
      <c r="C1137" s="12" t="s">
        <v>107</v>
      </c>
      <c r="D1137" s="12" t="s">
        <v>108</v>
      </c>
      <c r="E1137" s="12" t="s">
        <v>39</v>
      </c>
      <c r="F1137" s="12" t="s">
        <v>418</v>
      </c>
      <c r="G1137" s="12" t="s">
        <v>27</v>
      </c>
      <c r="H1137" s="12" t="s">
        <v>94</v>
      </c>
      <c r="I1137" s="12" t="s">
        <v>29</v>
      </c>
      <c r="J1137" s="12" t="s">
        <v>43</v>
      </c>
      <c r="K1137" s="12" t="s">
        <v>162</v>
      </c>
      <c r="L1137" s="12" t="s">
        <v>77</v>
      </c>
      <c r="M1137" s="12">
        <v>2</v>
      </c>
      <c r="N1137" s="14">
        <v>859.9</v>
      </c>
      <c r="O1137" s="15">
        <v>0.15</v>
      </c>
      <c r="P1137" s="14">
        <v>1461.83</v>
      </c>
      <c r="Q1137" s="14">
        <v>803.13</v>
      </c>
      <c r="R1137" s="14">
        <v>658.7</v>
      </c>
      <c r="S1137" s="12" t="s">
        <v>53</v>
      </c>
      <c r="T1137" s="12" t="s">
        <v>71</v>
      </c>
      <c r="U1137" s="12">
        <v>5</v>
      </c>
      <c r="V1137" s="12" t="s">
        <v>72</v>
      </c>
    </row>
    <row r="1138" spans="1:22" x14ac:dyDescent="0.3">
      <c r="A1138" s="8" t="s">
        <v>1914</v>
      </c>
      <c r="B1138" s="9">
        <v>45779</v>
      </c>
      <c r="C1138" s="8" t="s">
        <v>125</v>
      </c>
      <c r="D1138" s="8" t="s">
        <v>126</v>
      </c>
      <c r="E1138" s="8" t="s">
        <v>25</v>
      </c>
      <c r="F1138" s="8" t="s">
        <v>895</v>
      </c>
      <c r="G1138" s="8" t="s">
        <v>41</v>
      </c>
      <c r="H1138" s="8" t="s">
        <v>94</v>
      </c>
      <c r="I1138" s="8" t="s">
        <v>68</v>
      </c>
      <c r="J1138" s="8" t="s">
        <v>30</v>
      </c>
      <c r="K1138" s="8" t="s">
        <v>62</v>
      </c>
      <c r="L1138" s="8" t="s">
        <v>52</v>
      </c>
      <c r="M1138" s="8">
        <v>4</v>
      </c>
      <c r="N1138" s="10">
        <v>998.37</v>
      </c>
      <c r="O1138" s="11">
        <v>0.05</v>
      </c>
      <c r="P1138" s="10">
        <v>3793.81</v>
      </c>
      <c r="Q1138" s="10">
        <v>1734.74</v>
      </c>
      <c r="R1138" s="10">
        <v>2059.0700000000002</v>
      </c>
      <c r="S1138" s="8" t="s">
        <v>63</v>
      </c>
      <c r="T1138" s="8" t="s">
        <v>156</v>
      </c>
      <c r="U1138" s="8">
        <v>4</v>
      </c>
      <c r="V1138" s="8" t="s">
        <v>134</v>
      </c>
    </row>
    <row r="1139" spans="1:22" x14ac:dyDescent="0.3">
      <c r="A1139" s="12" t="s">
        <v>1915</v>
      </c>
      <c r="B1139" s="13">
        <v>45780</v>
      </c>
      <c r="C1139" s="12" t="s">
        <v>23</v>
      </c>
      <c r="D1139" s="12" t="s">
        <v>24</v>
      </c>
      <c r="E1139" s="12" t="s">
        <v>25</v>
      </c>
      <c r="F1139" s="12" t="s">
        <v>497</v>
      </c>
      <c r="G1139" s="12" t="s">
        <v>27</v>
      </c>
      <c r="H1139" s="12" t="s">
        <v>94</v>
      </c>
      <c r="I1139" s="12" t="s">
        <v>61</v>
      </c>
      <c r="J1139" s="12" t="s">
        <v>30</v>
      </c>
      <c r="K1139" s="12" t="s">
        <v>62</v>
      </c>
      <c r="L1139" s="12" t="s">
        <v>77</v>
      </c>
      <c r="M1139" s="12">
        <v>1</v>
      </c>
      <c r="N1139" s="14">
        <v>960.83</v>
      </c>
      <c r="O1139" s="15">
        <v>0</v>
      </c>
      <c r="P1139" s="14">
        <v>960.83</v>
      </c>
      <c r="Q1139" s="14">
        <v>441.17</v>
      </c>
      <c r="R1139" s="14">
        <v>519.66</v>
      </c>
      <c r="S1139" s="12" t="s">
        <v>33</v>
      </c>
      <c r="T1139" s="12" t="s">
        <v>156</v>
      </c>
      <c r="U1139" s="12">
        <v>4</v>
      </c>
      <c r="V1139" s="12" t="s">
        <v>134</v>
      </c>
    </row>
    <row r="1140" spans="1:22" x14ac:dyDescent="0.3">
      <c r="A1140" s="8" t="s">
        <v>1916</v>
      </c>
      <c r="B1140" s="9">
        <v>45751</v>
      </c>
      <c r="C1140" s="8" t="s">
        <v>98</v>
      </c>
      <c r="D1140" s="8" t="s">
        <v>99</v>
      </c>
      <c r="E1140" s="8" t="s">
        <v>25</v>
      </c>
      <c r="F1140" s="8" t="s">
        <v>166</v>
      </c>
      <c r="G1140" s="8" t="s">
        <v>27</v>
      </c>
      <c r="H1140" s="8" t="s">
        <v>42</v>
      </c>
      <c r="I1140" s="8" t="s">
        <v>68</v>
      </c>
      <c r="J1140" s="8" t="s">
        <v>43</v>
      </c>
      <c r="K1140" s="8" t="s">
        <v>162</v>
      </c>
      <c r="L1140" s="8" t="s">
        <v>91</v>
      </c>
      <c r="M1140" s="8">
        <v>3</v>
      </c>
      <c r="N1140" s="10">
        <v>929.73</v>
      </c>
      <c r="O1140" s="11">
        <v>0.15</v>
      </c>
      <c r="P1140" s="10">
        <v>2370.81</v>
      </c>
      <c r="Q1140" s="10">
        <v>1151.48</v>
      </c>
      <c r="R1140" s="10">
        <v>1219.33</v>
      </c>
      <c r="S1140" s="8" t="s">
        <v>63</v>
      </c>
      <c r="T1140" s="8" t="s">
        <v>34</v>
      </c>
      <c r="U1140" s="8">
        <v>3</v>
      </c>
      <c r="V1140" s="8" t="s">
        <v>96</v>
      </c>
    </row>
    <row r="1141" spans="1:22" x14ac:dyDescent="0.3">
      <c r="A1141" s="12" t="s">
        <v>1917</v>
      </c>
      <c r="B1141" s="13">
        <v>45776</v>
      </c>
      <c r="C1141" s="12" t="s">
        <v>131</v>
      </c>
      <c r="D1141" s="12" t="s">
        <v>132</v>
      </c>
      <c r="E1141" s="12" t="s">
        <v>25</v>
      </c>
      <c r="F1141" s="12" t="s">
        <v>1675</v>
      </c>
      <c r="G1141" s="12" t="s">
        <v>27</v>
      </c>
      <c r="H1141" s="12" t="s">
        <v>42</v>
      </c>
      <c r="I1141" s="12" t="s">
        <v>68</v>
      </c>
      <c r="J1141" s="12" t="s">
        <v>75</v>
      </c>
      <c r="K1141" s="12" t="s">
        <v>154</v>
      </c>
      <c r="L1141" s="12" t="s">
        <v>175</v>
      </c>
      <c r="M1141" s="12">
        <v>3</v>
      </c>
      <c r="N1141" s="14">
        <v>2055.6799999999998</v>
      </c>
      <c r="O1141" s="15">
        <v>0.1</v>
      </c>
      <c r="P1141" s="14">
        <v>5550.34</v>
      </c>
      <c r="Q1141" s="14">
        <v>3409.23</v>
      </c>
      <c r="R1141" s="14">
        <v>2141.11</v>
      </c>
      <c r="S1141" s="12" t="s">
        <v>63</v>
      </c>
      <c r="T1141" s="12" t="s">
        <v>104</v>
      </c>
      <c r="U1141" s="12">
        <v>3</v>
      </c>
      <c r="V1141" s="12" t="s">
        <v>96</v>
      </c>
    </row>
    <row r="1142" spans="1:22" x14ac:dyDescent="0.3">
      <c r="A1142" s="8" t="s">
        <v>1918</v>
      </c>
      <c r="B1142" s="9">
        <v>45710</v>
      </c>
      <c r="C1142" s="8" t="s">
        <v>107</v>
      </c>
      <c r="D1142" s="8" t="s">
        <v>108</v>
      </c>
      <c r="E1142" s="8" t="s">
        <v>39</v>
      </c>
      <c r="F1142" s="8" t="s">
        <v>166</v>
      </c>
      <c r="G1142" s="8" t="s">
        <v>41</v>
      </c>
      <c r="H1142" s="8" t="s">
        <v>94</v>
      </c>
      <c r="I1142" s="8" t="s">
        <v>61</v>
      </c>
      <c r="J1142" s="8" t="s">
        <v>75</v>
      </c>
      <c r="K1142" s="8" t="s">
        <v>95</v>
      </c>
      <c r="L1142" s="8" t="s">
        <v>77</v>
      </c>
      <c r="M1142" s="8">
        <v>4</v>
      </c>
      <c r="N1142" s="10">
        <v>25992.86</v>
      </c>
      <c r="O1142" s="11">
        <v>0.25</v>
      </c>
      <c r="P1142" s="10">
        <v>77978.58</v>
      </c>
      <c r="Q1142" s="10">
        <v>74553.55</v>
      </c>
      <c r="R1142" s="10">
        <v>3425.03</v>
      </c>
      <c r="S1142" s="8" t="s">
        <v>53</v>
      </c>
      <c r="T1142" s="8" t="s">
        <v>147</v>
      </c>
      <c r="U1142" s="8">
        <v>3</v>
      </c>
      <c r="V1142" s="8" t="s">
        <v>105</v>
      </c>
    </row>
    <row r="1143" spans="1:22" x14ac:dyDescent="0.3">
      <c r="A1143" s="12" t="s">
        <v>1919</v>
      </c>
      <c r="B1143" s="13">
        <v>45842</v>
      </c>
      <c r="C1143" s="12" t="s">
        <v>98</v>
      </c>
      <c r="D1143" s="12" t="s">
        <v>99</v>
      </c>
      <c r="E1143" s="12" t="s">
        <v>25</v>
      </c>
      <c r="F1143" s="12" t="s">
        <v>1082</v>
      </c>
      <c r="G1143" s="12" t="s">
        <v>27</v>
      </c>
      <c r="H1143" s="12" t="s">
        <v>81</v>
      </c>
      <c r="I1143" s="12" t="s">
        <v>29</v>
      </c>
      <c r="J1143" s="12" t="s">
        <v>30</v>
      </c>
      <c r="K1143" s="12" t="s">
        <v>31</v>
      </c>
      <c r="L1143" s="12" t="s">
        <v>103</v>
      </c>
      <c r="M1143" s="12">
        <v>2</v>
      </c>
      <c r="N1143" s="14">
        <v>4096.46</v>
      </c>
      <c r="O1143" s="15">
        <v>0.25</v>
      </c>
      <c r="P1143" s="14">
        <v>6144.69</v>
      </c>
      <c r="Q1143" s="14">
        <v>4290.4399999999996</v>
      </c>
      <c r="R1143" s="14">
        <v>1854.25</v>
      </c>
      <c r="S1143" s="12" t="s">
        <v>63</v>
      </c>
      <c r="T1143" s="12" t="s">
        <v>119</v>
      </c>
      <c r="U1143" s="12">
        <v>5</v>
      </c>
      <c r="V1143" s="12" t="s">
        <v>120</v>
      </c>
    </row>
    <row r="1144" spans="1:22" x14ac:dyDescent="0.3">
      <c r="A1144" s="8" t="s">
        <v>1920</v>
      </c>
      <c r="B1144" s="9">
        <v>46021</v>
      </c>
      <c r="C1144" s="8" t="s">
        <v>98</v>
      </c>
      <c r="D1144" s="8" t="s">
        <v>99</v>
      </c>
      <c r="E1144" s="8" t="s">
        <v>25</v>
      </c>
      <c r="F1144" s="8" t="s">
        <v>430</v>
      </c>
      <c r="G1144" s="8" t="s">
        <v>41</v>
      </c>
      <c r="H1144" s="8" t="s">
        <v>42</v>
      </c>
      <c r="I1144" s="8" t="s">
        <v>29</v>
      </c>
      <c r="J1144" s="8" t="s">
        <v>75</v>
      </c>
      <c r="K1144" s="8" t="s">
        <v>154</v>
      </c>
      <c r="L1144" s="8" t="s">
        <v>82</v>
      </c>
      <c r="M1144" s="8">
        <v>4</v>
      </c>
      <c r="N1144" s="10">
        <v>2078.4</v>
      </c>
      <c r="O1144" s="11">
        <v>0.25</v>
      </c>
      <c r="P1144" s="10">
        <v>6235.2</v>
      </c>
      <c r="Q1144" s="10">
        <v>4419.47</v>
      </c>
      <c r="R1144" s="10">
        <v>1815.73</v>
      </c>
      <c r="S1144" s="8" t="s">
        <v>53</v>
      </c>
      <c r="T1144" s="8" t="s">
        <v>104</v>
      </c>
      <c r="U1144" s="8">
        <v>5</v>
      </c>
      <c r="V1144" s="8" t="s">
        <v>35</v>
      </c>
    </row>
    <row r="1145" spans="1:22" x14ac:dyDescent="0.3">
      <c r="A1145" s="12" t="s">
        <v>1921</v>
      </c>
      <c r="B1145" s="13">
        <v>45873</v>
      </c>
      <c r="C1145" s="12" t="s">
        <v>131</v>
      </c>
      <c r="D1145" s="12" t="s">
        <v>132</v>
      </c>
      <c r="E1145" s="12" t="s">
        <v>25</v>
      </c>
      <c r="F1145" s="12" t="s">
        <v>1860</v>
      </c>
      <c r="G1145" s="12" t="s">
        <v>27</v>
      </c>
      <c r="H1145" s="12" t="s">
        <v>28</v>
      </c>
      <c r="I1145" s="12" t="s">
        <v>68</v>
      </c>
      <c r="J1145" s="12" t="s">
        <v>75</v>
      </c>
      <c r="K1145" s="12" t="s">
        <v>154</v>
      </c>
      <c r="L1145" s="12" t="s">
        <v>82</v>
      </c>
      <c r="M1145" s="12">
        <v>1</v>
      </c>
      <c r="N1145" s="14">
        <v>2066.86</v>
      </c>
      <c r="O1145" s="15">
        <v>0.05</v>
      </c>
      <c r="P1145" s="14">
        <v>1963.52</v>
      </c>
      <c r="Q1145" s="14">
        <v>1064.7</v>
      </c>
      <c r="R1145" s="14">
        <v>898.82</v>
      </c>
      <c r="S1145" s="12" t="s">
        <v>53</v>
      </c>
      <c r="T1145" s="12" t="s">
        <v>156</v>
      </c>
      <c r="U1145" s="12">
        <v>3</v>
      </c>
      <c r="V1145" s="12" t="s">
        <v>72</v>
      </c>
    </row>
    <row r="1146" spans="1:22" x14ac:dyDescent="0.3">
      <c r="A1146" s="8" t="s">
        <v>1922</v>
      </c>
      <c r="B1146" s="9">
        <v>45926</v>
      </c>
      <c r="C1146" s="8" t="s">
        <v>48</v>
      </c>
      <c r="D1146" s="8" t="s">
        <v>49</v>
      </c>
      <c r="E1146" s="8" t="s">
        <v>39</v>
      </c>
      <c r="F1146" s="8" t="s">
        <v>245</v>
      </c>
      <c r="G1146" s="8" t="s">
        <v>27</v>
      </c>
      <c r="H1146" s="8" t="s">
        <v>42</v>
      </c>
      <c r="I1146" s="8" t="s">
        <v>61</v>
      </c>
      <c r="J1146" s="8" t="s">
        <v>75</v>
      </c>
      <c r="K1146" s="8" t="s">
        <v>154</v>
      </c>
      <c r="L1146" s="8" t="s">
        <v>82</v>
      </c>
      <c r="M1146" s="8">
        <v>5</v>
      </c>
      <c r="N1146" s="10">
        <v>1957.42</v>
      </c>
      <c r="O1146" s="11">
        <v>0.05</v>
      </c>
      <c r="P1146" s="10">
        <v>9297.75</v>
      </c>
      <c r="Q1146" s="10">
        <v>5580.76</v>
      </c>
      <c r="R1146" s="10">
        <v>3716.99</v>
      </c>
      <c r="S1146" s="8" t="s">
        <v>46</v>
      </c>
      <c r="T1146" s="8" t="s">
        <v>78</v>
      </c>
      <c r="U1146" s="8">
        <v>5</v>
      </c>
      <c r="V1146" s="8" t="s">
        <v>116</v>
      </c>
    </row>
    <row r="1147" spans="1:22" x14ac:dyDescent="0.3">
      <c r="A1147" s="12" t="s">
        <v>1923</v>
      </c>
      <c r="B1147" s="13">
        <v>45861</v>
      </c>
      <c r="C1147" s="12" t="s">
        <v>23</v>
      </c>
      <c r="D1147" s="12" t="s">
        <v>24</v>
      </c>
      <c r="E1147" s="12" t="s">
        <v>25</v>
      </c>
      <c r="F1147" s="12" t="s">
        <v>1924</v>
      </c>
      <c r="G1147" s="12" t="s">
        <v>27</v>
      </c>
      <c r="H1147" s="12" t="s">
        <v>94</v>
      </c>
      <c r="I1147" s="12" t="s">
        <v>61</v>
      </c>
      <c r="J1147" s="12" t="s">
        <v>30</v>
      </c>
      <c r="K1147" s="12" t="s">
        <v>62</v>
      </c>
      <c r="L1147" s="12" t="s">
        <v>45</v>
      </c>
      <c r="M1147" s="12">
        <v>1</v>
      </c>
      <c r="N1147" s="14">
        <v>951.42</v>
      </c>
      <c r="O1147" s="15">
        <v>0.3</v>
      </c>
      <c r="P1147" s="14">
        <v>665.99</v>
      </c>
      <c r="Q1147" s="14">
        <v>452.92</v>
      </c>
      <c r="R1147" s="14">
        <v>213.07</v>
      </c>
      <c r="S1147" s="12" t="s">
        <v>33</v>
      </c>
      <c r="T1147" s="12" t="s">
        <v>156</v>
      </c>
      <c r="U1147" s="12">
        <v>3</v>
      </c>
      <c r="V1147" s="12" t="s">
        <v>120</v>
      </c>
    </row>
    <row r="1148" spans="1:22" x14ac:dyDescent="0.3">
      <c r="A1148" s="8" t="s">
        <v>1925</v>
      </c>
      <c r="B1148" s="9">
        <v>45838</v>
      </c>
      <c r="C1148" s="8" t="s">
        <v>98</v>
      </c>
      <c r="D1148" s="8" t="s">
        <v>99</v>
      </c>
      <c r="E1148" s="8" t="s">
        <v>25</v>
      </c>
      <c r="F1148" s="8" t="s">
        <v>1926</v>
      </c>
      <c r="G1148" s="8" t="s">
        <v>27</v>
      </c>
      <c r="H1148" s="8" t="s">
        <v>28</v>
      </c>
      <c r="I1148" s="8" t="s">
        <v>68</v>
      </c>
      <c r="J1148" s="8" t="s">
        <v>43</v>
      </c>
      <c r="K1148" s="8" t="s">
        <v>51</v>
      </c>
      <c r="L1148" s="8" t="s">
        <v>91</v>
      </c>
      <c r="M1148" s="8">
        <v>2</v>
      </c>
      <c r="N1148" s="10">
        <v>1504.44</v>
      </c>
      <c r="O1148" s="11">
        <v>0.15</v>
      </c>
      <c r="P1148" s="10">
        <v>2557.5500000000002</v>
      </c>
      <c r="Q1148" s="10">
        <v>1442.94</v>
      </c>
      <c r="R1148" s="10">
        <v>1114.6099999999999</v>
      </c>
      <c r="S1148" s="8" t="s">
        <v>63</v>
      </c>
      <c r="T1148" s="8" t="s">
        <v>54</v>
      </c>
      <c r="U1148" s="8">
        <v>5</v>
      </c>
      <c r="V1148" s="8" t="s">
        <v>157</v>
      </c>
    </row>
    <row r="1149" spans="1:22" x14ac:dyDescent="0.3">
      <c r="A1149" s="12" t="s">
        <v>1927</v>
      </c>
      <c r="B1149" s="13">
        <v>45959</v>
      </c>
      <c r="C1149" s="12" t="s">
        <v>37</v>
      </c>
      <c r="D1149" s="12" t="s">
        <v>38</v>
      </c>
      <c r="E1149" s="12" t="s">
        <v>39</v>
      </c>
      <c r="F1149" s="12" t="s">
        <v>118</v>
      </c>
      <c r="G1149" s="12" t="s">
        <v>27</v>
      </c>
      <c r="H1149" s="12" t="s">
        <v>81</v>
      </c>
      <c r="I1149" s="12" t="s">
        <v>68</v>
      </c>
      <c r="J1149" s="12" t="s">
        <v>101</v>
      </c>
      <c r="K1149" s="12" t="s">
        <v>217</v>
      </c>
      <c r="L1149" s="12" t="s">
        <v>32</v>
      </c>
      <c r="M1149" s="12">
        <v>1</v>
      </c>
      <c r="N1149" s="14">
        <v>2956.01</v>
      </c>
      <c r="O1149" s="15">
        <v>0.15</v>
      </c>
      <c r="P1149" s="14">
        <v>2512.61</v>
      </c>
      <c r="Q1149" s="14">
        <v>1667.57</v>
      </c>
      <c r="R1149" s="14">
        <v>845.04</v>
      </c>
      <c r="S1149" s="12" t="s">
        <v>46</v>
      </c>
      <c r="T1149" s="12" t="s">
        <v>156</v>
      </c>
      <c r="U1149" s="12">
        <v>3</v>
      </c>
      <c r="V1149" s="12" t="s">
        <v>123</v>
      </c>
    </row>
    <row r="1150" spans="1:22" x14ac:dyDescent="0.3">
      <c r="A1150" s="8" t="s">
        <v>1928</v>
      </c>
      <c r="B1150" s="9">
        <v>45940</v>
      </c>
      <c r="C1150" s="8" t="s">
        <v>48</v>
      </c>
      <c r="D1150" s="8" t="s">
        <v>49</v>
      </c>
      <c r="E1150" s="8" t="s">
        <v>39</v>
      </c>
      <c r="F1150" s="8" t="s">
        <v>1365</v>
      </c>
      <c r="G1150" s="8" t="s">
        <v>27</v>
      </c>
      <c r="H1150" s="8" t="s">
        <v>94</v>
      </c>
      <c r="I1150" s="8" t="s">
        <v>68</v>
      </c>
      <c r="J1150" s="8" t="s">
        <v>43</v>
      </c>
      <c r="K1150" s="8" t="s">
        <v>51</v>
      </c>
      <c r="L1150" s="8" t="s">
        <v>103</v>
      </c>
      <c r="M1150" s="8">
        <v>3</v>
      </c>
      <c r="N1150" s="10">
        <v>1451.25</v>
      </c>
      <c r="O1150" s="11">
        <v>0.3</v>
      </c>
      <c r="P1150" s="10">
        <v>3047.62</v>
      </c>
      <c r="Q1150" s="10">
        <v>2129.33</v>
      </c>
      <c r="R1150" s="10">
        <v>918.29</v>
      </c>
      <c r="S1150" s="8" t="s">
        <v>46</v>
      </c>
      <c r="T1150" s="8" t="s">
        <v>54</v>
      </c>
      <c r="U1150" s="8">
        <v>5</v>
      </c>
      <c r="V1150" s="8" t="s">
        <v>123</v>
      </c>
    </row>
    <row r="1151" spans="1:22" x14ac:dyDescent="0.3">
      <c r="A1151" s="12" t="s">
        <v>1929</v>
      </c>
      <c r="B1151" s="13">
        <v>45833</v>
      </c>
      <c r="C1151" s="12" t="s">
        <v>48</v>
      </c>
      <c r="D1151" s="12" t="s">
        <v>49</v>
      </c>
      <c r="E1151" s="12" t="s">
        <v>39</v>
      </c>
      <c r="F1151" s="12" t="s">
        <v>333</v>
      </c>
      <c r="G1151" s="12" t="s">
        <v>27</v>
      </c>
      <c r="H1151" s="12" t="s">
        <v>81</v>
      </c>
      <c r="I1151" s="12" t="s">
        <v>68</v>
      </c>
      <c r="J1151" s="12" t="s">
        <v>101</v>
      </c>
      <c r="K1151" s="12" t="s">
        <v>217</v>
      </c>
      <c r="L1151" s="12" t="s">
        <v>91</v>
      </c>
      <c r="M1151" s="12">
        <v>3</v>
      </c>
      <c r="N1151" s="14">
        <v>2885.97</v>
      </c>
      <c r="O1151" s="15">
        <v>0.2</v>
      </c>
      <c r="P1151" s="14">
        <v>6926.33</v>
      </c>
      <c r="Q1151" s="14">
        <v>5054.79</v>
      </c>
      <c r="R1151" s="14">
        <v>1871.54</v>
      </c>
      <c r="S1151" s="12" t="s">
        <v>83</v>
      </c>
      <c r="T1151" s="12" t="s">
        <v>156</v>
      </c>
      <c r="U1151" s="12">
        <v>4</v>
      </c>
      <c r="V1151" s="12" t="s">
        <v>157</v>
      </c>
    </row>
    <row r="1152" spans="1:22" x14ac:dyDescent="0.3">
      <c r="A1152" s="8" t="s">
        <v>1930</v>
      </c>
      <c r="B1152" s="9">
        <v>45831</v>
      </c>
      <c r="C1152" s="8" t="s">
        <v>48</v>
      </c>
      <c r="D1152" s="8" t="s">
        <v>49</v>
      </c>
      <c r="E1152" s="8" t="s">
        <v>39</v>
      </c>
      <c r="F1152" s="8" t="s">
        <v>1314</v>
      </c>
      <c r="G1152" s="8" t="s">
        <v>27</v>
      </c>
      <c r="H1152" s="8" t="s">
        <v>81</v>
      </c>
      <c r="I1152" s="8" t="s">
        <v>29</v>
      </c>
      <c r="J1152" s="8" t="s">
        <v>75</v>
      </c>
      <c r="K1152" s="8" t="s">
        <v>154</v>
      </c>
      <c r="L1152" s="8" t="s">
        <v>82</v>
      </c>
      <c r="M1152" s="8">
        <v>5</v>
      </c>
      <c r="N1152" s="10">
        <v>2083.14</v>
      </c>
      <c r="O1152" s="11">
        <v>0.1</v>
      </c>
      <c r="P1152" s="10">
        <v>9374.1299999999992</v>
      </c>
      <c r="Q1152" s="10">
        <v>5519.35</v>
      </c>
      <c r="R1152" s="10">
        <v>3854.78</v>
      </c>
      <c r="S1152" s="8" t="s">
        <v>33</v>
      </c>
      <c r="T1152" s="8" t="s">
        <v>78</v>
      </c>
      <c r="U1152" s="8">
        <v>3</v>
      </c>
      <c r="V1152" s="8" t="s">
        <v>157</v>
      </c>
    </row>
    <row r="1153" spans="1:22" x14ac:dyDescent="0.3">
      <c r="A1153" s="12" t="s">
        <v>1931</v>
      </c>
      <c r="B1153" s="13">
        <v>46000</v>
      </c>
      <c r="C1153" s="12" t="s">
        <v>86</v>
      </c>
      <c r="D1153" s="12" t="s">
        <v>87</v>
      </c>
      <c r="E1153" s="12" t="s">
        <v>59</v>
      </c>
      <c r="F1153" s="12" t="s">
        <v>740</v>
      </c>
      <c r="G1153" s="12" t="s">
        <v>27</v>
      </c>
      <c r="H1153" s="12" t="s">
        <v>81</v>
      </c>
      <c r="I1153" s="12" t="s">
        <v>68</v>
      </c>
      <c r="J1153" s="12" t="s">
        <v>101</v>
      </c>
      <c r="K1153" s="12" t="s">
        <v>102</v>
      </c>
      <c r="L1153" s="12" t="s">
        <v>91</v>
      </c>
      <c r="M1153" s="12">
        <v>5</v>
      </c>
      <c r="N1153" s="14">
        <v>668.51</v>
      </c>
      <c r="O1153" s="15">
        <v>0.3</v>
      </c>
      <c r="P1153" s="14">
        <v>2339.7800000000002</v>
      </c>
      <c r="Q1153" s="14">
        <v>1249.72</v>
      </c>
      <c r="R1153" s="14">
        <v>1090.06</v>
      </c>
      <c r="S1153" s="12" t="s">
        <v>33</v>
      </c>
      <c r="T1153" s="12" t="s">
        <v>64</v>
      </c>
      <c r="U1153" s="12">
        <v>5</v>
      </c>
      <c r="V1153" s="12" t="s">
        <v>35</v>
      </c>
    </row>
    <row r="1154" spans="1:22" x14ac:dyDescent="0.3">
      <c r="A1154" s="8" t="s">
        <v>1932</v>
      </c>
      <c r="B1154" s="9">
        <v>45933</v>
      </c>
      <c r="C1154" s="8" t="s">
        <v>98</v>
      </c>
      <c r="D1154" s="8" t="s">
        <v>99</v>
      </c>
      <c r="E1154" s="8" t="s">
        <v>25</v>
      </c>
      <c r="F1154" s="8" t="s">
        <v>731</v>
      </c>
      <c r="G1154" s="8" t="s">
        <v>27</v>
      </c>
      <c r="H1154" s="8" t="s">
        <v>42</v>
      </c>
      <c r="I1154" s="8" t="s">
        <v>61</v>
      </c>
      <c r="J1154" s="8" t="s">
        <v>75</v>
      </c>
      <c r="K1154" s="8" t="s">
        <v>95</v>
      </c>
      <c r="L1154" s="8" t="s">
        <v>32</v>
      </c>
      <c r="M1154" s="8">
        <v>5</v>
      </c>
      <c r="N1154" s="10">
        <v>24298.49</v>
      </c>
      <c r="O1154" s="11">
        <v>0.1</v>
      </c>
      <c r="P1154" s="10">
        <v>109343.21</v>
      </c>
      <c r="Q1154" s="10">
        <v>93580.96</v>
      </c>
      <c r="R1154" s="10">
        <v>15762.25</v>
      </c>
      <c r="S1154" s="8" t="s">
        <v>53</v>
      </c>
      <c r="T1154" s="8" t="s">
        <v>111</v>
      </c>
      <c r="U1154" s="8">
        <v>5</v>
      </c>
      <c r="V1154" s="8" t="s">
        <v>123</v>
      </c>
    </row>
    <row r="1155" spans="1:22" x14ac:dyDescent="0.3">
      <c r="A1155" s="12" t="s">
        <v>1933</v>
      </c>
      <c r="B1155" s="13">
        <v>45746</v>
      </c>
      <c r="C1155" s="12" t="s">
        <v>37</v>
      </c>
      <c r="D1155" s="12" t="s">
        <v>38</v>
      </c>
      <c r="E1155" s="12" t="s">
        <v>39</v>
      </c>
      <c r="F1155" s="12" t="s">
        <v>1165</v>
      </c>
      <c r="G1155" s="12" t="s">
        <v>27</v>
      </c>
      <c r="H1155" s="12" t="s">
        <v>42</v>
      </c>
      <c r="I1155" s="12" t="s">
        <v>68</v>
      </c>
      <c r="J1155" s="12" t="s">
        <v>69</v>
      </c>
      <c r="K1155" s="12" t="s">
        <v>137</v>
      </c>
      <c r="L1155" s="12" t="s">
        <v>82</v>
      </c>
      <c r="M1155" s="12">
        <v>4</v>
      </c>
      <c r="N1155" s="14">
        <v>508.78</v>
      </c>
      <c r="O1155" s="15">
        <v>0.3</v>
      </c>
      <c r="P1155" s="14">
        <v>1424.58</v>
      </c>
      <c r="Q1155" s="14">
        <v>868.83</v>
      </c>
      <c r="R1155" s="14">
        <v>555.75</v>
      </c>
      <c r="S1155" s="12" t="s">
        <v>63</v>
      </c>
      <c r="T1155" s="12" t="s">
        <v>156</v>
      </c>
      <c r="U1155" s="12">
        <v>3</v>
      </c>
      <c r="V1155" s="12" t="s">
        <v>55</v>
      </c>
    </row>
    <row r="1156" spans="1:22" x14ac:dyDescent="0.3">
      <c r="A1156" s="8" t="s">
        <v>1934</v>
      </c>
      <c r="B1156" s="9">
        <v>45745</v>
      </c>
      <c r="C1156" s="8" t="s">
        <v>125</v>
      </c>
      <c r="D1156" s="8" t="s">
        <v>126</v>
      </c>
      <c r="E1156" s="8" t="s">
        <v>25</v>
      </c>
      <c r="F1156" s="8" t="s">
        <v>820</v>
      </c>
      <c r="G1156" s="8" t="s">
        <v>27</v>
      </c>
      <c r="H1156" s="8" t="s">
        <v>42</v>
      </c>
      <c r="I1156" s="8" t="s">
        <v>68</v>
      </c>
      <c r="J1156" s="8" t="s">
        <v>101</v>
      </c>
      <c r="K1156" s="8" t="s">
        <v>110</v>
      </c>
      <c r="L1156" s="8" t="s">
        <v>77</v>
      </c>
      <c r="M1156" s="8">
        <v>5</v>
      </c>
      <c r="N1156" s="10">
        <v>4911.34</v>
      </c>
      <c r="O1156" s="11">
        <v>0</v>
      </c>
      <c r="P1156" s="10">
        <v>24556.7</v>
      </c>
      <c r="Q1156" s="10">
        <v>16179.63</v>
      </c>
      <c r="R1156" s="10">
        <v>8377.07</v>
      </c>
      <c r="S1156" s="8" t="s">
        <v>83</v>
      </c>
      <c r="T1156" s="8" t="s">
        <v>54</v>
      </c>
      <c r="U1156" s="8">
        <v>5</v>
      </c>
      <c r="V1156" s="8" t="s">
        <v>55</v>
      </c>
    </row>
    <row r="1157" spans="1:22" x14ac:dyDescent="0.3">
      <c r="A1157" s="12" t="s">
        <v>1935</v>
      </c>
      <c r="B1157" s="13">
        <v>45806</v>
      </c>
      <c r="C1157" s="12" t="s">
        <v>125</v>
      </c>
      <c r="D1157" s="12" t="s">
        <v>126</v>
      </c>
      <c r="E1157" s="12" t="s">
        <v>25</v>
      </c>
      <c r="F1157" s="12" t="s">
        <v>666</v>
      </c>
      <c r="G1157" s="12" t="s">
        <v>27</v>
      </c>
      <c r="H1157" s="12" t="s">
        <v>94</v>
      </c>
      <c r="I1157" s="12" t="s">
        <v>29</v>
      </c>
      <c r="J1157" s="12" t="s">
        <v>75</v>
      </c>
      <c r="K1157" s="12" t="s">
        <v>76</v>
      </c>
      <c r="L1157" s="12" t="s">
        <v>103</v>
      </c>
      <c r="M1157" s="12">
        <v>2</v>
      </c>
      <c r="N1157" s="14">
        <v>778.41</v>
      </c>
      <c r="O1157" s="15">
        <v>0.15</v>
      </c>
      <c r="P1157" s="14">
        <v>1323.3</v>
      </c>
      <c r="Q1157" s="14">
        <v>714.07</v>
      </c>
      <c r="R1157" s="14">
        <v>609.23</v>
      </c>
      <c r="S1157" s="12" t="s">
        <v>46</v>
      </c>
      <c r="T1157" s="12" t="s">
        <v>34</v>
      </c>
      <c r="U1157" s="12">
        <v>5</v>
      </c>
      <c r="V1157" s="12" t="s">
        <v>134</v>
      </c>
    </row>
    <row r="1158" spans="1:22" x14ac:dyDescent="0.3">
      <c r="A1158" s="8" t="s">
        <v>1936</v>
      </c>
      <c r="B1158" s="9">
        <v>45676</v>
      </c>
      <c r="C1158" s="8" t="s">
        <v>107</v>
      </c>
      <c r="D1158" s="8" t="s">
        <v>108</v>
      </c>
      <c r="E1158" s="8" t="s">
        <v>39</v>
      </c>
      <c r="F1158" s="8" t="s">
        <v>441</v>
      </c>
      <c r="G1158" s="8" t="s">
        <v>41</v>
      </c>
      <c r="H1158" s="8" t="s">
        <v>94</v>
      </c>
      <c r="I1158" s="8" t="s">
        <v>29</v>
      </c>
      <c r="J1158" s="8" t="s">
        <v>89</v>
      </c>
      <c r="K1158" s="8" t="s">
        <v>151</v>
      </c>
      <c r="L1158" s="8" t="s">
        <v>32</v>
      </c>
      <c r="M1158" s="8">
        <v>5</v>
      </c>
      <c r="N1158" s="10">
        <v>1017.64</v>
      </c>
      <c r="O1158" s="11">
        <v>0.15</v>
      </c>
      <c r="P1158" s="10">
        <v>4324.97</v>
      </c>
      <c r="Q1158" s="10">
        <v>2611.7199999999998</v>
      </c>
      <c r="R1158" s="10">
        <v>1713.25</v>
      </c>
      <c r="S1158" s="8" t="s">
        <v>46</v>
      </c>
      <c r="T1158" s="8" t="s">
        <v>156</v>
      </c>
      <c r="U1158" s="8">
        <v>3</v>
      </c>
      <c r="V1158" s="8" t="s">
        <v>84</v>
      </c>
    </row>
    <row r="1159" spans="1:22" x14ac:dyDescent="0.3">
      <c r="A1159" s="12" t="s">
        <v>1937</v>
      </c>
      <c r="B1159" s="13">
        <v>45724</v>
      </c>
      <c r="C1159" s="12" t="s">
        <v>23</v>
      </c>
      <c r="D1159" s="12" t="s">
        <v>24</v>
      </c>
      <c r="E1159" s="12" t="s">
        <v>25</v>
      </c>
      <c r="F1159" s="12" t="s">
        <v>530</v>
      </c>
      <c r="G1159" s="12" t="s">
        <v>27</v>
      </c>
      <c r="H1159" s="12" t="s">
        <v>42</v>
      </c>
      <c r="I1159" s="12" t="s">
        <v>68</v>
      </c>
      <c r="J1159" s="12" t="s">
        <v>89</v>
      </c>
      <c r="K1159" s="12" t="s">
        <v>151</v>
      </c>
      <c r="L1159" s="12" t="s">
        <v>82</v>
      </c>
      <c r="M1159" s="12">
        <v>3</v>
      </c>
      <c r="N1159" s="14">
        <v>1028.6300000000001</v>
      </c>
      <c r="O1159" s="15">
        <v>0.1</v>
      </c>
      <c r="P1159" s="14">
        <v>2777.3</v>
      </c>
      <c r="Q1159" s="14">
        <v>1503.31</v>
      </c>
      <c r="R1159" s="14">
        <v>1273.99</v>
      </c>
      <c r="S1159" s="12" t="s">
        <v>83</v>
      </c>
      <c r="T1159" s="12" t="s">
        <v>71</v>
      </c>
      <c r="U1159" s="12">
        <v>3</v>
      </c>
      <c r="V1159" s="12" t="s">
        <v>55</v>
      </c>
    </row>
    <row r="1160" spans="1:22" x14ac:dyDescent="0.3">
      <c r="A1160" s="8" t="s">
        <v>1938</v>
      </c>
      <c r="B1160" s="9">
        <v>45822</v>
      </c>
      <c r="C1160" s="8" t="s">
        <v>37</v>
      </c>
      <c r="D1160" s="8" t="s">
        <v>38</v>
      </c>
      <c r="E1160" s="8" t="s">
        <v>39</v>
      </c>
      <c r="F1160" s="8" t="s">
        <v>1434</v>
      </c>
      <c r="G1160" s="8" t="s">
        <v>41</v>
      </c>
      <c r="H1160" s="8" t="s">
        <v>28</v>
      </c>
      <c r="I1160" s="8" t="s">
        <v>29</v>
      </c>
      <c r="J1160" s="8" t="s">
        <v>43</v>
      </c>
      <c r="K1160" s="8" t="s">
        <v>162</v>
      </c>
      <c r="L1160" s="8" t="s">
        <v>45</v>
      </c>
      <c r="M1160" s="8">
        <v>4</v>
      </c>
      <c r="N1160" s="10">
        <v>862.57</v>
      </c>
      <c r="O1160" s="11">
        <v>0.1</v>
      </c>
      <c r="P1160" s="10">
        <v>3105.25</v>
      </c>
      <c r="Q1160" s="10">
        <v>1622.18</v>
      </c>
      <c r="R1160" s="10">
        <v>1483.07</v>
      </c>
      <c r="S1160" s="8" t="s">
        <v>46</v>
      </c>
      <c r="T1160" s="8" t="s">
        <v>111</v>
      </c>
      <c r="U1160" s="8">
        <v>4</v>
      </c>
      <c r="V1160" s="8" t="s">
        <v>157</v>
      </c>
    </row>
    <row r="1161" spans="1:22" x14ac:dyDescent="0.3">
      <c r="A1161" s="12" t="s">
        <v>1939</v>
      </c>
      <c r="B1161" s="13">
        <v>45766</v>
      </c>
      <c r="C1161" s="12" t="s">
        <v>57</v>
      </c>
      <c r="D1161" s="12" t="s">
        <v>58</v>
      </c>
      <c r="E1161" s="12" t="s">
        <v>59</v>
      </c>
      <c r="F1161" s="12" t="s">
        <v>1940</v>
      </c>
      <c r="G1161" s="12" t="s">
        <v>27</v>
      </c>
      <c r="H1161" s="12" t="s">
        <v>94</v>
      </c>
      <c r="I1161" s="12" t="s">
        <v>61</v>
      </c>
      <c r="J1161" s="12" t="s">
        <v>69</v>
      </c>
      <c r="K1161" s="12" t="s">
        <v>70</v>
      </c>
      <c r="L1161" s="12" t="s">
        <v>91</v>
      </c>
      <c r="M1161" s="12">
        <v>5</v>
      </c>
      <c r="N1161" s="14">
        <v>854.96</v>
      </c>
      <c r="O1161" s="15">
        <v>0.2</v>
      </c>
      <c r="P1161" s="14">
        <v>3419.84</v>
      </c>
      <c r="Q1161" s="14">
        <v>2304.21</v>
      </c>
      <c r="R1161" s="14">
        <v>1115.6300000000001</v>
      </c>
      <c r="S1161" s="12" t="s">
        <v>83</v>
      </c>
      <c r="T1161" s="12" t="s">
        <v>71</v>
      </c>
      <c r="U1161" s="12">
        <v>4</v>
      </c>
      <c r="V1161" s="12" t="s">
        <v>96</v>
      </c>
    </row>
    <row r="1162" spans="1:22" x14ac:dyDescent="0.3">
      <c r="A1162" s="8" t="s">
        <v>1941</v>
      </c>
      <c r="B1162" s="9">
        <v>45930</v>
      </c>
      <c r="C1162" s="8" t="s">
        <v>37</v>
      </c>
      <c r="D1162" s="8" t="s">
        <v>38</v>
      </c>
      <c r="E1162" s="8" t="s">
        <v>39</v>
      </c>
      <c r="F1162" s="8" t="s">
        <v>1942</v>
      </c>
      <c r="G1162" s="8" t="s">
        <v>27</v>
      </c>
      <c r="H1162" s="8" t="s">
        <v>28</v>
      </c>
      <c r="I1162" s="8" t="s">
        <v>29</v>
      </c>
      <c r="J1162" s="8" t="s">
        <v>30</v>
      </c>
      <c r="K1162" s="8" t="s">
        <v>144</v>
      </c>
      <c r="L1162" s="8" t="s">
        <v>175</v>
      </c>
      <c r="M1162" s="8">
        <v>2</v>
      </c>
      <c r="N1162" s="10">
        <v>2616.2800000000002</v>
      </c>
      <c r="O1162" s="11">
        <v>0.15</v>
      </c>
      <c r="P1162" s="10">
        <v>4447.68</v>
      </c>
      <c r="Q1162" s="10">
        <v>2980.98</v>
      </c>
      <c r="R1162" s="10">
        <v>1466.7</v>
      </c>
      <c r="S1162" s="8" t="s">
        <v>83</v>
      </c>
      <c r="T1162" s="8" t="s">
        <v>34</v>
      </c>
      <c r="U1162" s="8">
        <v>5</v>
      </c>
      <c r="V1162" s="8" t="s">
        <v>116</v>
      </c>
    </row>
    <row r="1163" spans="1:22" x14ac:dyDescent="0.3">
      <c r="A1163" s="12" t="s">
        <v>1943</v>
      </c>
      <c r="B1163" s="13">
        <v>45994</v>
      </c>
      <c r="C1163" s="12" t="s">
        <v>37</v>
      </c>
      <c r="D1163" s="12" t="s">
        <v>38</v>
      </c>
      <c r="E1163" s="12" t="s">
        <v>39</v>
      </c>
      <c r="F1163" s="12" t="s">
        <v>1944</v>
      </c>
      <c r="G1163" s="12" t="s">
        <v>27</v>
      </c>
      <c r="H1163" s="12" t="s">
        <v>42</v>
      </c>
      <c r="I1163" s="12" t="s">
        <v>68</v>
      </c>
      <c r="J1163" s="12" t="s">
        <v>75</v>
      </c>
      <c r="K1163" s="12" t="s">
        <v>76</v>
      </c>
      <c r="L1163" s="12" t="s">
        <v>82</v>
      </c>
      <c r="M1163" s="12">
        <v>1</v>
      </c>
      <c r="N1163" s="14">
        <v>814.86</v>
      </c>
      <c r="O1163" s="15">
        <v>0.1</v>
      </c>
      <c r="P1163" s="14">
        <v>733.37</v>
      </c>
      <c r="Q1163" s="14">
        <v>344.61</v>
      </c>
      <c r="R1163" s="14">
        <v>388.76</v>
      </c>
      <c r="S1163" s="12" t="s">
        <v>33</v>
      </c>
      <c r="T1163" s="12" t="s">
        <v>104</v>
      </c>
      <c r="U1163" s="12">
        <v>3</v>
      </c>
      <c r="V1163" s="12" t="s">
        <v>35</v>
      </c>
    </row>
    <row r="1164" spans="1:22" x14ac:dyDescent="0.3">
      <c r="A1164" s="8" t="s">
        <v>1945</v>
      </c>
      <c r="B1164" s="9">
        <v>45868</v>
      </c>
      <c r="C1164" s="8" t="s">
        <v>131</v>
      </c>
      <c r="D1164" s="8" t="s">
        <v>132</v>
      </c>
      <c r="E1164" s="8" t="s">
        <v>25</v>
      </c>
      <c r="F1164" s="8" t="s">
        <v>1946</v>
      </c>
      <c r="G1164" s="8" t="s">
        <v>27</v>
      </c>
      <c r="H1164" s="8" t="s">
        <v>94</v>
      </c>
      <c r="I1164" s="8" t="s">
        <v>61</v>
      </c>
      <c r="J1164" s="8" t="s">
        <v>75</v>
      </c>
      <c r="K1164" s="8" t="s">
        <v>76</v>
      </c>
      <c r="L1164" s="8" t="s">
        <v>91</v>
      </c>
      <c r="M1164" s="8">
        <v>4</v>
      </c>
      <c r="N1164" s="10">
        <v>760.69</v>
      </c>
      <c r="O1164" s="11">
        <v>0.05</v>
      </c>
      <c r="P1164" s="10">
        <v>2890.62</v>
      </c>
      <c r="Q1164" s="10">
        <v>1435.03</v>
      </c>
      <c r="R1164" s="10">
        <v>1455.59</v>
      </c>
      <c r="S1164" s="8" t="s">
        <v>53</v>
      </c>
      <c r="T1164" s="8" t="s">
        <v>119</v>
      </c>
      <c r="U1164" s="8">
        <v>5</v>
      </c>
      <c r="V1164" s="8" t="s">
        <v>120</v>
      </c>
    </row>
    <row r="1165" spans="1:22" x14ac:dyDescent="0.3">
      <c r="A1165" s="12" t="s">
        <v>1947</v>
      </c>
      <c r="B1165" s="13">
        <v>45690</v>
      </c>
      <c r="C1165" s="12" t="s">
        <v>23</v>
      </c>
      <c r="D1165" s="12" t="s">
        <v>24</v>
      </c>
      <c r="E1165" s="12" t="s">
        <v>25</v>
      </c>
      <c r="F1165" s="12" t="s">
        <v>1702</v>
      </c>
      <c r="G1165" s="12" t="s">
        <v>27</v>
      </c>
      <c r="H1165" s="12" t="s">
        <v>28</v>
      </c>
      <c r="I1165" s="12" t="s">
        <v>61</v>
      </c>
      <c r="J1165" s="12" t="s">
        <v>101</v>
      </c>
      <c r="K1165" s="12" t="s">
        <v>110</v>
      </c>
      <c r="L1165" s="12" t="s">
        <v>45</v>
      </c>
      <c r="M1165" s="12">
        <v>2</v>
      </c>
      <c r="N1165" s="14">
        <v>4827.58</v>
      </c>
      <c r="O1165" s="15">
        <v>0.2</v>
      </c>
      <c r="P1165" s="14">
        <v>7724.13</v>
      </c>
      <c r="Q1165" s="14">
        <v>6448.47</v>
      </c>
      <c r="R1165" s="14">
        <v>1275.6600000000001</v>
      </c>
      <c r="S1165" s="12" t="s">
        <v>63</v>
      </c>
      <c r="T1165" s="12" t="s">
        <v>156</v>
      </c>
      <c r="U1165" s="12">
        <v>4</v>
      </c>
      <c r="V1165" s="12" t="s">
        <v>105</v>
      </c>
    </row>
    <row r="1166" spans="1:22" x14ac:dyDescent="0.3">
      <c r="A1166" s="8" t="s">
        <v>1948</v>
      </c>
      <c r="B1166" s="9">
        <v>45886</v>
      </c>
      <c r="C1166" s="8" t="s">
        <v>48</v>
      </c>
      <c r="D1166" s="8" t="s">
        <v>49</v>
      </c>
      <c r="E1166" s="8" t="s">
        <v>39</v>
      </c>
      <c r="F1166" s="8" t="s">
        <v>695</v>
      </c>
      <c r="G1166" s="8" t="s">
        <v>27</v>
      </c>
      <c r="H1166" s="8" t="s">
        <v>28</v>
      </c>
      <c r="I1166" s="8" t="s">
        <v>29</v>
      </c>
      <c r="J1166" s="8" t="s">
        <v>75</v>
      </c>
      <c r="K1166" s="8" t="s">
        <v>76</v>
      </c>
      <c r="L1166" s="8" t="s">
        <v>82</v>
      </c>
      <c r="M1166" s="8">
        <v>3</v>
      </c>
      <c r="N1166" s="10">
        <v>768.92</v>
      </c>
      <c r="O1166" s="11">
        <v>0.2</v>
      </c>
      <c r="P1166" s="10">
        <v>1845.41</v>
      </c>
      <c r="Q1166" s="10">
        <v>1089.69</v>
      </c>
      <c r="R1166" s="10">
        <v>755.72</v>
      </c>
      <c r="S1166" s="8" t="s">
        <v>33</v>
      </c>
      <c r="T1166" s="8" t="s">
        <v>34</v>
      </c>
      <c r="U1166" s="8">
        <v>3</v>
      </c>
      <c r="V1166" s="8" t="s">
        <v>72</v>
      </c>
    </row>
    <row r="1167" spans="1:22" x14ac:dyDescent="0.3">
      <c r="A1167" s="12" t="s">
        <v>1949</v>
      </c>
      <c r="B1167" s="13">
        <v>45931</v>
      </c>
      <c r="C1167" s="12" t="s">
        <v>125</v>
      </c>
      <c r="D1167" s="12" t="s">
        <v>126</v>
      </c>
      <c r="E1167" s="12" t="s">
        <v>25</v>
      </c>
      <c r="F1167" s="12" t="s">
        <v>1950</v>
      </c>
      <c r="G1167" s="12" t="s">
        <v>41</v>
      </c>
      <c r="H1167" s="12" t="s">
        <v>28</v>
      </c>
      <c r="I1167" s="12" t="s">
        <v>29</v>
      </c>
      <c r="J1167" s="12" t="s">
        <v>30</v>
      </c>
      <c r="K1167" s="12" t="s">
        <v>31</v>
      </c>
      <c r="L1167" s="12" t="s">
        <v>45</v>
      </c>
      <c r="M1167" s="12">
        <v>2</v>
      </c>
      <c r="N1167" s="14">
        <v>4030.97</v>
      </c>
      <c r="O1167" s="15">
        <v>0</v>
      </c>
      <c r="P1167" s="14">
        <v>8061.94</v>
      </c>
      <c r="Q1167" s="14">
        <v>4383.07</v>
      </c>
      <c r="R1167" s="14">
        <v>3678.87</v>
      </c>
      <c r="S1167" s="12" t="s">
        <v>33</v>
      </c>
      <c r="T1167" s="12" t="s">
        <v>156</v>
      </c>
      <c r="U1167" s="12">
        <v>3</v>
      </c>
      <c r="V1167" s="12" t="s">
        <v>123</v>
      </c>
    </row>
    <row r="1168" spans="1:22" x14ac:dyDescent="0.3">
      <c r="A1168" s="8" t="s">
        <v>1951</v>
      </c>
      <c r="B1168" s="9">
        <v>45817</v>
      </c>
      <c r="C1168" s="8" t="s">
        <v>57</v>
      </c>
      <c r="D1168" s="8" t="s">
        <v>58</v>
      </c>
      <c r="E1168" s="8" t="s">
        <v>59</v>
      </c>
      <c r="F1168" s="8" t="s">
        <v>1084</v>
      </c>
      <c r="G1168" s="8" t="s">
        <v>27</v>
      </c>
      <c r="H1168" s="8" t="s">
        <v>42</v>
      </c>
      <c r="I1168" s="8" t="s">
        <v>29</v>
      </c>
      <c r="J1168" s="8" t="s">
        <v>30</v>
      </c>
      <c r="K1168" s="8" t="s">
        <v>31</v>
      </c>
      <c r="L1168" s="8" t="s">
        <v>45</v>
      </c>
      <c r="M1168" s="8">
        <v>2</v>
      </c>
      <c r="N1168" s="10">
        <v>4124.2</v>
      </c>
      <c r="O1168" s="11">
        <v>0</v>
      </c>
      <c r="P1168" s="10">
        <v>8248.4</v>
      </c>
      <c r="Q1168" s="10">
        <v>4231.3</v>
      </c>
      <c r="R1168" s="10">
        <v>4017.1</v>
      </c>
      <c r="S1168" s="8" t="s">
        <v>53</v>
      </c>
      <c r="T1168" s="8" t="s">
        <v>64</v>
      </c>
      <c r="U1168" s="8">
        <v>4</v>
      </c>
      <c r="V1168" s="8" t="s">
        <v>157</v>
      </c>
    </row>
    <row r="1169" spans="1:22" x14ac:dyDescent="0.3">
      <c r="A1169" s="12" t="s">
        <v>1952</v>
      </c>
      <c r="B1169" s="13">
        <v>45687</v>
      </c>
      <c r="C1169" s="12" t="s">
        <v>37</v>
      </c>
      <c r="D1169" s="12" t="s">
        <v>38</v>
      </c>
      <c r="E1169" s="12" t="s">
        <v>39</v>
      </c>
      <c r="F1169" s="12" t="s">
        <v>1953</v>
      </c>
      <c r="G1169" s="12" t="s">
        <v>27</v>
      </c>
      <c r="H1169" s="12" t="s">
        <v>94</v>
      </c>
      <c r="I1169" s="12" t="s">
        <v>29</v>
      </c>
      <c r="J1169" s="12" t="s">
        <v>43</v>
      </c>
      <c r="K1169" s="12" t="s">
        <v>44</v>
      </c>
      <c r="L1169" s="12" t="s">
        <v>45</v>
      </c>
      <c r="M1169" s="12">
        <v>2</v>
      </c>
      <c r="N1169" s="14">
        <v>588.88</v>
      </c>
      <c r="O1169" s="15">
        <v>0.3</v>
      </c>
      <c r="P1169" s="14">
        <v>824.43</v>
      </c>
      <c r="Q1169" s="14">
        <v>496.08</v>
      </c>
      <c r="R1169" s="14">
        <v>328.35</v>
      </c>
      <c r="S1169" s="12" t="s">
        <v>53</v>
      </c>
      <c r="T1169" s="12" t="s">
        <v>71</v>
      </c>
      <c r="U1169" s="12">
        <v>3</v>
      </c>
      <c r="V1169" s="12" t="s">
        <v>84</v>
      </c>
    </row>
    <row r="1170" spans="1:22" x14ac:dyDescent="0.3">
      <c r="A1170" s="8" t="s">
        <v>1954</v>
      </c>
      <c r="B1170" s="9">
        <v>45679</v>
      </c>
      <c r="C1170" s="8" t="s">
        <v>125</v>
      </c>
      <c r="D1170" s="8" t="s">
        <v>126</v>
      </c>
      <c r="E1170" s="8" t="s">
        <v>25</v>
      </c>
      <c r="F1170" s="8" t="s">
        <v>1618</v>
      </c>
      <c r="G1170" s="8" t="s">
        <v>27</v>
      </c>
      <c r="H1170" s="8" t="s">
        <v>81</v>
      </c>
      <c r="I1170" s="8" t="s">
        <v>29</v>
      </c>
      <c r="J1170" s="8" t="s">
        <v>75</v>
      </c>
      <c r="K1170" s="8" t="s">
        <v>95</v>
      </c>
      <c r="L1170" s="8" t="s">
        <v>103</v>
      </c>
      <c r="M1170" s="8">
        <v>2</v>
      </c>
      <c r="N1170" s="10">
        <v>24798.87</v>
      </c>
      <c r="O1170" s="11">
        <v>0.15</v>
      </c>
      <c r="P1170" s="10">
        <v>42158.080000000002</v>
      </c>
      <c r="Q1170" s="10">
        <v>37226.26</v>
      </c>
      <c r="R1170" s="10">
        <v>4931.82</v>
      </c>
      <c r="S1170" s="8" t="s">
        <v>33</v>
      </c>
      <c r="T1170" s="8" t="s">
        <v>147</v>
      </c>
      <c r="U1170" s="8">
        <v>4</v>
      </c>
      <c r="V1170" s="8" t="s">
        <v>84</v>
      </c>
    </row>
    <row r="1171" spans="1:22" x14ac:dyDescent="0.3">
      <c r="A1171" s="12" t="s">
        <v>1955</v>
      </c>
      <c r="B1171" s="13">
        <v>45664</v>
      </c>
      <c r="C1171" s="12" t="s">
        <v>113</v>
      </c>
      <c r="D1171" s="12" t="s">
        <v>114</v>
      </c>
      <c r="E1171" s="12" t="s">
        <v>59</v>
      </c>
      <c r="F1171" s="12" t="s">
        <v>1956</v>
      </c>
      <c r="G1171" s="12" t="s">
        <v>41</v>
      </c>
      <c r="H1171" s="12" t="s">
        <v>81</v>
      </c>
      <c r="I1171" s="12" t="s">
        <v>61</v>
      </c>
      <c r="J1171" s="12" t="s">
        <v>43</v>
      </c>
      <c r="K1171" s="12" t="s">
        <v>51</v>
      </c>
      <c r="L1171" s="12" t="s">
        <v>52</v>
      </c>
      <c r="M1171" s="12">
        <v>5</v>
      </c>
      <c r="N1171" s="14">
        <v>1427.82</v>
      </c>
      <c r="O1171" s="15">
        <v>0.15</v>
      </c>
      <c r="P1171" s="14">
        <v>6068.23</v>
      </c>
      <c r="Q1171" s="14">
        <v>3582.63</v>
      </c>
      <c r="R1171" s="14">
        <v>2485.6</v>
      </c>
      <c r="S1171" s="12" t="s">
        <v>33</v>
      </c>
      <c r="T1171" s="12" t="s">
        <v>64</v>
      </c>
      <c r="U1171" s="12">
        <v>4</v>
      </c>
      <c r="V1171" s="12" t="s">
        <v>84</v>
      </c>
    </row>
    <row r="1172" spans="1:22" x14ac:dyDescent="0.3">
      <c r="A1172" s="8" t="s">
        <v>1957</v>
      </c>
      <c r="B1172" s="9">
        <v>45719</v>
      </c>
      <c r="C1172" s="8" t="s">
        <v>37</v>
      </c>
      <c r="D1172" s="8" t="s">
        <v>38</v>
      </c>
      <c r="E1172" s="8" t="s">
        <v>39</v>
      </c>
      <c r="F1172" s="8" t="s">
        <v>532</v>
      </c>
      <c r="G1172" s="8" t="s">
        <v>41</v>
      </c>
      <c r="H1172" s="8" t="s">
        <v>28</v>
      </c>
      <c r="I1172" s="8" t="s">
        <v>61</v>
      </c>
      <c r="J1172" s="8" t="s">
        <v>30</v>
      </c>
      <c r="K1172" s="8" t="s">
        <v>144</v>
      </c>
      <c r="L1172" s="8" t="s">
        <v>82</v>
      </c>
      <c r="M1172" s="8">
        <v>1</v>
      </c>
      <c r="N1172" s="10">
        <v>2615.13</v>
      </c>
      <c r="O1172" s="11">
        <v>0.15</v>
      </c>
      <c r="P1172" s="10">
        <v>2222.86</v>
      </c>
      <c r="Q1172" s="10">
        <v>1531.01</v>
      </c>
      <c r="R1172" s="10">
        <v>691.85</v>
      </c>
      <c r="S1172" s="8" t="s">
        <v>33</v>
      </c>
      <c r="T1172" s="8" t="s">
        <v>78</v>
      </c>
      <c r="U1172" s="8">
        <v>3</v>
      </c>
      <c r="V1172" s="8" t="s">
        <v>55</v>
      </c>
    </row>
    <row r="1173" spans="1:22" x14ac:dyDescent="0.3">
      <c r="A1173" s="12" t="s">
        <v>1958</v>
      </c>
      <c r="B1173" s="13">
        <v>45819</v>
      </c>
      <c r="C1173" s="12" t="s">
        <v>125</v>
      </c>
      <c r="D1173" s="12" t="s">
        <v>126</v>
      </c>
      <c r="E1173" s="12" t="s">
        <v>25</v>
      </c>
      <c r="F1173" s="12" t="s">
        <v>836</v>
      </c>
      <c r="G1173" s="12" t="s">
        <v>27</v>
      </c>
      <c r="H1173" s="12" t="s">
        <v>42</v>
      </c>
      <c r="I1173" s="12" t="s">
        <v>61</v>
      </c>
      <c r="J1173" s="12" t="s">
        <v>101</v>
      </c>
      <c r="K1173" s="12" t="s">
        <v>217</v>
      </c>
      <c r="L1173" s="12" t="s">
        <v>82</v>
      </c>
      <c r="M1173" s="12">
        <v>3</v>
      </c>
      <c r="N1173" s="14">
        <v>2976.84</v>
      </c>
      <c r="O1173" s="15">
        <v>0.1</v>
      </c>
      <c r="P1173" s="14">
        <v>8037.47</v>
      </c>
      <c r="Q1173" s="14">
        <v>5112.09</v>
      </c>
      <c r="R1173" s="14">
        <v>2925.38</v>
      </c>
      <c r="S1173" s="12" t="s">
        <v>33</v>
      </c>
      <c r="T1173" s="12" t="s">
        <v>54</v>
      </c>
      <c r="U1173" s="12">
        <v>4</v>
      </c>
      <c r="V1173" s="12" t="s">
        <v>157</v>
      </c>
    </row>
    <row r="1174" spans="1:22" x14ac:dyDescent="0.3">
      <c r="A1174" s="8" t="s">
        <v>1959</v>
      </c>
      <c r="B1174" s="9">
        <v>45980</v>
      </c>
      <c r="C1174" s="8" t="s">
        <v>113</v>
      </c>
      <c r="D1174" s="8" t="s">
        <v>114</v>
      </c>
      <c r="E1174" s="8" t="s">
        <v>59</v>
      </c>
      <c r="F1174" s="8" t="s">
        <v>109</v>
      </c>
      <c r="G1174" s="8" t="s">
        <v>41</v>
      </c>
      <c r="H1174" s="8" t="s">
        <v>28</v>
      </c>
      <c r="I1174" s="8" t="s">
        <v>68</v>
      </c>
      <c r="J1174" s="8" t="s">
        <v>30</v>
      </c>
      <c r="K1174" s="8" t="s">
        <v>62</v>
      </c>
      <c r="L1174" s="8" t="s">
        <v>91</v>
      </c>
      <c r="M1174" s="8">
        <v>1</v>
      </c>
      <c r="N1174" s="10">
        <v>1011.07</v>
      </c>
      <c r="O1174" s="11">
        <v>0.2</v>
      </c>
      <c r="P1174" s="10">
        <v>808.86</v>
      </c>
      <c r="Q1174" s="10">
        <v>457.54</v>
      </c>
      <c r="R1174" s="10">
        <v>351.32</v>
      </c>
      <c r="S1174" s="8" t="s">
        <v>83</v>
      </c>
      <c r="T1174" s="8" t="s">
        <v>156</v>
      </c>
      <c r="U1174" s="8">
        <v>3</v>
      </c>
      <c r="V1174" s="8" t="s">
        <v>65</v>
      </c>
    </row>
    <row r="1175" spans="1:22" x14ac:dyDescent="0.3">
      <c r="A1175" s="12" t="s">
        <v>1960</v>
      </c>
      <c r="B1175" s="13">
        <v>45783</v>
      </c>
      <c r="C1175" s="12" t="s">
        <v>48</v>
      </c>
      <c r="D1175" s="12" t="s">
        <v>49</v>
      </c>
      <c r="E1175" s="12" t="s">
        <v>39</v>
      </c>
      <c r="F1175" s="12" t="s">
        <v>820</v>
      </c>
      <c r="G1175" s="12" t="s">
        <v>41</v>
      </c>
      <c r="H1175" s="12" t="s">
        <v>28</v>
      </c>
      <c r="I1175" s="12" t="s">
        <v>68</v>
      </c>
      <c r="J1175" s="12" t="s">
        <v>30</v>
      </c>
      <c r="K1175" s="12" t="s">
        <v>31</v>
      </c>
      <c r="L1175" s="12" t="s">
        <v>103</v>
      </c>
      <c r="M1175" s="12">
        <v>2</v>
      </c>
      <c r="N1175" s="14">
        <v>3890.83</v>
      </c>
      <c r="O1175" s="15">
        <v>0</v>
      </c>
      <c r="P1175" s="14">
        <v>7781.66</v>
      </c>
      <c r="Q1175" s="14">
        <v>4489.8100000000004</v>
      </c>
      <c r="R1175" s="14">
        <v>3291.85</v>
      </c>
      <c r="S1175" s="12" t="s">
        <v>46</v>
      </c>
      <c r="T1175" s="12" t="s">
        <v>111</v>
      </c>
      <c r="U1175" s="12">
        <v>3</v>
      </c>
      <c r="V1175" s="12" t="s">
        <v>134</v>
      </c>
    </row>
    <row r="1176" spans="1:22" x14ac:dyDescent="0.3">
      <c r="A1176" s="8" t="s">
        <v>1961</v>
      </c>
      <c r="B1176" s="9">
        <v>45816</v>
      </c>
      <c r="C1176" s="8" t="s">
        <v>98</v>
      </c>
      <c r="D1176" s="8" t="s">
        <v>99</v>
      </c>
      <c r="E1176" s="8" t="s">
        <v>25</v>
      </c>
      <c r="F1176" s="8" t="s">
        <v>998</v>
      </c>
      <c r="G1176" s="8" t="s">
        <v>41</v>
      </c>
      <c r="H1176" s="8" t="s">
        <v>42</v>
      </c>
      <c r="I1176" s="8" t="s">
        <v>61</v>
      </c>
      <c r="J1176" s="8" t="s">
        <v>69</v>
      </c>
      <c r="K1176" s="8" t="s">
        <v>137</v>
      </c>
      <c r="L1176" s="8" t="s">
        <v>52</v>
      </c>
      <c r="M1176" s="8">
        <v>2</v>
      </c>
      <c r="N1176" s="10">
        <v>502.61</v>
      </c>
      <c r="O1176" s="11">
        <v>0.3</v>
      </c>
      <c r="P1176" s="10">
        <v>703.65</v>
      </c>
      <c r="Q1176" s="10">
        <v>450</v>
      </c>
      <c r="R1176" s="10">
        <v>253.65</v>
      </c>
      <c r="S1176" s="8" t="s">
        <v>63</v>
      </c>
      <c r="T1176" s="8" t="s">
        <v>104</v>
      </c>
      <c r="U1176" s="8">
        <v>5</v>
      </c>
      <c r="V1176" s="8" t="s">
        <v>157</v>
      </c>
    </row>
    <row r="1177" spans="1:22" x14ac:dyDescent="0.3">
      <c r="A1177" s="12" t="s">
        <v>1962</v>
      </c>
      <c r="B1177" s="13">
        <v>45906</v>
      </c>
      <c r="C1177" s="12" t="s">
        <v>57</v>
      </c>
      <c r="D1177" s="12" t="s">
        <v>58</v>
      </c>
      <c r="E1177" s="12" t="s">
        <v>59</v>
      </c>
      <c r="F1177" s="12" t="s">
        <v>1302</v>
      </c>
      <c r="G1177" s="12" t="s">
        <v>41</v>
      </c>
      <c r="H1177" s="12" t="s">
        <v>94</v>
      </c>
      <c r="I1177" s="12" t="s">
        <v>29</v>
      </c>
      <c r="J1177" s="12" t="s">
        <v>89</v>
      </c>
      <c r="K1177" s="12" t="s">
        <v>90</v>
      </c>
      <c r="L1177" s="12" t="s">
        <v>77</v>
      </c>
      <c r="M1177" s="12">
        <v>2</v>
      </c>
      <c r="N1177" s="14">
        <v>3618.31</v>
      </c>
      <c r="O1177" s="15">
        <v>0.05</v>
      </c>
      <c r="P1177" s="14">
        <v>6874.79</v>
      </c>
      <c r="Q1177" s="14">
        <v>4342.28</v>
      </c>
      <c r="R1177" s="14">
        <v>2532.5100000000002</v>
      </c>
      <c r="S1177" s="12" t="s">
        <v>46</v>
      </c>
      <c r="T1177" s="12" t="s">
        <v>78</v>
      </c>
      <c r="U1177" s="12">
        <v>5</v>
      </c>
      <c r="V1177" s="12" t="s">
        <v>116</v>
      </c>
    </row>
    <row r="1178" spans="1:22" x14ac:dyDescent="0.3">
      <c r="A1178" s="8" t="s">
        <v>1963</v>
      </c>
      <c r="B1178" s="9">
        <v>45734</v>
      </c>
      <c r="C1178" s="8" t="s">
        <v>57</v>
      </c>
      <c r="D1178" s="8" t="s">
        <v>58</v>
      </c>
      <c r="E1178" s="8" t="s">
        <v>59</v>
      </c>
      <c r="F1178" s="8" t="s">
        <v>723</v>
      </c>
      <c r="G1178" s="8" t="s">
        <v>27</v>
      </c>
      <c r="H1178" s="8" t="s">
        <v>94</v>
      </c>
      <c r="I1178" s="8" t="s">
        <v>68</v>
      </c>
      <c r="J1178" s="8" t="s">
        <v>69</v>
      </c>
      <c r="K1178" s="8" t="s">
        <v>70</v>
      </c>
      <c r="L1178" s="8" t="s">
        <v>52</v>
      </c>
      <c r="M1178" s="8">
        <v>4</v>
      </c>
      <c r="N1178" s="10">
        <v>918.03</v>
      </c>
      <c r="O1178" s="11">
        <v>0</v>
      </c>
      <c r="P1178" s="10">
        <v>3672.12</v>
      </c>
      <c r="Q1178" s="10">
        <v>1781.78</v>
      </c>
      <c r="R1178" s="10">
        <v>1890.34</v>
      </c>
      <c r="S1178" s="8" t="s">
        <v>83</v>
      </c>
      <c r="T1178" s="8" t="s">
        <v>34</v>
      </c>
      <c r="U1178" s="8">
        <v>4</v>
      </c>
      <c r="V1178" s="8" t="s">
        <v>55</v>
      </c>
    </row>
    <row r="1179" spans="1:22" x14ac:dyDescent="0.3">
      <c r="A1179" s="12" t="s">
        <v>1964</v>
      </c>
      <c r="B1179" s="13">
        <v>45906</v>
      </c>
      <c r="C1179" s="12" t="s">
        <v>107</v>
      </c>
      <c r="D1179" s="12" t="s">
        <v>108</v>
      </c>
      <c r="E1179" s="12" t="s">
        <v>39</v>
      </c>
      <c r="F1179" s="12" t="s">
        <v>1965</v>
      </c>
      <c r="G1179" s="12" t="s">
        <v>27</v>
      </c>
      <c r="H1179" s="12" t="s">
        <v>28</v>
      </c>
      <c r="I1179" s="12" t="s">
        <v>68</v>
      </c>
      <c r="J1179" s="12" t="s">
        <v>30</v>
      </c>
      <c r="K1179" s="12" t="s">
        <v>144</v>
      </c>
      <c r="L1179" s="12" t="s">
        <v>77</v>
      </c>
      <c r="M1179" s="12">
        <v>1</v>
      </c>
      <c r="N1179" s="14">
        <v>2431.9899999999998</v>
      </c>
      <c r="O1179" s="15">
        <v>0.25</v>
      </c>
      <c r="P1179" s="14">
        <v>1823.99</v>
      </c>
      <c r="Q1179" s="14">
        <v>1527.03</v>
      </c>
      <c r="R1179" s="14">
        <v>296.95999999999998</v>
      </c>
      <c r="S1179" s="12" t="s">
        <v>53</v>
      </c>
      <c r="T1179" s="12" t="s">
        <v>119</v>
      </c>
      <c r="U1179" s="12">
        <v>5</v>
      </c>
      <c r="V1179" s="12" t="s">
        <v>116</v>
      </c>
    </row>
    <row r="1180" spans="1:22" x14ac:dyDescent="0.3">
      <c r="A1180" s="8" t="s">
        <v>1966</v>
      </c>
      <c r="B1180" s="9">
        <v>45909</v>
      </c>
      <c r="C1180" s="8" t="s">
        <v>107</v>
      </c>
      <c r="D1180" s="8" t="s">
        <v>108</v>
      </c>
      <c r="E1180" s="8" t="s">
        <v>39</v>
      </c>
      <c r="F1180" s="8" t="s">
        <v>1135</v>
      </c>
      <c r="G1180" s="8" t="s">
        <v>27</v>
      </c>
      <c r="H1180" s="8" t="s">
        <v>94</v>
      </c>
      <c r="I1180" s="8" t="s">
        <v>29</v>
      </c>
      <c r="J1180" s="8" t="s">
        <v>30</v>
      </c>
      <c r="K1180" s="8" t="s">
        <v>31</v>
      </c>
      <c r="L1180" s="8" t="s">
        <v>91</v>
      </c>
      <c r="M1180" s="8">
        <v>1</v>
      </c>
      <c r="N1180" s="10">
        <v>3804.72</v>
      </c>
      <c r="O1180" s="11">
        <v>0.2</v>
      </c>
      <c r="P1180" s="10">
        <v>3043.78</v>
      </c>
      <c r="Q1180" s="10">
        <v>2276.48</v>
      </c>
      <c r="R1180" s="10">
        <v>767.3</v>
      </c>
      <c r="S1180" s="8" t="s">
        <v>33</v>
      </c>
      <c r="T1180" s="8" t="s">
        <v>104</v>
      </c>
      <c r="U1180" s="8">
        <v>5</v>
      </c>
      <c r="V1180" s="8" t="s">
        <v>116</v>
      </c>
    </row>
    <row r="1181" spans="1:22" x14ac:dyDescent="0.3">
      <c r="A1181" s="12" t="s">
        <v>1967</v>
      </c>
      <c r="B1181" s="13">
        <v>45834</v>
      </c>
      <c r="C1181" s="12" t="s">
        <v>86</v>
      </c>
      <c r="D1181" s="12" t="s">
        <v>87</v>
      </c>
      <c r="E1181" s="12" t="s">
        <v>59</v>
      </c>
      <c r="F1181" s="12" t="s">
        <v>1751</v>
      </c>
      <c r="G1181" s="12" t="s">
        <v>27</v>
      </c>
      <c r="H1181" s="12" t="s">
        <v>81</v>
      </c>
      <c r="I1181" s="12" t="s">
        <v>68</v>
      </c>
      <c r="J1181" s="12" t="s">
        <v>75</v>
      </c>
      <c r="K1181" s="12" t="s">
        <v>76</v>
      </c>
      <c r="L1181" s="12" t="s">
        <v>77</v>
      </c>
      <c r="M1181" s="12">
        <v>5</v>
      </c>
      <c r="N1181" s="14">
        <v>825.91</v>
      </c>
      <c r="O1181" s="15">
        <v>0.05</v>
      </c>
      <c r="P1181" s="14">
        <v>3923.07</v>
      </c>
      <c r="Q1181" s="14">
        <v>1830.39</v>
      </c>
      <c r="R1181" s="14">
        <v>2092.6799999999998</v>
      </c>
      <c r="S1181" s="12" t="s">
        <v>46</v>
      </c>
      <c r="T1181" s="12" t="s">
        <v>156</v>
      </c>
      <c r="U1181" s="12">
        <v>5</v>
      </c>
      <c r="V1181" s="12" t="s">
        <v>157</v>
      </c>
    </row>
    <row r="1182" spans="1:22" x14ac:dyDescent="0.3">
      <c r="A1182" s="8" t="s">
        <v>1968</v>
      </c>
      <c r="B1182" s="9">
        <v>45813</v>
      </c>
      <c r="C1182" s="8" t="s">
        <v>131</v>
      </c>
      <c r="D1182" s="8" t="s">
        <v>132</v>
      </c>
      <c r="E1182" s="8" t="s">
        <v>25</v>
      </c>
      <c r="F1182" s="8" t="s">
        <v>861</v>
      </c>
      <c r="G1182" s="8" t="s">
        <v>27</v>
      </c>
      <c r="H1182" s="8" t="s">
        <v>81</v>
      </c>
      <c r="I1182" s="8" t="s">
        <v>29</v>
      </c>
      <c r="J1182" s="8" t="s">
        <v>75</v>
      </c>
      <c r="K1182" s="8" t="s">
        <v>154</v>
      </c>
      <c r="L1182" s="8" t="s">
        <v>103</v>
      </c>
      <c r="M1182" s="8">
        <v>5</v>
      </c>
      <c r="N1182" s="10">
        <v>1911.4</v>
      </c>
      <c r="O1182" s="11">
        <v>0.1</v>
      </c>
      <c r="P1182" s="10">
        <v>8601.2999999999993</v>
      </c>
      <c r="Q1182" s="10">
        <v>5425.59</v>
      </c>
      <c r="R1182" s="10">
        <v>3175.71</v>
      </c>
      <c r="S1182" s="8" t="s">
        <v>53</v>
      </c>
      <c r="T1182" s="8" t="s">
        <v>119</v>
      </c>
      <c r="U1182" s="8">
        <v>3</v>
      </c>
      <c r="V1182" s="8" t="s">
        <v>157</v>
      </c>
    </row>
    <row r="1183" spans="1:22" x14ac:dyDescent="0.3">
      <c r="A1183" s="12" t="s">
        <v>1969</v>
      </c>
      <c r="B1183" s="13">
        <v>45762</v>
      </c>
      <c r="C1183" s="12" t="s">
        <v>113</v>
      </c>
      <c r="D1183" s="12" t="s">
        <v>114</v>
      </c>
      <c r="E1183" s="12" t="s">
        <v>59</v>
      </c>
      <c r="F1183" s="12" t="s">
        <v>406</v>
      </c>
      <c r="G1183" s="12" t="s">
        <v>41</v>
      </c>
      <c r="H1183" s="12" t="s">
        <v>28</v>
      </c>
      <c r="I1183" s="12" t="s">
        <v>61</v>
      </c>
      <c r="J1183" s="12" t="s">
        <v>30</v>
      </c>
      <c r="K1183" s="12" t="s">
        <v>31</v>
      </c>
      <c r="L1183" s="12" t="s">
        <v>175</v>
      </c>
      <c r="M1183" s="12">
        <v>5</v>
      </c>
      <c r="N1183" s="14">
        <v>4152.45</v>
      </c>
      <c r="O1183" s="15">
        <v>0.1</v>
      </c>
      <c r="P1183" s="14">
        <v>18686.03</v>
      </c>
      <c r="Q1183" s="14">
        <v>10679.35</v>
      </c>
      <c r="R1183" s="14">
        <v>8006.68</v>
      </c>
      <c r="S1183" s="12" t="s">
        <v>63</v>
      </c>
      <c r="T1183" s="12" t="s">
        <v>34</v>
      </c>
      <c r="U1183" s="12">
        <v>3</v>
      </c>
      <c r="V1183" s="12" t="s">
        <v>96</v>
      </c>
    </row>
    <row r="1184" spans="1:22" x14ac:dyDescent="0.3">
      <c r="A1184" s="8" t="s">
        <v>1970</v>
      </c>
      <c r="B1184" s="9">
        <v>45775</v>
      </c>
      <c r="C1184" s="8" t="s">
        <v>37</v>
      </c>
      <c r="D1184" s="8" t="s">
        <v>38</v>
      </c>
      <c r="E1184" s="8" t="s">
        <v>39</v>
      </c>
      <c r="F1184" s="8" t="s">
        <v>1010</v>
      </c>
      <c r="G1184" s="8" t="s">
        <v>27</v>
      </c>
      <c r="H1184" s="8" t="s">
        <v>94</v>
      </c>
      <c r="I1184" s="8" t="s">
        <v>61</v>
      </c>
      <c r="J1184" s="8" t="s">
        <v>30</v>
      </c>
      <c r="K1184" s="8" t="s">
        <v>144</v>
      </c>
      <c r="L1184" s="8" t="s">
        <v>103</v>
      </c>
      <c r="M1184" s="8">
        <v>2</v>
      </c>
      <c r="N1184" s="10">
        <v>2602.17</v>
      </c>
      <c r="O1184" s="11">
        <v>0.3</v>
      </c>
      <c r="P1184" s="10">
        <v>3643.04</v>
      </c>
      <c r="Q1184" s="10">
        <v>3076.97</v>
      </c>
      <c r="R1184" s="10">
        <v>566.07000000000005</v>
      </c>
      <c r="S1184" s="8" t="s">
        <v>63</v>
      </c>
      <c r="T1184" s="8" t="s">
        <v>34</v>
      </c>
      <c r="U1184" s="8">
        <v>4</v>
      </c>
      <c r="V1184" s="8" t="s">
        <v>96</v>
      </c>
    </row>
    <row r="1185" spans="1:22" x14ac:dyDescent="0.3">
      <c r="A1185" s="12" t="s">
        <v>1971</v>
      </c>
      <c r="B1185" s="13">
        <v>45815</v>
      </c>
      <c r="C1185" s="12" t="s">
        <v>57</v>
      </c>
      <c r="D1185" s="12" t="s">
        <v>58</v>
      </c>
      <c r="E1185" s="12" t="s">
        <v>59</v>
      </c>
      <c r="F1185" s="12" t="s">
        <v>1972</v>
      </c>
      <c r="G1185" s="12" t="s">
        <v>41</v>
      </c>
      <c r="H1185" s="12" t="s">
        <v>28</v>
      </c>
      <c r="I1185" s="12" t="s">
        <v>61</v>
      </c>
      <c r="J1185" s="12" t="s">
        <v>89</v>
      </c>
      <c r="K1185" s="12" t="s">
        <v>151</v>
      </c>
      <c r="L1185" s="12" t="s">
        <v>45</v>
      </c>
      <c r="M1185" s="12">
        <v>5</v>
      </c>
      <c r="N1185" s="14">
        <v>1009.14</v>
      </c>
      <c r="O1185" s="15">
        <v>0.15</v>
      </c>
      <c r="P1185" s="14">
        <v>4288.84</v>
      </c>
      <c r="Q1185" s="14">
        <v>2389.2600000000002</v>
      </c>
      <c r="R1185" s="14">
        <v>1899.58</v>
      </c>
      <c r="S1185" s="12" t="s">
        <v>46</v>
      </c>
      <c r="T1185" s="12" t="s">
        <v>78</v>
      </c>
      <c r="U1185" s="12">
        <v>3</v>
      </c>
      <c r="V1185" s="12" t="s">
        <v>157</v>
      </c>
    </row>
    <row r="1186" spans="1:22" x14ac:dyDescent="0.3">
      <c r="A1186" s="8" t="s">
        <v>1973</v>
      </c>
      <c r="B1186" s="9">
        <v>45763</v>
      </c>
      <c r="C1186" s="8" t="s">
        <v>131</v>
      </c>
      <c r="D1186" s="8" t="s">
        <v>132</v>
      </c>
      <c r="E1186" s="8" t="s">
        <v>25</v>
      </c>
      <c r="F1186" s="8" t="s">
        <v>335</v>
      </c>
      <c r="G1186" s="8" t="s">
        <v>27</v>
      </c>
      <c r="H1186" s="8" t="s">
        <v>42</v>
      </c>
      <c r="I1186" s="8" t="s">
        <v>29</v>
      </c>
      <c r="J1186" s="8" t="s">
        <v>30</v>
      </c>
      <c r="K1186" s="8" t="s">
        <v>31</v>
      </c>
      <c r="L1186" s="8" t="s">
        <v>52</v>
      </c>
      <c r="M1186" s="8">
        <v>4</v>
      </c>
      <c r="N1186" s="10">
        <v>3949.72</v>
      </c>
      <c r="O1186" s="11">
        <v>0.2</v>
      </c>
      <c r="P1186" s="10">
        <v>12639.1</v>
      </c>
      <c r="Q1186" s="10">
        <v>8574.68</v>
      </c>
      <c r="R1186" s="10">
        <v>4064.42</v>
      </c>
      <c r="S1186" s="8" t="s">
        <v>33</v>
      </c>
      <c r="T1186" s="8" t="s">
        <v>71</v>
      </c>
      <c r="U1186" s="8">
        <v>4</v>
      </c>
      <c r="V1186" s="8" t="s">
        <v>96</v>
      </c>
    </row>
    <row r="1187" spans="1:22" x14ac:dyDescent="0.3">
      <c r="A1187" s="12" t="s">
        <v>1974</v>
      </c>
      <c r="B1187" s="13">
        <v>45839</v>
      </c>
      <c r="C1187" s="12" t="s">
        <v>107</v>
      </c>
      <c r="D1187" s="12" t="s">
        <v>108</v>
      </c>
      <c r="E1187" s="12" t="s">
        <v>39</v>
      </c>
      <c r="F1187" s="12" t="s">
        <v>843</v>
      </c>
      <c r="G1187" s="12" t="s">
        <v>27</v>
      </c>
      <c r="H1187" s="12" t="s">
        <v>81</v>
      </c>
      <c r="I1187" s="12" t="s">
        <v>68</v>
      </c>
      <c r="J1187" s="12" t="s">
        <v>69</v>
      </c>
      <c r="K1187" s="12" t="s">
        <v>180</v>
      </c>
      <c r="L1187" s="12" t="s">
        <v>45</v>
      </c>
      <c r="M1187" s="12">
        <v>3</v>
      </c>
      <c r="N1187" s="14">
        <v>1540.57</v>
      </c>
      <c r="O1187" s="15">
        <v>0.1</v>
      </c>
      <c r="P1187" s="14">
        <v>4159.54</v>
      </c>
      <c r="Q1187" s="14">
        <v>2491.4899999999998</v>
      </c>
      <c r="R1187" s="14">
        <v>1668.05</v>
      </c>
      <c r="S1187" s="12" t="s">
        <v>63</v>
      </c>
      <c r="T1187" s="12" t="s">
        <v>78</v>
      </c>
      <c r="U1187" s="12">
        <v>3</v>
      </c>
      <c r="V1187" s="12" t="s">
        <v>120</v>
      </c>
    </row>
    <row r="1188" spans="1:22" x14ac:dyDescent="0.3">
      <c r="A1188" s="8" t="s">
        <v>1975</v>
      </c>
      <c r="B1188" s="9">
        <v>45824</v>
      </c>
      <c r="C1188" s="8" t="s">
        <v>125</v>
      </c>
      <c r="D1188" s="8" t="s">
        <v>126</v>
      </c>
      <c r="E1188" s="8" t="s">
        <v>25</v>
      </c>
      <c r="F1188" s="8" t="s">
        <v>818</v>
      </c>
      <c r="G1188" s="8" t="s">
        <v>27</v>
      </c>
      <c r="H1188" s="8" t="s">
        <v>42</v>
      </c>
      <c r="I1188" s="8" t="s">
        <v>29</v>
      </c>
      <c r="J1188" s="8" t="s">
        <v>43</v>
      </c>
      <c r="K1188" s="8" t="s">
        <v>51</v>
      </c>
      <c r="L1188" s="8" t="s">
        <v>82</v>
      </c>
      <c r="M1188" s="8">
        <v>4</v>
      </c>
      <c r="N1188" s="10">
        <v>1559.39</v>
      </c>
      <c r="O1188" s="11">
        <v>0.25</v>
      </c>
      <c r="P1188" s="10">
        <v>4678.17</v>
      </c>
      <c r="Q1188" s="10">
        <v>2899.77</v>
      </c>
      <c r="R1188" s="10">
        <v>1778.4</v>
      </c>
      <c r="S1188" s="8" t="s">
        <v>63</v>
      </c>
      <c r="T1188" s="8" t="s">
        <v>71</v>
      </c>
      <c r="U1188" s="8">
        <v>3</v>
      </c>
      <c r="V1188" s="8" t="s">
        <v>157</v>
      </c>
    </row>
    <row r="1189" spans="1:22" x14ac:dyDescent="0.3">
      <c r="A1189" s="12" t="s">
        <v>1976</v>
      </c>
      <c r="B1189" s="13">
        <v>45963</v>
      </c>
      <c r="C1189" s="12" t="s">
        <v>48</v>
      </c>
      <c r="D1189" s="12" t="s">
        <v>49</v>
      </c>
      <c r="E1189" s="12" t="s">
        <v>39</v>
      </c>
      <c r="F1189" s="12" t="s">
        <v>738</v>
      </c>
      <c r="G1189" s="12" t="s">
        <v>27</v>
      </c>
      <c r="H1189" s="12" t="s">
        <v>81</v>
      </c>
      <c r="I1189" s="12" t="s">
        <v>61</v>
      </c>
      <c r="J1189" s="12" t="s">
        <v>75</v>
      </c>
      <c r="K1189" s="12" t="s">
        <v>95</v>
      </c>
      <c r="L1189" s="12" t="s">
        <v>77</v>
      </c>
      <c r="M1189" s="12">
        <v>4</v>
      </c>
      <c r="N1189" s="14">
        <v>25896.1</v>
      </c>
      <c r="O1189" s="15">
        <v>0.3</v>
      </c>
      <c r="P1189" s="14">
        <v>72509.08</v>
      </c>
      <c r="Q1189" s="14">
        <v>74838.94</v>
      </c>
      <c r="R1189" s="14">
        <v>-2329.86</v>
      </c>
      <c r="S1189" s="12" t="s">
        <v>83</v>
      </c>
      <c r="T1189" s="12" t="s">
        <v>147</v>
      </c>
      <c r="U1189" s="12">
        <v>3</v>
      </c>
      <c r="V1189" s="12" t="s">
        <v>65</v>
      </c>
    </row>
    <row r="1190" spans="1:22" x14ac:dyDescent="0.3">
      <c r="A1190" s="8" t="s">
        <v>1977</v>
      </c>
      <c r="B1190" s="9">
        <v>45760</v>
      </c>
      <c r="C1190" s="8" t="s">
        <v>125</v>
      </c>
      <c r="D1190" s="8" t="s">
        <v>126</v>
      </c>
      <c r="E1190" s="8" t="s">
        <v>25</v>
      </c>
      <c r="F1190" s="8" t="s">
        <v>172</v>
      </c>
      <c r="G1190" s="8" t="s">
        <v>41</v>
      </c>
      <c r="H1190" s="8" t="s">
        <v>94</v>
      </c>
      <c r="I1190" s="8" t="s">
        <v>61</v>
      </c>
      <c r="J1190" s="8" t="s">
        <v>101</v>
      </c>
      <c r="K1190" s="8" t="s">
        <v>110</v>
      </c>
      <c r="L1190" s="8" t="s">
        <v>175</v>
      </c>
      <c r="M1190" s="8">
        <v>5</v>
      </c>
      <c r="N1190" s="10">
        <v>4777.2</v>
      </c>
      <c r="O1190" s="11">
        <v>0.1</v>
      </c>
      <c r="P1190" s="10">
        <v>21497.4</v>
      </c>
      <c r="Q1190" s="10">
        <v>16669.61</v>
      </c>
      <c r="R1190" s="10">
        <v>4827.79</v>
      </c>
      <c r="S1190" s="8" t="s">
        <v>53</v>
      </c>
      <c r="T1190" s="8" t="s">
        <v>119</v>
      </c>
      <c r="U1190" s="8">
        <v>5</v>
      </c>
      <c r="V1190" s="8" t="s">
        <v>96</v>
      </c>
    </row>
    <row r="1191" spans="1:22" x14ac:dyDescent="0.3">
      <c r="A1191" s="12" t="s">
        <v>1978</v>
      </c>
      <c r="B1191" s="13">
        <v>45876</v>
      </c>
      <c r="C1191" s="12" t="s">
        <v>131</v>
      </c>
      <c r="D1191" s="12" t="s">
        <v>132</v>
      </c>
      <c r="E1191" s="12" t="s">
        <v>25</v>
      </c>
      <c r="F1191" s="12" t="s">
        <v>1369</v>
      </c>
      <c r="G1191" s="12" t="s">
        <v>41</v>
      </c>
      <c r="H1191" s="12" t="s">
        <v>28</v>
      </c>
      <c r="I1191" s="12" t="s">
        <v>29</v>
      </c>
      <c r="J1191" s="12" t="s">
        <v>30</v>
      </c>
      <c r="K1191" s="12" t="s">
        <v>144</v>
      </c>
      <c r="L1191" s="12" t="s">
        <v>32</v>
      </c>
      <c r="M1191" s="12">
        <v>1</v>
      </c>
      <c r="N1191" s="14">
        <v>2565.98</v>
      </c>
      <c r="O1191" s="15">
        <v>0.25</v>
      </c>
      <c r="P1191" s="14">
        <v>1924.49</v>
      </c>
      <c r="Q1191" s="14">
        <v>1429.68</v>
      </c>
      <c r="R1191" s="14">
        <v>494.81</v>
      </c>
      <c r="S1191" s="12" t="s">
        <v>63</v>
      </c>
      <c r="T1191" s="12" t="s">
        <v>111</v>
      </c>
      <c r="U1191" s="12">
        <v>5</v>
      </c>
      <c r="V1191" s="12" t="s">
        <v>72</v>
      </c>
    </row>
    <row r="1192" spans="1:22" x14ac:dyDescent="0.3">
      <c r="A1192" s="8" t="s">
        <v>1979</v>
      </c>
      <c r="B1192" s="9">
        <v>45695</v>
      </c>
      <c r="C1192" s="8" t="s">
        <v>37</v>
      </c>
      <c r="D1192" s="8" t="s">
        <v>38</v>
      </c>
      <c r="E1192" s="8" t="s">
        <v>39</v>
      </c>
      <c r="F1192" s="8" t="s">
        <v>1980</v>
      </c>
      <c r="G1192" s="8" t="s">
        <v>27</v>
      </c>
      <c r="H1192" s="8" t="s">
        <v>28</v>
      </c>
      <c r="I1192" s="8" t="s">
        <v>29</v>
      </c>
      <c r="J1192" s="8" t="s">
        <v>30</v>
      </c>
      <c r="K1192" s="8" t="s">
        <v>31</v>
      </c>
      <c r="L1192" s="8" t="s">
        <v>175</v>
      </c>
      <c r="M1192" s="8">
        <v>1</v>
      </c>
      <c r="N1192" s="10">
        <v>3940.05</v>
      </c>
      <c r="O1192" s="11">
        <v>0.3</v>
      </c>
      <c r="P1192" s="10">
        <v>2758.03</v>
      </c>
      <c r="Q1192" s="10">
        <v>2168.81</v>
      </c>
      <c r="R1192" s="10">
        <v>589.22</v>
      </c>
      <c r="S1192" s="8" t="s">
        <v>53</v>
      </c>
      <c r="T1192" s="8" t="s">
        <v>111</v>
      </c>
      <c r="U1192" s="8">
        <v>5</v>
      </c>
      <c r="V1192" s="8" t="s">
        <v>105</v>
      </c>
    </row>
    <row r="1193" spans="1:22" x14ac:dyDescent="0.3">
      <c r="A1193" s="12" t="s">
        <v>1981</v>
      </c>
      <c r="B1193" s="13">
        <v>45957</v>
      </c>
      <c r="C1193" s="12" t="s">
        <v>131</v>
      </c>
      <c r="D1193" s="12" t="s">
        <v>132</v>
      </c>
      <c r="E1193" s="12" t="s">
        <v>25</v>
      </c>
      <c r="F1193" s="12" t="s">
        <v>970</v>
      </c>
      <c r="G1193" s="12" t="s">
        <v>41</v>
      </c>
      <c r="H1193" s="12" t="s">
        <v>94</v>
      </c>
      <c r="I1193" s="12" t="s">
        <v>68</v>
      </c>
      <c r="J1193" s="12" t="s">
        <v>43</v>
      </c>
      <c r="K1193" s="12" t="s">
        <v>51</v>
      </c>
      <c r="L1193" s="12" t="s">
        <v>77</v>
      </c>
      <c r="M1193" s="12">
        <v>1</v>
      </c>
      <c r="N1193" s="14">
        <v>1539.86</v>
      </c>
      <c r="O1193" s="15">
        <v>0.3</v>
      </c>
      <c r="P1193" s="14">
        <v>1077.9000000000001</v>
      </c>
      <c r="Q1193" s="14">
        <v>717.28</v>
      </c>
      <c r="R1193" s="14">
        <v>360.62</v>
      </c>
      <c r="S1193" s="12" t="s">
        <v>33</v>
      </c>
      <c r="T1193" s="12" t="s">
        <v>111</v>
      </c>
      <c r="U1193" s="12">
        <v>5</v>
      </c>
      <c r="V1193" s="12" t="s">
        <v>123</v>
      </c>
    </row>
    <row r="1194" spans="1:22" x14ac:dyDescent="0.3">
      <c r="A1194" s="8" t="s">
        <v>1982</v>
      </c>
      <c r="B1194" s="9">
        <v>45910</v>
      </c>
      <c r="C1194" s="8" t="s">
        <v>107</v>
      </c>
      <c r="D1194" s="8" t="s">
        <v>108</v>
      </c>
      <c r="E1194" s="8" t="s">
        <v>39</v>
      </c>
      <c r="F1194" s="8" t="s">
        <v>115</v>
      </c>
      <c r="G1194" s="8" t="s">
        <v>41</v>
      </c>
      <c r="H1194" s="8" t="s">
        <v>81</v>
      </c>
      <c r="I1194" s="8" t="s">
        <v>61</v>
      </c>
      <c r="J1194" s="8" t="s">
        <v>75</v>
      </c>
      <c r="K1194" s="8" t="s">
        <v>154</v>
      </c>
      <c r="L1194" s="8" t="s">
        <v>91</v>
      </c>
      <c r="M1194" s="8">
        <v>3</v>
      </c>
      <c r="N1194" s="10">
        <v>2096.52</v>
      </c>
      <c r="O1194" s="11">
        <v>0.1</v>
      </c>
      <c r="P1194" s="10">
        <v>5660.6</v>
      </c>
      <c r="Q1194" s="10">
        <v>3342.84</v>
      </c>
      <c r="R1194" s="10">
        <v>2317.7600000000002</v>
      </c>
      <c r="S1194" s="8" t="s">
        <v>46</v>
      </c>
      <c r="T1194" s="8" t="s">
        <v>111</v>
      </c>
      <c r="U1194" s="8">
        <v>3</v>
      </c>
      <c r="V1194" s="8" t="s">
        <v>116</v>
      </c>
    </row>
    <row r="1195" spans="1:22" x14ac:dyDescent="0.3">
      <c r="A1195" s="12" t="s">
        <v>1983</v>
      </c>
      <c r="B1195" s="13">
        <v>45772</v>
      </c>
      <c r="C1195" s="12" t="s">
        <v>125</v>
      </c>
      <c r="D1195" s="12" t="s">
        <v>126</v>
      </c>
      <c r="E1195" s="12" t="s">
        <v>25</v>
      </c>
      <c r="F1195" s="12" t="s">
        <v>1451</v>
      </c>
      <c r="G1195" s="12" t="s">
        <v>41</v>
      </c>
      <c r="H1195" s="12" t="s">
        <v>28</v>
      </c>
      <c r="I1195" s="12" t="s">
        <v>29</v>
      </c>
      <c r="J1195" s="12" t="s">
        <v>75</v>
      </c>
      <c r="K1195" s="12" t="s">
        <v>154</v>
      </c>
      <c r="L1195" s="12" t="s">
        <v>175</v>
      </c>
      <c r="M1195" s="12">
        <v>5</v>
      </c>
      <c r="N1195" s="14">
        <v>1980.41</v>
      </c>
      <c r="O1195" s="15">
        <v>0.05</v>
      </c>
      <c r="P1195" s="14">
        <v>9406.9500000000007</v>
      </c>
      <c r="Q1195" s="14">
        <v>5379.14</v>
      </c>
      <c r="R1195" s="14">
        <v>4027.81</v>
      </c>
      <c r="S1195" s="12" t="s">
        <v>46</v>
      </c>
      <c r="T1195" s="12" t="s">
        <v>78</v>
      </c>
      <c r="U1195" s="12">
        <v>5</v>
      </c>
      <c r="V1195" s="12" t="s">
        <v>96</v>
      </c>
    </row>
    <row r="1196" spans="1:22" x14ac:dyDescent="0.3">
      <c r="A1196" s="8" t="s">
        <v>1984</v>
      </c>
      <c r="B1196" s="9">
        <v>45870</v>
      </c>
      <c r="C1196" s="8" t="s">
        <v>131</v>
      </c>
      <c r="D1196" s="8" t="s">
        <v>132</v>
      </c>
      <c r="E1196" s="8" t="s">
        <v>25</v>
      </c>
      <c r="F1196" s="8" t="s">
        <v>1153</v>
      </c>
      <c r="G1196" s="8" t="s">
        <v>41</v>
      </c>
      <c r="H1196" s="8" t="s">
        <v>81</v>
      </c>
      <c r="I1196" s="8" t="s">
        <v>61</v>
      </c>
      <c r="J1196" s="8" t="s">
        <v>89</v>
      </c>
      <c r="K1196" s="8" t="s">
        <v>90</v>
      </c>
      <c r="L1196" s="8" t="s">
        <v>32</v>
      </c>
      <c r="M1196" s="8">
        <v>3</v>
      </c>
      <c r="N1196" s="10">
        <v>3470.28</v>
      </c>
      <c r="O1196" s="11">
        <v>0.3</v>
      </c>
      <c r="P1196" s="10">
        <v>7287.59</v>
      </c>
      <c r="Q1196" s="10">
        <v>6513.6</v>
      </c>
      <c r="R1196" s="10">
        <v>773.99</v>
      </c>
      <c r="S1196" s="8" t="s">
        <v>33</v>
      </c>
      <c r="T1196" s="8" t="s">
        <v>54</v>
      </c>
      <c r="U1196" s="8">
        <v>5</v>
      </c>
      <c r="V1196" s="8" t="s">
        <v>72</v>
      </c>
    </row>
    <row r="1197" spans="1:22" x14ac:dyDescent="0.3">
      <c r="A1197" s="12" t="s">
        <v>1985</v>
      </c>
      <c r="B1197" s="13">
        <v>45869</v>
      </c>
      <c r="C1197" s="12" t="s">
        <v>86</v>
      </c>
      <c r="D1197" s="12" t="s">
        <v>87</v>
      </c>
      <c r="E1197" s="12" t="s">
        <v>59</v>
      </c>
      <c r="F1197" s="12" t="s">
        <v>1436</v>
      </c>
      <c r="G1197" s="12" t="s">
        <v>41</v>
      </c>
      <c r="H1197" s="12" t="s">
        <v>28</v>
      </c>
      <c r="I1197" s="12" t="s">
        <v>61</v>
      </c>
      <c r="J1197" s="12" t="s">
        <v>43</v>
      </c>
      <c r="K1197" s="12" t="s">
        <v>44</v>
      </c>
      <c r="L1197" s="12" t="s">
        <v>91</v>
      </c>
      <c r="M1197" s="12">
        <v>3</v>
      </c>
      <c r="N1197" s="14">
        <v>603.36</v>
      </c>
      <c r="O1197" s="15">
        <v>0.25</v>
      </c>
      <c r="P1197" s="14">
        <v>1357.56</v>
      </c>
      <c r="Q1197" s="14">
        <v>769.98</v>
      </c>
      <c r="R1197" s="14">
        <v>587.58000000000004</v>
      </c>
      <c r="S1197" s="12" t="s">
        <v>33</v>
      </c>
      <c r="T1197" s="12" t="s">
        <v>71</v>
      </c>
      <c r="U1197" s="12">
        <v>5</v>
      </c>
      <c r="V1197" s="12" t="s">
        <v>120</v>
      </c>
    </row>
    <row r="1198" spans="1:22" x14ac:dyDescent="0.3">
      <c r="A1198" s="8" t="s">
        <v>1986</v>
      </c>
      <c r="B1198" s="9">
        <v>45900</v>
      </c>
      <c r="C1198" s="8" t="s">
        <v>37</v>
      </c>
      <c r="D1198" s="8" t="s">
        <v>38</v>
      </c>
      <c r="E1198" s="8" t="s">
        <v>39</v>
      </c>
      <c r="F1198" s="8" t="s">
        <v>1987</v>
      </c>
      <c r="G1198" s="8" t="s">
        <v>41</v>
      </c>
      <c r="H1198" s="8" t="s">
        <v>42</v>
      </c>
      <c r="I1198" s="8" t="s">
        <v>61</v>
      </c>
      <c r="J1198" s="8" t="s">
        <v>89</v>
      </c>
      <c r="K1198" s="8" t="s">
        <v>89</v>
      </c>
      <c r="L1198" s="8" t="s">
        <v>91</v>
      </c>
      <c r="M1198" s="8">
        <v>1</v>
      </c>
      <c r="N1198" s="10">
        <v>1362.86</v>
      </c>
      <c r="O1198" s="11">
        <v>0.25</v>
      </c>
      <c r="P1198" s="10">
        <v>1022.14</v>
      </c>
      <c r="Q1198" s="10">
        <v>724.65</v>
      </c>
      <c r="R1198" s="10">
        <v>297.49</v>
      </c>
      <c r="S1198" s="8" t="s">
        <v>53</v>
      </c>
      <c r="T1198" s="8" t="s">
        <v>156</v>
      </c>
      <c r="U1198" s="8">
        <v>3</v>
      </c>
      <c r="V1198" s="8" t="s">
        <v>72</v>
      </c>
    </row>
    <row r="1199" spans="1:22" x14ac:dyDescent="0.3">
      <c r="A1199" s="12" t="s">
        <v>1988</v>
      </c>
      <c r="B1199" s="13">
        <v>45892</v>
      </c>
      <c r="C1199" s="12" t="s">
        <v>57</v>
      </c>
      <c r="D1199" s="12" t="s">
        <v>58</v>
      </c>
      <c r="E1199" s="12" t="s">
        <v>59</v>
      </c>
      <c r="F1199" s="12" t="s">
        <v>1905</v>
      </c>
      <c r="G1199" s="12" t="s">
        <v>41</v>
      </c>
      <c r="H1199" s="12" t="s">
        <v>81</v>
      </c>
      <c r="I1199" s="12" t="s">
        <v>29</v>
      </c>
      <c r="J1199" s="12" t="s">
        <v>75</v>
      </c>
      <c r="K1199" s="12" t="s">
        <v>154</v>
      </c>
      <c r="L1199" s="12" t="s">
        <v>91</v>
      </c>
      <c r="M1199" s="12">
        <v>1</v>
      </c>
      <c r="N1199" s="14">
        <v>2074.88</v>
      </c>
      <c r="O1199" s="15">
        <v>0.25</v>
      </c>
      <c r="P1199" s="14">
        <v>1556.16</v>
      </c>
      <c r="Q1199" s="14">
        <v>1049.71</v>
      </c>
      <c r="R1199" s="14">
        <v>506.45</v>
      </c>
      <c r="S1199" s="12" t="s">
        <v>46</v>
      </c>
      <c r="T1199" s="12" t="s">
        <v>111</v>
      </c>
      <c r="U1199" s="12">
        <v>5</v>
      </c>
      <c r="V1199" s="12" t="s">
        <v>72</v>
      </c>
    </row>
    <row r="1200" spans="1:22" x14ac:dyDescent="0.3">
      <c r="A1200" s="8" t="s">
        <v>1989</v>
      </c>
      <c r="B1200" s="9">
        <v>45911</v>
      </c>
      <c r="C1200" s="8" t="s">
        <v>48</v>
      </c>
      <c r="D1200" s="8" t="s">
        <v>49</v>
      </c>
      <c r="E1200" s="8" t="s">
        <v>39</v>
      </c>
      <c r="F1200" s="8" t="s">
        <v>1990</v>
      </c>
      <c r="G1200" s="8" t="s">
        <v>27</v>
      </c>
      <c r="H1200" s="8" t="s">
        <v>81</v>
      </c>
      <c r="I1200" s="8" t="s">
        <v>29</v>
      </c>
      <c r="J1200" s="8" t="s">
        <v>30</v>
      </c>
      <c r="K1200" s="8" t="s">
        <v>31</v>
      </c>
      <c r="L1200" s="8" t="s">
        <v>91</v>
      </c>
      <c r="M1200" s="8">
        <v>1</v>
      </c>
      <c r="N1200" s="10">
        <v>4057.81</v>
      </c>
      <c r="O1200" s="11">
        <v>0</v>
      </c>
      <c r="P1200" s="10">
        <v>4057.81</v>
      </c>
      <c r="Q1200" s="10">
        <v>2294.2399999999998</v>
      </c>
      <c r="R1200" s="10">
        <v>1763.57</v>
      </c>
      <c r="S1200" s="8" t="s">
        <v>53</v>
      </c>
      <c r="T1200" s="8" t="s">
        <v>34</v>
      </c>
      <c r="U1200" s="8">
        <v>4</v>
      </c>
      <c r="V1200" s="8" t="s">
        <v>116</v>
      </c>
    </row>
    <row r="1201" spans="1:22" x14ac:dyDescent="0.3">
      <c r="A1201" s="12" t="s">
        <v>1991</v>
      </c>
      <c r="B1201" s="13">
        <v>45881</v>
      </c>
      <c r="C1201" s="12" t="s">
        <v>107</v>
      </c>
      <c r="D1201" s="12" t="s">
        <v>108</v>
      </c>
      <c r="E1201" s="12" t="s">
        <v>39</v>
      </c>
      <c r="F1201" s="12" t="s">
        <v>1992</v>
      </c>
      <c r="G1201" s="12" t="s">
        <v>27</v>
      </c>
      <c r="H1201" s="12" t="s">
        <v>81</v>
      </c>
      <c r="I1201" s="12" t="s">
        <v>61</v>
      </c>
      <c r="J1201" s="12" t="s">
        <v>89</v>
      </c>
      <c r="K1201" s="12" t="s">
        <v>89</v>
      </c>
      <c r="L1201" s="12" t="s">
        <v>45</v>
      </c>
      <c r="M1201" s="12">
        <v>1</v>
      </c>
      <c r="N1201" s="14">
        <v>1254.6099999999999</v>
      </c>
      <c r="O1201" s="15">
        <v>0.3</v>
      </c>
      <c r="P1201" s="14">
        <v>878.23</v>
      </c>
      <c r="Q1201" s="14">
        <v>723.94</v>
      </c>
      <c r="R1201" s="14">
        <v>154.29</v>
      </c>
      <c r="S1201" s="12" t="s">
        <v>83</v>
      </c>
      <c r="T1201" s="12" t="s">
        <v>78</v>
      </c>
      <c r="U1201" s="12">
        <v>5</v>
      </c>
      <c r="V1201" s="12" t="s">
        <v>72</v>
      </c>
    </row>
    <row r="1202" spans="1:22" x14ac:dyDescent="0.3">
      <c r="A1202" s="8" t="s">
        <v>1993</v>
      </c>
      <c r="B1202" s="9">
        <v>45854</v>
      </c>
      <c r="C1202" s="8" t="s">
        <v>131</v>
      </c>
      <c r="D1202" s="8" t="s">
        <v>132</v>
      </c>
      <c r="E1202" s="8" t="s">
        <v>25</v>
      </c>
      <c r="F1202" s="8" t="s">
        <v>1015</v>
      </c>
      <c r="G1202" s="8" t="s">
        <v>41</v>
      </c>
      <c r="H1202" s="8" t="s">
        <v>94</v>
      </c>
      <c r="I1202" s="8" t="s">
        <v>61</v>
      </c>
      <c r="J1202" s="8" t="s">
        <v>75</v>
      </c>
      <c r="K1202" s="8" t="s">
        <v>154</v>
      </c>
      <c r="L1202" s="8" t="s">
        <v>77</v>
      </c>
      <c r="M1202" s="8">
        <v>4</v>
      </c>
      <c r="N1202" s="10">
        <v>1958.91</v>
      </c>
      <c r="O1202" s="11">
        <v>0.25</v>
      </c>
      <c r="P1202" s="10">
        <v>5876.73</v>
      </c>
      <c r="Q1202" s="10">
        <v>4209.75</v>
      </c>
      <c r="R1202" s="10">
        <v>1666.98</v>
      </c>
      <c r="S1202" s="8" t="s">
        <v>83</v>
      </c>
      <c r="T1202" s="8" t="s">
        <v>104</v>
      </c>
      <c r="U1202" s="8">
        <v>4</v>
      </c>
      <c r="V1202" s="8" t="s">
        <v>120</v>
      </c>
    </row>
    <row r="1203" spans="1:22" x14ac:dyDescent="0.3">
      <c r="A1203" s="12" t="s">
        <v>1994</v>
      </c>
      <c r="B1203" s="13">
        <v>45948</v>
      </c>
      <c r="C1203" s="12" t="s">
        <v>37</v>
      </c>
      <c r="D1203" s="12" t="s">
        <v>38</v>
      </c>
      <c r="E1203" s="12" t="s">
        <v>39</v>
      </c>
      <c r="F1203" s="12" t="s">
        <v>542</v>
      </c>
      <c r="G1203" s="12" t="s">
        <v>27</v>
      </c>
      <c r="H1203" s="12" t="s">
        <v>42</v>
      </c>
      <c r="I1203" s="12" t="s">
        <v>68</v>
      </c>
      <c r="J1203" s="12" t="s">
        <v>101</v>
      </c>
      <c r="K1203" s="12" t="s">
        <v>102</v>
      </c>
      <c r="L1203" s="12" t="s">
        <v>32</v>
      </c>
      <c r="M1203" s="12">
        <v>3</v>
      </c>
      <c r="N1203" s="14">
        <v>688.93</v>
      </c>
      <c r="O1203" s="15">
        <v>0.25</v>
      </c>
      <c r="P1203" s="14">
        <v>1550.09</v>
      </c>
      <c r="Q1203" s="14">
        <v>721.61</v>
      </c>
      <c r="R1203" s="14">
        <v>828.48</v>
      </c>
      <c r="S1203" s="12" t="s">
        <v>33</v>
      </c>
      <c r="T1203" s="12" t="s">
        <v>104</v>
      </c>
      <c r="U1203" s="12">
        <v>3</v>
      </c>
      <c r="V1203" s="12" t="s">
        <v>123</v>
      </c>
    </row>
    <row r="1204" spans="1:22" x14ac:dyDescent="0.3">
      <c r="A1204" s="8" t="s">
        <v>1995</v>
      </c>
      <c r="B1204" s="9">
        <v>45895</v>
      </c>
      <c r="C1204" s="8" t="s">
        <v>37</v>
      </c>
      <c r="D1204" s="8" t="s">
        <v>38</v>
      </c>
      <c r="E1204" s="8" t="s">
        <v>39</v>
      </c>
      <c r="F1204" s="8" t="s">
        <v>221</v>
      </c>
      <c r="G1204" s="8" t="s">
        <v>27</v>
      </c>
      <c r="H1204" s="8" t="s">
        <v>42</v>
      </c>
      <c r="I1204" s="8" t="s">
        <v>68</v>
      </c>
      <c r="J1204" s="8" t="s">
        <v>30</v>
      </c>
      <c r="K1204" s="8" t="s">
        <v>62</v>
      </c>
      <c r="L1204" s="8" t="s">
        <v>52</v>
      </c>
      <c r="M1204" s="8">
        <v>3</v>
      </c>
      <c r="N1204" s="10">
        <v>1030.45</v>
      </c>
      <c r="O1204" s="11">
        <v>0</v>
      </c>
      <c r="P1204" s="10">
        <v>3091.35</v>
      </c>
      <c r="Q1204" s="10">
        <v>1352.23</v>
      </c>
      <c r="R1204" s="10">
        <v>1739.12</v>
      </c>
      <c r="S1204" s="8" t="s">
        <v>46</v>
      </c>
      <c r="T1204" s="8" t="s">
        <v>34</v>
      </c>
      <c r="U1204" s="8">
        <v>5</v>
      </c>
      <c r="V1204" s="8" t="s">
        <v>72</v>
      </c>
    </row>
    <row r="1205" spans="1:22" x14ac:dyDescent="0.3">
      <c r="A1205" s="12" t="s">
        <v>1996</v>
      </c>
      <c r="B1205" s="13">
        <v>45698</v>
      </c>
      <c r="C1205" s="12" t="s">
        <v>113</v>
      </c>
      <c r="D1205" s="12" t="s">
        <v>114</v>
      </c>
      <c r="E1205" s="12" t="s">
        <v>59</v>
      </c>
      <c r="F1205" s="12" t="s">
        <v>1202</v>
      </c>
      <c r="G1205" s="12" t="s">
        <v>41</v>
      </c>
      <c r="H1205" s="12" t="s">
        <v>28</v>
      </c>
      <c r="I1205" s="12" t="s">
        <v>61</v>
      </c>
      <c r="J1205" s="12" t="s">
        <v>89</v>
      </c>
      <c r="K1205" s="12" t="s">
        <v>90</v>
      </c>
      <c r="L1205" s="12" t="s">
        <v>82</v>
      </c>
      <c r="M1205" s="12">
        <v>1</v>
      </c>
      <c r="N1205" s="14">
        <v>3347</v>
      </c>
      <c r="O1205" s="15">
        <v>0.3</v>
      </c>
      <c r="P1205" s="14">
        <v>2342.9</v>
      </c>
      <c r="Q1205" s="14">
        <v>2143.34</v>
      </c>
      <c r="R1205" s="14">
        <v>199.56</v>
      </c>
      <c r="S1205" s="12" t="s">
        <v>46</v>
      </c>
      <c r="T1205" s="12" t="s">
        <v>34</v>
      </c>
      <c r="U1205" s="12">
        <v>3</v>
      </c>
      <c r="V1205" s="12" t="s">
        <v>105</v>
      </c>
    </row>
    <row r="1206" spans="1:22" x14ac:dyDescent="0.3">
      <c r="A1206" s="8" t="s">
        <v>1997</v>
      </c>
      <c r="B1206" s="9">
        <v>45802</v>
      </c>
      <c r="C1206" s="8" t="s">
        <v>37</v>
      </c>
      <c r="D1206" s="8" t="s">
        <v>38</v>
      </c>
      <c r="E1206" s="8" t="s">
        <v>39</v>
      </c>
      <c r="F1206" s="8" t="s">
        <v>146</v>
      </c>
      <c r="G1206" s="8" t="s">
        <v>27</v>
      </c>
      <c r="H1206" s="8" t="s">
        <v>94</v>
      </c>
      <c r="I1206" s="8" t="s">
        <v>68</v>
      </c>
      <c r="J1206" s="8" t="s">
        <v>30</v>
      </c>
      <c r="K1206" s="8" t="s">
        <v>62</v>
      </c>
      <c r="L1206" s="8" t="s">
        <v>82</v>
      </c>
      <c r="M1206" s="8">
        <v>4</v>
      </c>
      <c r="N1206" s="10">
        <v>1047.9100000000001</v>
      </c>
      <c r="O1206" s="11">
        <v>0</v>
      </c>
      <c r="P1206" s="10">
        <v>4191.6400000000003</v>
      </c>
      <c r="Q1206" s="10">
        <v>1749.88</v>
      </c>
      <c r="R1206" s="10">
        <v>2441.7600000000002</v>
      </c>
      <c r="S1206" s="8" t="s">
        <v>63</v>
      </c>
      <c r="T1206" s="8" t="s">
        <v>54</v>
      </c>
      <c r="U1206" s="8">
        <v>5</v>
      </c>
      <c r="V1206" s="8" t="s">
        <v>134</v>
      </c>
    </row>
    <row r="1207" spans="1:22" x14ac:dyDescent="0.3">
      <c r="A1207" s="12" t="s">
        <v>1998</v>
      </c>
      <c r="B1207" s="13">
        <v>45662</v>
      </c>
      <c r="C1207" s="12" t="s">
        <v>113</v>
      </c>
      <c r="D1207" s="12" t="s">
        <v>114</v>
      </c>
      <c r="E1207" s="12" t="s">
        <v>59</v>
      </c>
      <c r="F1207" s="12" t="s">
        <v>1999</v>
      </c>
      <c r="G1207" s="12" t="s">
        <v>41</v>
      </c>
      <c r="H1207" s="12" t="s">
        <v>28</v>
      </c>
      <c r="I1207" s="12" t="s">
        <v>61</v>
      </c>
      <c r="J1207" s="12" t="s">
        <v>75</v>
      </c>
      <c r="K1207" s="12" t="s">
        <v>154</v>
      </c>
      <c r="L1207" s="12" t="s">
        <v>45</v>
      </c>
      <c r="M1207" s="12">
        <v>2</v>
      </c>
      <c r="N1207" s="14">
        <v>2078.5700000000002</v>
      </c>
      <c r="O1207" s="15">
        <v>0.05</v>
      </c>
      <c r="P1207" s="14">
        <v>3949.28</v>
      </c>
      <c r="Q1207" s="14">
        <v>2107.14</v>
      </c>
      <c r="R1207" s="14">
        <v>1842.14</v>
      </c>
      <c r="S1207" s="12" t="s">
        <v>53</v>
      </c>
      <c r="T1207" s="12" t="s">
        <v>147</v>
      </c>
      <c r="U1207" s="12">
        <v>3</v>
      </c>
      <c r="V1207" s="12" t="s">
        <v>84</v>
      </c>
    </row>
    <row r="1208" spans="1:22" x14ac:dyDescent="0.3">
      <c r="A1208" s="8" t="s">
        <v>2000</v>
      </c>
      <c r="B1208" s="9">
        <v>45779</v>
      </c>
      <c r="C1208" s="8" t="s">
        <v>107</v>
      </c>
      <c r="D1208" s="8" t="s">
        <v>108</v>
      </c>
      <c r="E1208" s="8" t="s">
        <v>39</v>
      </c>
      <c r="F1208" s="8" t="s">
        <v>1102</v>
      </c>
      <c r="G1208" s="8" t="s">
        <v>41</v>
      </c>
      <c r="H1208" s="8" t="s">
        <v>94</v>
      </c>
      <c r="I1208" s="8" t="s">
        <v>61</v>
      </c>
      <c r="J1208" s="8" t="s">
        <v>30</v>
      </c>
      <c r="K1208" s="8" t="s">
        <v>31</v>
      </c>
      <c r="L1208" s="8" t="s">
        <v>45</v>
      </c>
      <c r="M1208" s="8">
        <v>5</v>
      </c>
      <c r="N1208" s="10">
        <v>3807.15</v>
      </c>
      <c r="O1208" s="11">
        <v>0.2</v>
      </c>
      <c r="P1208" s="10">
        <v>15228.6</v>
      </c>
      <c r="Q1208" s="10">
        <v>10633.69</v>
      </c>
      <c r="R1208" s="10">
        <v>4594.91</v>
      </c>
      <c r="S1208" s="8" t="s">
        <v>63</v>
      </c>
      <c r="T1208" s="8" t="s">
        <v>78</v>
      </c>
      <c r="U1208" s="8">
        <v>3</v>
      </c>
      <c r="V1208" s="8" t="s">
        <v>134</v>
      </c>
    </row>
    <row r="1209" spans="1:22" x14ac:dyDescent="0.3">
      <c r="A1209" s="12" t="s">
        <v>2001</v>
      </c>
      <c r="B1209" s="13">
        <v>45724</v>
      </c>
      <c r="C1209" s="12" t="s">
        <v>98</v>
      </c>
      <c r="D1209" s="12" t="s">
        <v>99</v>
      </c>
      <c r="E1209" s="12" t="s">
        <v>25</v>
      </c>
      <c r="F1209" s="12" t="s">
        <v>1084</v>
      </c>
      <c r="G1209" s="12" t="s">
        <v>41</v>
      </c>
      <c r="H1209" s="12" t="s">
        <v>81</v>
      </c>
      <c r="I1209" s="12" t="s">
        <v>68</v>
      </c>
      <c r="J1209" s="12" t="s">
        <v>75</v>
      </c>
      <c r="K1209" s="12" t="s">
        <v>76</v>
      </c>
      <c r="L1209" s="12" t="s">
        <v>91</v>
      </c>
      <c r="M1209" s="12">
        <v>1</v>
      </c>
      <c r="N1209" s="14">
        <v>785.94</v>
      </c>
      <c r="O1209" s="15">
        <v>0.3</v>
      </c>
      <c r="P1209" s="14">
        <v>550.16</v>
      </c>
      <c r="Q1209" s="14">
        <v>339.97</v>
      </c>
      <c r="R1209" s="14">
        <v>210.19</v>
      </c>
      <c r="S1209" s="12" t="s">
        <v>83</v>
      </c>
      <c r="T1209" s="12" t="s">
        <v>119</v>
      </c>
      <c r="U1209" s="12">
        <v>3</v>
      </c>
      <c r="V1209" s="12" t="s">
        <v>55</v>
      </c>
    </row>
    <row r="1210" spans="1:22" x14ac:dyDescent="0.3">
      <c r="A1210" s="8" t="s">
        <v>2002</v>
      </c>
      <c r="B1210" s="9">
        <v>45993</v>
      </c>
      <c r="C1210" s="8" t="s">
        <v>107</v>
      </c>
      <c r="D1210" s="8" t="s">
        <v>108</v>
      </c>
      <c r="E1210" s="8" t="s">
        <v>39</v>
      </c>
      <c r="F1210" s="8" t="s">
        <v>2003</v>
      </c>
      <c r="G1210" s="8" t="s">
        <v>27</v>
      </c>
      <c r="H1210" s="8" t="s">
        <v>94</v>
      </c>
      <c r="I1210" s="8" t="s">
        <v>29</v>
      </c>
      <c r="J1210" s="8" t="s">
        <v>30</v>
      </c>
      <c r="K1210" s="8" t="s">
        <v>62</v>
      </c>
      <c r="L1210" s="8" t="s">
        <v>52</v>
      </c>
      <c r="M1210" s="8">
        <v>2</v>
      </c>
      <c r="N1210" s="10">
        <v>954.06</v>
      </c>
      <c r="O1210" s="11">
        <v>0.3</v>
      </c>
      <c r="P1210" s="10">
        <v>1335.68</v>
      </c>
      <c r="Q1210" s="10">
        <v>864.19</v>
      </c>
      <c r="R1210" s="10">
        <v>471.49</v>
      </c>
      <c r="S1210" s="8" t="s">
        <v>53</v>
      </c>
      <c r="T1210" s="8" t="s">
        <v>78</v>
      </c>
      <c r="U1210" s="8">
        <v>3</v>
      </c>
      <c r="V1210" s="8" t="s">
        <v>35</v>
      </c>
    </row>
    <row r="1211" spans="1:22" x14ac:dyDescent="0.3">
      <c r="A1211" s="12" t="s">
        <v>2004</v>
      </c>
      <c r="B1211" s="13">
        <v>45738</v>
      </c>
      <c r="C1211" s="12" t="s">
        <v>98</v>
      </c>
      <c r="D1211" s="12" t="s">
        <v>99</v>
      </c>
      <c r="E1211" s="12" t="s">
        <v>25</v>
      </c>
      <c r="F1211" s="12" t="s">
        <v>816</v>
      </c>
      <c r="G1211" s="12" t="s">
        <v>41</v>
      </c>
      <c r="H1211" s="12" t="s">
        <v>81</v>
      </c>
      <c r="I1211" s="12" t="s">
        <v>68</v>
      </c>
      <c r="J1211" s="12" t="s">
        <v>75</v>
      </c>
      <c r="K1211" s="12" t="s">
        <v>95</v>
      </c>
      <c r="L1211" s="12" t="s">
        <v>32</v>
      </c>
      <c r="M1211" s="12">
        <v>4</v>
      </c>
      <c r="N1211" s="14">
        <v>24622.67</v>
      </c>
      <c r="O1211" s="15">
        <v>0.3</v>
      </c>
      <c r="P1211" s="14">
        <v>68943.48</v>
      </c>
      <c r="Q1211" s="14">
        <v>75321.34</v>
      </c>
      <c r="R1211" s="14">
        <v>-6377.86</v>
      </c>
      <c r="S1211" s="12" t="s">
        <v>33</v>
      </c>
      <c r="T1211" s="12" t="s">
        <v>119</v>
      </c>
      <c r="U1211" s="12">
        <v>4</v>
      </c>
      <c r="V1211" s="12" t="s">
        <v>55</v>
      </c>
    </row>
    <row r="1212" spans="1:22" x14ac:dyDescent="0.3">
      <c r="A1212" s="8" t="s">
        <v>2005</v>
      </c>
      <c r="B1212" s="9">
        <v>45959</v>
      </c>
      <c r="C1212" s="8" t="s">
        <v>23</v>
      </c>
      <c r="D1212" s="8" t="s">
        <v>24</v>
      </c>
      <c r="E1212" s="8" t="s">
        <v>25</v>
      </c>
      <c r="F1212" s="8" t="s">
        <v>742</v>
      </c>
      <c r="G1212" s="8" t="s">
        <v>41</v>
      </c>
      <c r="H1212" s="8" t="s">
        <v>28</v>
      </c>
      <c r="I1212" s="8" t="s">
        <v>68</v>
      </c>
      <c r="J1212" s="8" t="s">
        <v>69</v>
      </c>
      <c r="K1212" s="8" t="s">
        <v>70</v>
      </c>
      <c r="L1212" s="8" t="s">
        <v>77</v>
      </c>
      <c r="M1212" s="8">
        <v>3</v>
      </c>
      <c r="N1212" s="10">
        <v>904.93</v>
      </c>
      <c r="O1212" s="11">
        <v>0.05</v>
      </c>
      <c r="P1212" s="10">
        <v>2579.0500000000002</v>
      </c>
      <c r="Q1212" s="10">
        <v>1323.91</v>
      </c>
      <c r="R1212" s="10">
        <v>1255.1400000000001</v>
      </c>
      <c r="S1212" s="8" t="s">
        <v>83</v>
      </c>
      <c r="T1212" s="8" t="s">
        <v>71</v>
      </c>
      <c r="U1212" s="8">
        <v>4</v>
      </c>
      <c r="V1212" s="8" t="s">
        <v>123</v>
      </c>
    </row>
    <row r="1213" spans="1:22" x14ac:dyDescent="0.3">
      <c r="A1213" s="12" t="s">
        <v>2006</v>
      </c>
      <c r="B1213" s="13">
        <v>45820</v>
      </c>
      <c r="C1213" s="12" t="s">
        <v>86</v>
      </c>
      <c r="D1213" s="12" t="s">
        <v>87</v>
      </c>
      <c r="E1213" s="12" t="s">
        <v>59</v>
      </c>
      <c r="F1213" s="12" t="s">
        <v>838</v>
      </c>
      <c r="G1213" s="12" t="s">
        <v>41</v>
      </c>
      <c r="H1213" s="12" t="s">
        <v>94</v>
      </c>
      <c r="I1213" s="12" t="s">
        <v>68</v>
      </c>
      <c r="J1213" s="12" t="s">
        <v>101</v>
      </c>
      <c r="K1213" s="12" t="s">
        <v>217</v>
      </c>
      <c r="L1213" s="12" t="s">
        <v>52</v>
      </c>
      <c r="M1213" s="12">
        <v>4</v>
      </c>
      <c r="N1213" s="14">
        <v>2907.92</v>
      </c>
      <c r="O1213" s="15">
        <v>0.2</v>
      </c>
      <c r="P1213" s="14">
        <v>9305.34</v>
      </c>
      <c r="Q1213" s="14">
        <v>6886.12</v>
      </c>
      <c r="R1213" s="14">
        <v>2419.2199999999998</v>
      </c>
      <c r="S1213" s="12" t="s">
        <v>53</v>
      </c>
      <c r="T1213" s="12" t="s">
        <v>156</v>
      </c>
      <c r="U1213" s="12">
        <v>3</v>
      </c>
      <c r="V1213" s="12" t="s">
        <v>157</v>
      </c>
    </row>
    <row r="1214" spans="1:22" x14ac:dyDescent="0.3">
      <c r="A1214" s="8" t="s">
        <v>2007</v>
      </c>
      <c r="B1214" s="9">
        <v>45765</v>
      </c>
      <c r="C1214" s="8" t="s">
        <v>131</v>
      </c>
      <c r="D1214" s="8" t="s">
        <v>132</v>
      </c>
      <c r="E1214" s="8" t="s">
        <v>25</v>
      </c>
      <c r="F1214" s="8" t="s">
        <v>554</v>
      </c>
      <c r="G1214" s="8" t="s">
        <v>41</v>
      </c>
      <c r="H1214" s="8" t="s">
        <v>28</v>
      </c>
      <c r="I1214" s="8" t="s">
        <v>61</v>
      </c>
      <c r="J1214" s="8" t="s">
        <v>75</v>
      </c>
      <c r="K1214" s="8" t="s">
        <v>95</v>
      </c>
      <c r="L1214" s="8" t="s">
        <v>77</v>
      </c>
      <c r="M1214" s="8">
        <v>3</v>
      </c>
      <c r="N1214" s="10">
        <v>25174.54</v>
      </c>
      <c r="O1214" s="11">
        <v>0.1</v>
      </c>
      <c r="P1214" s="10">
        <v>67971.259999999995</v>
      </c>
      <c r="Q1214" s="10">
        <v>54815.71</v>
      </c>
      <c r="R1214" s="10">
        <v>13155.55</v>
      </c>
      <c r="S1214" s="8" t="s">
        <v>63</v>
      </c>
      <c r="T1214" s="8" t="s">
        <v>111</v>
      </c>
      <c r="U1214" s="8">
        <v>4</v>
      </c>
      <c r="V1214" s="8" t="s">
        <v>96</v>
      </c>
    </row>
    <row r="1215" spans="1:22" x14ac:dyDescent="0.3">
      <c r="A1215" s="12" t="s">
        <v>2008</v>
      </c>
      <c r="B1215" s="13">
        <v>45719</v>
      </c>
      <c r="C1215" s="12" t="s">
        <v>23</v>
      </c>
      <c r="D1215" s="12" t="s">
        <v>24</v>
      </c>
      <c r="E1215" s="12" t="s">
        <v>25</v>
      </c>
      <c r="F1215" s="12" t="s">
        <v>2009</v>
      </c>
      <c r="G1215" s="12" t="s">
        <v>41</v>
      </c>
      <c r="H1215" s="12" t="s">
        <v>42</v>
      </c>
      <c r="I1215" s="12" t="s">
        <v>29</v>
      </c>
      <c r="J1215" s="12" t="s">
        <v>30</v>
      </c>
      <c r="K1215" s="12" t="s">
        <v>62</v>
      </c>
      <c r="L1215" s="12" t="s">
        <v>82</v>
      </c>
      <c r="M1215" s="12">
        <v>4</v>
      </c>
      <c r="N1215" s="14">
        <v>1042.71</v>
      </c>
      <c r="O1215" s="15">
        <v>0.3</v>
      </c>
      <c r="P1215" s="14">
        <v>2919.59</v>
      </c>
      <c r="Q1215" s="14">
        <v>1720.83</v>
      </c>
      <c r="R1215" s="14">
        <v>1198.76</v>
      </c>
      <c r="S1215" s="12" t="s">
        <v>46</v>
      </c>
      <c r="T1215" s="12" t="s">
        <v>156</v>
      </c>
      <c r="U1215" s="12">
        <v>3</v>
      </c>
      <c r="V1215" s="12" t="s">
        <v>55</v>
      </c>
    </row>
    <row r="1216" spans="1:22" x14ac:dyDescent="0.3">
      <c r="A1216" s="8" t="s">
        <v>2010</v>
      </c>
      <c r="B1216" s="9">
        <v>45782</v>
      </c>
      <c r="C1216" s="8" t="s">
        <v>113</v>
      </c>
      <c r="D1216" s="8" t="s">
        <v>114</v>
      </c>
      <c r="E1216" s="8" t="s">
        <v>59</v>
      </c>
      <c r="F1216" s="8" t="s">
        <v>1802</v>
      </c>
      <c r="G1216" s="8" t="s">
        <v>27</v>
      </c>
      <c r="H1216" s="8" t="s">
        <v>81</v>
      </c>
      <c r="I1216" s="8" t="s">
        <v>68</v>
      </c>
      <c r="J1216" s="8" t="s">
        <v>30</v>
      </c>
      <c r="K1216" s="8" t="s">
        <v>144</v>
      </c>
      <c r="L1216" s="8" t="s">
        <v>103</v>
      </c>
      <c r="M1216" s="8">
        <v>4</v>
      </c>
      <c r="N1216" s="10">
        <v>2540.59</v>
      </c>
      <c r="O1216" s="11">
        <v>0</v>
      </c>
      <c r="P1216" s="10">
        <v>10162.36</v>
      </c>
      <c r="Q1216" s="10">
        <v>5746.68</v>
      </c>
      <c r="R1216" s="10">
        <v>4415.68</v>
      </c>
      <c r="S1216" s="8" t="s">
        <v>46</v>
      </c>
      <c r="T1216" s="8" t="s">
        <v>156</v>
      </c>
      <c r="U1216" s="8">
        <v>5</v>
      </c>
      <c r="V1216" s="8" t="s">
        <v>134</v>
      </c>
    </row>
    <row r="1217" spans="1:22" x14ac:dyDescent="0.3">
      <c r="A1217" s="12" t="s">
        <v>2011</v>
      </c>
      <c r="B1217" s="13">
        <v>45777</v>
      </c>
      <c r="C1217" s="12" t="s">
        <v>98</v>
      </c>
      <c r="D1217" s="12" t="s">
        <v>99</v>
      </c>
      <c r="E1217" s="12" t="s">
        <v>25</v>
      </c>
      <c r="F1217" s="12" t="s">
        <v>468</v>
      </c>
      <c r="G1217" s="12" t="s">
        <v>41</v>
      </c>
      <c r="H1217" s="12" t="s">
        <v>28</v>
      </c>
      <c r="I1217" s="12" t="s">
        <v>29</v>
      </c>
      <c r="J1217" s="12" t="s">
        <v>43</v>
      </c>
      <c r="K1217" s="12" t="s">
        <v>162</v>
      </c>
      <c r="L1217" s="12" t="s">
        <v>52</v>
      </c>
      <c r="M1217" s="12">
        <v>4</v>
      </c>
      <c r="N1217" s="14">
        <v>938.8</v>
      </c>
      <c r="O1217" s="15">
        <v>0.15</v>
      </c>
      <c r="P1217" s="14">
        <v>3191.92</v>
      </c>
      <c r="Q1217" s="14">
        <v>1607.37</v>
      </c>
      <c r="R1217" s="14">
        <v>1584.55</v>
      </c>
      <c r="S1217" s="12" t="s">
        <v>53</v>
      </c>
      <c r="T1217" s="12" t="s">
        <v>119</v>
      </c>
      <c r="U1217" s="12">
        <v>5</v>
      </c>
      <c r="V1217" s="12" t="s">
        <v>96</v>
      </c>
    </row>
    <row r="1218" spans="1:22" x14ac:dyDescent="0.3">
      <c r="A1218" s="8" t="s">
        <v>2012</v>
      </c>
      <c r="B1218" s="9">
        <v>45947</v>
      </c>
      <c r="C1218" s="8" t="s">
        <v>107</v>
      </c>
      <c r="D1218" s="8" t="s">
        <v>108</v>
      </c>
      <c r="E1218" s="8" t="s">
        <v>39</v>
      </c>
      <c r="F1218" s="8" t="s">
        <v>1257</v>
      </c>
      <c r="G1218" s="8" t="s">
        <v>27</v>
      </c>
      <c r="H1218" s="8" t="s">
        <v>42</v>
      </c>
      <c r="I1218" s="8" t="s">
        <v>68</v>
      </c>
      <c r="J1218" s="8" t="s">
        <v>30</v>
      </c>
      <c r="K1218" s="8" t="s">
        <v>144</v>
      </c>
      <c r="L1218" s="8" t="s">
        <v>52</v>
      </c>
      <c r="M1218" s="8">
        <v>2</v>
      </c>
      <c r="N1218" s="10">
        <v>2376.23</v>
      </c>
      <c r="O1218" s="11">
        <v>0.15</v>
      </c>
      <c r="P1218" s="10">
        <v>4039.59</v>
      </c>
      <c r="Q1218" s="10">
        <v>2966.21</v>
      </c>
      <c r="R1218" s="10">
        <v>1073.3800000000001</v>
      </c>
      <c r="S1218" s="8" t="s">
        <v>33</v>
      </c>
      <c r="T1218" s="8" t="s">
        <v>34</v>
      </c>
      <c r="U1218" s="8">
        <v>3</v>
      </c>
      <c r="V1218" s="8" t="s">
        <v>123</v>
      </c>
    </row>
    <row r="1219" spans="1:22" x14ac:dyDescent="0.3">
      <c r="A1219" s="12" t="s">
        <v>2013</v>
      </c>
      <c r="B1219" s="13">
        <v>45827</v>
      </c>
      <c r="C1219" s="12" t="s">
        <v>107</v>
      </c>
      <c r="D1219" s="12" t="s">
        <v>108</v>
      </c>
      <c r="E1219" s="12" t="s">
        <v>39</v>
      </c>
      <c r="F1219" s="12" t="s">
        <v>168</v>
      </c>
      <c r="G1219" s="12" t="s">
        <v>27</v>
      </c>
      <c r="H1219" s="12" t="s">
        <v>81</v>
      </c>
      <c r="I1219" s="12" t="s">
        <v>68</v>
      </c>
      <c r="J1219" s="12" t="s">
        <v>89</v>
      </c>
      <c r="K1219" s="12" t="s">
        <v>151</v>
      </c>
      <c r="L1219" s="12" t="s">
        <v>91</v>
      </c>
      <c r="M1219" s="12">
        <v>3</v>
      </c>
      <c r="N1219" s="14">
        <v>1014.46</v>
      </c>
      <c r="O1219" s="15">
        <v>0.3</v>
      </c>
      <c r="P1219" s="14">
        <v>2130.37</v>
      </c>
      <c r="Q1219" s="14">
        <v>1438.83</v>
      </c>
      <c r="R1219" s="14">
        <v>691.54</v>
      </c>
      <c r="S1219" s="12" t="s">
        <v>46</v>
      </c>
      <c r="T1219" s="12" t="s">
        <v>104</v>
      </c>
      <c r="U1219" s="12">
        <v>4</v>
      </c>
      <c r="V1219" s="12" t="s">
        <v>157</v>
      </c>
    </row>
    <row r="1220" spans="1:22" x14ac:dyDescent="0.3">
      <c r="A1220" s="8" t="s">
        <v>2014</v>
      </c>
      <c r="B1220" s="9">
        <v>45773</v>
      </c>
      <c r="C1220" s="8" t="s">
        <v>98</v>
      </c>
      <c r="D1220" s="8" t="s">
        <v>99</v>
      </c>
      <c r="E1220" s="8" t="s">
        <v>25</v>
      </c>
      <c r="F1220" s="8" t="s">
        <v>688</v>
      </c>
      <c r="G1220" s="8" t="s">
        <v>41</v>
      </c>
      <c r="H1220" s="8" t="s">
        <v>94</v>
      </c>
      <c r="I1220" s="8" t="s">
        <v>68</v>
      </c>
      <c r="J1220" s="8" t="s">
        <v>30</v>
      </c>
      <c r="K1220" s="8" t="s">
        <v>62</v>
      </c>
      <c r="L1220" s="8" t="s">
        <v>103</v>
      </c>
      <c r="M1220" s="8">
        <v>2</v>
      </c>
      <c r="N1220" s="10">
        <v>992.62</v>
      </c>
      <c r="O1220" s="11">
        <v>0.2</v>
      </c>
      <c r="P1220" s="10">
        <v>1588.19</v>
      </c>
      <c r="Q1220" s="10">
        <v>857.38</v>
      </c>
      <c r="R1220" s="10">
        <v>730.81</v>
      </c>
      <c r="S1220" s="8" t="s">
        <v>46</v>
      </c>
      <c r="T1220" s="8" t="s">
        <v>34</v>
      </c>
      <c r="U1220" s="8">
        <v>4</v>
      </c>
      <c r="V1220" s="8" t="s">
        <v>96</v>
      </c>
    </row>
    <row r="1221" spans="1:22" x14ac:dyDescent="0.3">
      <c r="A1221" s="12" t="s">
        <v>2015</v>
      </c>
      <c r="B1221" s="13">
        <v>45792</v>
      </c>
      <c r="C1221" s="12" t="s">
        <v>86</v>
      </c>
      <c r="D1221" s="12" t="s">
        <v>87</v>
      </c>
      <c r="E1221" s="12" t="s">
        <v>59</v>
      </c>
      <c r="F1221" s="12" t="s">
        <v>1735</v>
      </c>
      <c r="G1221" s="12" t="s">
        <v>27</v>
      </c>
      <c r="H1221" s="12" t="s">
        <v>94</v>
      </c>
      <c r="I1221" s="12" t="s">
        <v>61</v>
      </c>
      <c r="J1221" s="12" t="s">
        <v>30</v>
      </c>
      <c r="K1221" s="12" t="s">
        <v>62</v>
      </c>
      <c r="L1221" s="12" t="s">
        <v>32</v>
      </c>
      <c r="M1221" s="12">
        <v>5</v>
      </c>
      <c r="N1221" s="14">
        <v>1012.29</v>
      </c>
      <c r="O1221" s="15">
        <v>0.2</v>
      </c>
      <c r="P1221" s="14">
        <v>4049.16</v>
      </c>
      <c r="Q1221" s="14">
        <v>2220.1</v>
      </c>
      <c r="R1221" s="14">
        <v>1829.06</v>
      </c>
      <c r="S1221" s="12" t="s">
        <v>46</v>
      </c>
      <c r="T1221" s="12" t="s">
        <v>147</v>
      </c>
      <c r="U1221" s="12">
        <v>4</v>
      </c>
      <c r="V1221" s="12" t="s">
        <v>134</v>
      </c>
    </row>
    <row r="1222" spans="1:22" x14ac:dyDescent="0.3">
      <c r="A1222" s="8" t="s">
        <v>2016</v>
      </c>
      <c r="B1222" s="9">
        <v>46018</v>
      </c>
      <c r="C1222" s="8" t="s">
        <v>48</v>
      </c>
      <c r="D1222" s="8" t="s">
        <v>49</v>
      </c>
      <c r="E1222" s="8" t="s">
        <v>39</v>
      </c>
      <c r="F1222" s="8" t="s">
        <v>1065</v>
      </c>
      <c r="G1222" s="8" t="s">
        <v>41</v>
      </c>
      <c r="H1222" s="8" t="s">
        <v>28</v>
      </c>
      <c r="I1222" s="8" t="s">
        <v>29</v>
      </c>
      <c r="J1222" s="8" t="s">
        <v>30</v>
      </c>
      <c r="K1222" s="8" t="s">
        <v>31</v>
      </c>
      <c r="L1222" s="8" t="s">
        <v>52</v>
      </c>
      <c r="M1222" s="8">
        <v>2</v>
      </c>
      <c r="N1222" s="10">
        <v>4032.24</v>
      </c>
      <c r="O1222" s="11">
        <v>0</v>
      </c>
      <c r="P1222" s="10">
        <v>8064.48</v>
      </c>
      <c r="Q1222" s="10">
        <v>4466.49</v>
      </c>
      <c r="R1222" s="10">
        <v>3597.99</v>
      </c>
      <c r="S1222" s="8" t="s">
        <v>33</v>
      </c>
      <c r="T1222" s="8" t="s">
        <v>54</v>
      </c>
      <c r="U1222" s="8">
        <v>4</v>
      </c>
      <c r="V1222" s="8" t="s">
        <v>35</v>
      </c>
    </row>
    <row r="1223" spans="1:22" x14ac:dyDescent="0.3">
      <c r="A1223" s="12" t="s">
        <v>2017</v>
      </c>
      <c r="B1223" s="13">
        <v>45714</v>
      </c>
      <c r="C1223" s="12" t="s">
        <v>86</v>
      </c>
      <c r="D1223" s="12" t="s">
        <v>87</v>
      </c>
      <c r="E1223" s="12" t="s">
        <v>59</v>
      </c>
      <c r="F1223" s="12" t="s">
        <v>1776</v>
      </c>
      <c r="G1223" s="12" t="s">
        <v>27</v>
      </c>
      <c r="H1223" s="12" t="s">
        <v>81</v>
      </c>
      <c r="I1223" s="12" t="s">
        <v>61</v>
      </c>
      <c r="J1223" s="12" t="s">
        <v>30</v>
      </c>
      <c r="K1223" s="12" t="s">
        <v>31</v>
      </c>
      <c r="L1223" s="12" t="s">
        <v>91</v>
      </c>
      <c r="M1223" s="12">
        <v>1</v>
      </c>
      <c r="N1223" s="14">
        <v>4080.71</v>
      </c>
      <c r="O1223" s="15">
        <v>0.1</v>
      </c>
      <c r="P1223" s="14">
        <v>3672.64</v>
      </c>
      <c r="Q1223" s="14">
        <v>2261.4299999999998</v>
      </c>
      <c r="R1223" s="14">
        <v>1411.21</v>
      </c>
      <c r="S1223" s="12" t="s">
        <v>53</v>
      </c>
      <c r="T1223" s="12" t="s">
        <v>156</v>
      </c>
      <c r="U1223" s="12">
        <v>3</v>
      </c>
      <c r="V1223" s="12" t="s">
        <v>105</v>
      </c>
    </row>
    <row r="1224" spans="1:22" x14ac:dyDescent="0.3">
      <c r="A1224" s="8" t="s">
        <v>2018</v>
      </c>
      <c r="B1224" s="9">
        <v>45927</v>
      </c>
      <c r="C1224" s="8" t="s">
        <v>125</v>
      </c>
      <c r="D1224" s="8" t="s">
        <v>126</v>
      </c>
      <c r="E1224" s="8" t="s">
        <v>25</v>
      </c>
      <c r="F1224" s="8" t="s">
        <v>744</v>
      </c>
      <c r="G1224" s="8" t="s">
        <v>27</v>
      </c>
      <c r="H1224" s="8" t="s">
        <v>42</v>
      </c>
      <c r="I1224" s="8" t="s">
        <v>61</v>
      </c>
      <c r="J1224" s="8" t="s">
        <v>69</v>
      </c>
      <c r="K1224" s="8" t="s">
        <v>70</v>
      </c>
      <c r="L1224" s="8" t="s">
        <v>175</v>
      </c>
      <c r="M1224" s="8">
        <v>4</v>
      </c>
      <c r="N1224" s="10">
        <v>888.19</v>
      </c>
      <c r="O1224" s="11">
        <v>0.2</v>
      </c>
      <c r="P1224" s="10">
        <v>2842.21</v>
      </c>
      <c r="Q1224" s="10">
        <v>1823.92</v>
      </c>
      <c r="R1224" s="10">
        <v>1018.29</v>
      </c>
      <c r="S1224" s="8" t="s">
        <v>63</v>
      </c>
      <c r="T1224" s="8" t="s">
        <v>156</v>
      </c>
      <c r="U1224" s="8">
        <v>4</v>
      </c>
      <c r="V1224" s="8" t="s">
        <v>116</v>
      </c>
    </row>
    <row r="1225" spans="1:22" x14ac:dyDescent="0.3">
      <c r="A1225" s="12" t="s">
        <v>2019</v>
      </c>
      <c r="B1225" s="13">
        <v>45852</v>
      </c>
      <c r="C1225" s="12" t="s">
        <v>48</v>
      </c>
      <c r="D1225" s="12" t="s">
        <v>49</v>
      </c>
      <c r="E1225" s="12" t="s">
        <v>39</v>
      </c>
      <c r="F1225" s="12" t="s">
        <v>2020</v>
      </c>
      <c r="G1225" s="12" t="s">
        <v>27</v>
      </c>
      <c r="H1225" s="12" t="s">
        <v>94</v>
      </c>
      <c r="I1225" s="12" t="s">
        <v>68</v>
      </c>
      <c r="J1225" s="12" t="s">
        <v>89</v>
      </c>
      <c r="K1225" s="12" t="s">
        <v>90</v>
      </c>
      <c r="L1225" s="12" t="s">
        <v>82</v>
      </c>
      <c r="M1225" s="12">
        <v>3</v>
      </c>
      <c r="N1225" s="14">
        <v>3661.73</v>
      </c>
      <c r="O1225" s="15">
        <v>0.3</v>
      </c>
      <c r="P1225" s="14">
        <v>7689.63</v>
      </c>
      <c r="Q1225" s="14">
        <v>6549.45</v>
      </c>
      <c r="R1225" s="14">
        <v>1140.18</v>
      </c>
      <c r="S1225" s="12" t="s">
        <v>53</v>
      </c>
      <c r="T1225" s="12" t="s">
        <v>147</v>
      </c>
      <c r="U1225" s="12">
        <v>4</v>
      </c>
      <c r="V1225" s="12" t="s">
        <v>120</v>
      </c>
    </row>
    <row r="1226" spans="1:22" x14ac:dyDescent="0.3">
      <c r="A1226" s="8" t="s">
        <v>2021</v>
      </c>
      <c r="B1226" s="9">
        <v>45996</v>
      </c>
      <c r="C1226" s="8" t="s">
        <v>125</v>
      </c>
      <c r="D1226" s="8" t="s">
        <v>126</v>
      </c>
      <c r="E1226" s="8" t="s">
        <v>25</v>
      </c>
      <c r="F1226" s="8" t="s">
        <v>1868</v>
      </c>
      <c r="G1226" s="8" t="s">
        <v>41</v>
      </c>
      <c r="H1226" s="8" t="s">
        <v>42</v>
      </c>
      <c r="I1226" s="8" t="s">
        <v>29</v>
      </c>
      <c r="J1226" s="8" t="s">
        <v>101</v>
      </c>
      <c r="K1226" s="8" t="s">
        <v>102</v>
      </c>
      <c r="L1226" s="8" t="s">
        <v>82</v>
      </c>
      <c r="M1226" s="8">
        <v>3</v>
      </c>
      <c r="N1226" s="10">
        <v>685.53</v>
      </c>
      <c r="O1226" s="11">
        <v>0.3</v>
      </c>
      <c r="P1226" s="10">
        <v>1439.61</v>
      </c>
      <c r="Q1226" s="10">
        <v>721.44</v>
      </c>
      <c r="R1226" s="10">
        <v>718.17</v>
      </c>
      <c r="S1226" s="8" t="s">
        <v>33</v>
      </c>
      <c r="T1226" s="8" t="s">
        <v>147</v>
      </c>
      <c r="U1226" s="8">
        <v>3</v>
      </c>
      <c r="V1226" s="8" t="s">
        <v>35</v>
      </c>
    </row>
    <row r="1227" spans="1:22" x14ac:dyDescent="0.3">
      <c r="A1227" s="12" t="s">
        <v>2022</v>
      </c>
      <c r="B1227" s="13">
        <v>45763</v>
      </c>
      <c r="C1227" s="12" t="s">
        <v>37</v>
      </c>
      <c r="D1227" s="12" t="s">
        <v>38</v>
      </c>
      <c r="E1227" s="12" t="s">
        <v>39</v>
      </c>
      <c r="F1227" s="12" t="s">
        <v>809</v>
      </c>
      <c r="G1227" s="12" t="s">
        <v>27</v>
      </c>
      <c r="H1227" s="12" t="s">
        <v>42</v>
      </c>
      <c r="I1227" s="12" t="s">
        <v>61</v>
      </c>
      <c r="J1227" s="12" t="s">
        <v>30</v>
      </c>
      <c r="K1227" s="12" t="s">
        <v>62</v>
      </c>
      <c r="L1227" s="12" t="s">
        <v>32</v>
      </c>
      <c r="M1227" s="12">
        <v>3</v>
      </c>
      <c r="N1227" s="14">
        <v>1013.99</v>
      </c>
      <c r="O1227" s="15">
        <v>0.05</v>
      </c>
      <c r="P1227" s="14">
        <v>2889.87</v>
      </c>
      <c r="Q1227" s="14">
        <v>1297.92</v>
      </c>
      <c r="R1227" s="14">
        <v>1591.95</v>
      </c>
      <c r="S1227" s="12" t="s">
        <v>53</v>
      </c>
      <c r="T1227" s="12" t="s">
        <v>111</v>
      </c>
      <c r="U1227" s="12">
        <v>3</v>
      </c>
      <c r="V1227" s="12" t="s">
        <v>96</v>
      </c>
    </row>
    <row r="1228" spans="1:22" x14ac:dyDescent="0.3">
      <c r="A1228" s="8" t="s">
        <v>2023</v>
      </c>
      <c r="B1228" s="9">
        <v>45809</v>
      </c>
      <c r="C1228" s="8" t="s">
        <v>23</v>
      </c>
      <c r="D1228" s="8" t="s">
        <v>24</v>
      </c>
      <c r="E1228" s="8" t="s">
        <v>25</v>
      </c>
      <c r="F1228" s="8" t="s">
        <v>2024</v>
      </c>
      <c r="G1228" s="8" t="s">
        <v>41</v>
      </c>
      <c r="H1228" s="8" t="s">
        <v>81</v>
      </c>
      <c r="I1228" s="8" t="s">
        <v>29</v>
      </c>
      <c r="J1228" s="8" t="s">
        <v>101</v>
      </c>
      <c r="K1228" s="8" t="s">
        <v>217</v>
      </c>
      <c r="L1228" s="8" t="s">
        <v>103</v>
      </c>
      <c r="M1228" s="8">
        <v>3</v>
      </c>
      <c r="N1228" s="10">
        <v>2978.17</v>
      </c>
      <c r="O1228" s="11">
        <v>0</v>
      </c>
      <c r="P1228" s="10">
        <v>8934.51</v>
      </c>
      <c r="Q1228" s="10">
        <v>5274.07</v>
      </c>
      <c r="R1228" s="10">
        <v>3660.44</v>
      </c>
      <c r="S1228" s="8" t="s">
        <v>46</v>
      </c>
      <c r="T1228" s="8" t="s">
        <v>147</v>
      </c>
      <c r="U1228" s="8">
        <v>4</v>
      </c>
      <c r="V1228" s="8" t="s">
        <v>157</v>
      </c>
    </row>
    <row r="1229" spans="1:22" x14ac:dyDescent="0.3">
      <c r="A1229" s="12" t="s">
        <v>2025</v>
      </c>
      <c r="B1229" s="13">
        <v>45967</v>
      </c>
      <c r="C1229" s="12" t="s">
        <v>98</v>
      </c>
      <c r="D1229" s="12" t="s">
        <v>99</v>
      </c>
      <c r="E1229" s="12" t="s">
        <v>25</v>
      </c>
      <c r="F1229" s="12" t="s">
        <v>1102</v>
      </c>
      <c r="G1229" s="12" t="s">
        <v>41</v>
      </c>
      <c r="H1229" s="12" t="s">
        <v>28</v>
      </c>
      <c r="I1229" s="12" t="s">
        <v>29</v>
      </c>
      <c r="J1229" s="12" t="s">
        <v>43</v>
      </c>
      <c r="K1229" s="12" t="s">
        <v>162</v>
      </c>
      <c r="L1229" s="12" t="s">
        <v>91</v>
      </c>
      <c r="M1229" s="12">
        <v>4</v>
      </c>
      <c r="N1229" s="14">
        <v>865.86</v>
      </c>
      <c r="O1229" s="15">
        <v>0.1</v>
      </c>
      <c r="P1229" s="14">
        <v>3117.1</v>
      </c>
      <c r="Q1229" s="14">
        <v>1601.73</v>
      </c>
      <c r="R1229" s="14">
        <v>1515.37</v>
      </c>
      <c r="S1229" s="12" t="s">
        <v>83</v>
      </c>
      <c r="T1229" s="12" t="s">
        <v>71</v>
      </c>
      <c r="U1229" s="12">
        <v>3</v>
      </c>
      <c r="V1229" s="12" t="s">
        <v>65</v>
      </c>
    </row>
    <row r="1230" spans="1:22" x14ac:dyDescent="0.3">
      <c r="A1230" s="8" t="s">
        <v>2026</v>
      </c>
      <c r="B1230" s="9">
        <v>45916</v>
      </c>
      <c r="C1230" s="8" t="s">
        <v>86</v>
      </c>
      <c r="D1230" s="8" t="s">
        <v>87</v>
      </c>
      <c r="E1230" s="8" t="s">
        <v>59</v>
      </c>
      <c r="F1230" s="8" t="s">
        <v>1111</v>
      </c>
      <c r="G1230" s="8" t="s">
        <v>41</v>
      </c>
      <c r="H1230" s="8" t="s">
        <v>94</v>
      </c>
      <c r="I1230" s="8" t="s">
        <v>61</v>
      </c>
      <c r="J1230" s="8" t="s">
        <v>89</v>
      </c>
      <c r="K1230" s="8" t="s">
        <v>151</v>
      </c>
      <c r="L1230" s="8" t="s">
        <v>103</v>
      </c>
      <c r="M1230" s="8">
        <v>4</v>
      </c>
      <c r="N1230" s="10">
        <v>990.53</v>
      </c>
      <c r="O1230" s="11">
        <v>0.1</v>
      </c>
      <c r="P1230" s="10">
        <v>3565.91</v>
      </c>
      <c r="Q1230" s="10">
        <v>1931.44</v>
      </c>
      <c r="R1230" s="10">
        <v>1634.47</v>
      </c>
      <c r="S1230" s="8" t="s">
        <v>33</v>
      </c>
      <c r="T1230" s="8" t="s">
        <v>64</v>
      </c>
      <c r="U1230" s="8">
        <v>4</v>
      </c>
      <c r="V1230" s="8" t="s">
        <v>116</v>
      </c>
    </row>
    <row r="1231" spans="1:22" x14ac:dyDescent="0.3">
      <c r="A1231" s="12" t="s">
        <v>2027</v>
      </c>
      <c r="B1231" s="13">
        <v>46018</v>
      </c>
      <c r="C1231" s="12" t="s">
        <v>131</v>
      </c>
      <c r="D1231" s="12" t="s">
        <v>132</v>
      </c>
      <c r="E1231" s="12" t="s">
        <v>25</v>
      </c>
      <c r="F1231" s="12" t="s">
        <v>916</v>
      </c>
      <c r="G1231" s="12" t="s">
        <v>27</v>
      </c>
      <c r="H1231" s="12" t="s">
        <v>94</v>
      </c>
      <c r="I1231" s="12" t="s">
        <v>29</v>
      </c>
      <c r="J1231" s="12" t="s">
        <v>75</v>
      </c>
      <c r="K1231" s="12" t="s">
        <v>95</v>
      </c>
      <c r="L1231" s="12" t="s">
        <v>77</v>
      </c>
      <c r="M1231" s="12">
        <v>3</v>
      </c>
      <c r="N1231" s="14">
        <v>25675.18</v>
      </c>
      <c r="O1231" s="15">
        <v>0.05</v>
      </c>
      <c r="P1231" s="14">
        <v>73174.259999999995</v>
      </c>
      <c r="Q1231" s="14">
        <v>52431.26</v>
      </c>
      <c r="R1231" s="14">
        <v>20743</v>
      </c>
      <c r="S1231" s="12" t="s">
        <v>63</v>
      </c>
      <c r="T1231" s="12" t="s">
        <v>34</v>
      </c>
      <c r="U1231" s="12">
        <v>4</v>
      </c>
      <c r="V1231" s="12" t="s">
        <v>35</v>
      </c>
    </row>
    <row r="1232" spans="1:22" x14ac:dyDescent="0.3">
      <c r="A1232" s="8" t="s">
        <v>2028</v>
      </c>
      <c r="B1232" s="9">
        <v>46012</v>
      </c>
      <c r="C1232" s="8" t="s">
        <v>107</v>
      </c>
      <c r="D1232" s="8" t="s">
        <v>108</v>
      </c>
      <c r="E1232" s="8" t="s">
        <v>39</v>
      </c>
      <c r="F1232" s="8" t="s">
        <v>1789</v>
      </c>
      <c r="G1232" s="8" t="s">
        <v>41</v>
      </c>
      <c r="H1232" s="8" t="s">
        <v>28</v>
      </c>
      <c r="I1232" s="8" t="s">
        <v>61</v>
      </c>
      <c r="J1232" s="8" t="s">
        <v>89</v>
      </c>
      <c r="K1232" s="8" t="s">
        <v>90</v>
      </c>
      <c r="L1232" s="8" t="s">
        <v>32</v>
      </c>
      <c r="M1232" s="8">
        <v>1</v>
      </c>
      <c r="N1232" s="10">
        <v>3393.38</v>
      </c>
      <c r="O1232" s="11">
        <v>0.05</v>
      </c>
      <c r="P1232" s="10">
        <v>3223.71</v>
      </c>
      <c r="Q1232" s="10">
        <v>2060.61</v>
      </c>
      <c r="R1232" s="10">
        <v>1163.0999999999999</v>
      </c>
      <c r="S1232" s="8" t="s">
        <v>83</v>
      </c>
      <c r="T1232" s="8" t="s">
        <v>104</v>
      </c>
      <c r="U1232" s="8">
        <v>3</v>
      </c>
      <c r="V1232" s="8" t="s">
        <v>35</v>
      </c>
    </row>
    <row r="1233" spans="1:22" x14ac:dyDescent="0.3">
      <c r="A1233" s="12" t="s">
        <v>2029</v>
      </c>
      <c r="B1233" s="13">
        <v>45860</v>
      </c>
      <c r="C1233" s="12" t="s">
        <v>57</v>
      </c>
      <c r="D1233" s="12" t="s">
        <v>58</v>
      </c>
      <c r="E1233" s="12" t="s">
        <v>59</v>
      </c>
      <c r="F1233" s="12" t="s">
        <v>1030</v>
      </c>
      <c r="G1233" s="12" t="s">
        <v>41</v>
      </c>
      <c r="H1233" s="12" t="s">
        <v>94</v>
      </c>
      <c r="I1233" s="12" t="s">
        <v>61</v>
      </c>
      <c r="J1233" s="12" t="s">
        <v>43</v>
      </c>
      <c r="K1233" s="12" t="s">
        <v>44</v>
      </c>
      <c r="L1233" s="12" t="s">
        <v>82</v>
      </c>
      <c r="M1233" s="12">
        <v>2</v>
      </c>
      <c r="N1233" s="14">
        <v>628.23</v>
      </c>
      <c r="O1233" s="15">
        <v>0</v>
      </c>
      <c r="P1233" s="14">
        <v>1256.46</v>
      </c>
      <c r="Q1233" s="14">
        <v>524.54999999999995</v>
      </c>
      <c r="R1233" s="14">
        <v>731.91</v>
      </c>
      <c r="S1233" s="12" t="s">
        <v>63</v>
      </c>
      <c r="T1233" s="12" t="s">
        <v>78</v>
      </c>
      <c r="U1233" s="12">
        <v>4</v>
      </c>
      <c r="V1233" s="12" t="s">
        <v>120</v>
      </c>
    </row>
    <row r="1234" spans="1:22" x14ac:dyDescent="0.3">
      <c r="A1234" s="8" t="s">
        <v>2030</v>
      </c>
      <c r="B1234" s="9">
        <v>45898</v>
      </c>
      <c r="C1234" s="8" t="s">
        <v>107</v>
      </c>
      <c r="D1234" s="8" t="s">
        <v>108</v>
      </c>
      <c r="E1234" s="8" t="s">
        <v>39</v>
      </c>
      <c r="F1234" s="8" t="s">
        <v>1010</v>
      </c>
      <c r="G1234" s="8" t="s">
        <v>41</v>
      </c>
      <c r="H1234" s="8" t="s">
        <v>94</v>
      </c>
      <c r="I1234" s="8" t="s">
        <v>29</v>
      </c>
      <c r="J1234" s="8" t="s">
        <v>30</v>
      </c>
      <c r="K1234" s="8" t="s">
        <v>62</v>
      </c>
      <c r="L1234" s="8" t="s">
        <v>32</v>
      </c>
      <c r="M1234" s="8">
        <v>2</v>
      </c>
      <c r="N1234" s="10">
        <v>1021.75</v>
      </c>
      <c r="O1234" s="11">
        <v>0</v>
      </c>
      <c r="P1234" s="10">
        <v>2043.5</v>
      </c>
      <c r="Q1234" s="10">
        <v>921.48</v>
      </c>
      <c r="R1234" s="10">
        <v>1122.02</v>
      </c>
      <c r="S1234" s="8" t="s">
        <v>53</v>
      </c>
      <c r="T1234" s="8" t="s">
        <v>119</v>
      </c>
      <c r="U1234" s="8">
        <v>4</v>
      </c>
      <c r="V1234" s="8" t="s">
        <v>72</v>
      </c>
    </row>
    <row r="1235" spans="1:22" x14ac:dyDescent="0.3">
      <c r="A1235" s="12" t="s">
        <v>2031</v>
      </c>
      <c r="B1235" s="13">
        <v>45709</v>
      </c>
      <c r="C1235" s="12" t="s">
        <v>98</v>
      </c>
      <c r="D1235" s="12" t="s">
        <v>99</v>
      </c>
      <c r="E1235" s="12" t="s">
        <v>25</v>
      </c>
      <c r="F1235" s="12" t="s">
        <v>2032</v>
      </c>
      <c r="G1235" s="12" t="s">
        <v>27</v>
      </c>
      <c r="H1235" s="12" t="s">
        <v>94</v>
      </c>
      <c r="I1235" s="12" t="s">
        <v>29</v>
      </c>
      <c r="J1235" s="12" t="s">
        <v>43</v>
      </c>
      <c r="K1235" s="12" t="s">
        <v>51</v>
      </c>
      <c r="L1235" s="12" t="s">
        <v>82</v>
      </c>
      <c r="M1235" s="12">
        <v>3</v>
      </c>
      <c r="N1235" s="14">
        <v>1544.08</v>
      </c>
      <c r="O1235" s="15">
        <v>0.1</v>
      </c>
      <c r="P1235" s="14">
        <v>4169.0200000000004</v>
      </c>
      <c r="Q1235" s="14">
        <v>2027.08</v>
      </c>
      <c r="R1235" s="14">
        <v>2141.94</v>
      </c>
      <c r="S1235" s="12" t="s">
        <v>46</v>
      </c>
      <c r="T1235" s="12" t="s">
        <v>64</v>
      </c>
      <c r="U1235" s="12">
        <v>5</v>
      </c>
      <c r="V1235" s="12" t="s">
        <v>105</v>
      </c>
    </row>
    <row r="1236" spans="1:22" x14ac:dyDescent="0.3">
      <c r="A1236" s="8" t="s">
        <v>2033</v>
      </c>
      <c r="B1236" s="9">
        <v>45982</v>
      </c>
      <c r="C1236" s="8" t="s">
        <v>98</v>
      </c>
      <c r="D1236" s="8" t="s">
        <v>99</v>
      </c>
      <c r="E1236" s="8" t="s">
        <v>25</v>
      </c>
      <c r="F1236" s="8" t="s">
        <v>827</v>
      </c>
      <c r="G1236" s="8" t="s">
        <v>27</v>
      </c>
      <c r="H1236" s="8" t="s">
        <v>81</v>
      </c>
      <c r="I1236" s="8" t="s">
        <v>61</v>
      </c>
      <c r="J1236" s="8" t="s">
        <v>89</v>
      </c>
      <c r="K1236" s="8" t="s">
        <v>151</v>
      </c>
      <c r="L1236" s="8" t="s">
        <v>45</v>
      </c>
      <c r="M1236" s="8">
        <v>5</v>
      </c>
      <c r="N1236" s="10">
        <v>1046.94</v>
      </c>
      <c r="O1236" s="11">
        <v>0.05</v>
      </c>
      <c r="P1236" s="10">
        <v>4972.97</v>
      </c>
      <c r="Q1236" s="10">
        <v>2615.29</v>
      </c>
      <c r="R1236" s="10">
        <v>2357.6799999999998</v>
      </c>
      <c r="S1236" s="8" t="s">
        <v>46</v>
      </c>
      <c r="T1236" s="8" t="s">
        <v>78</v>
      </c>
      <c r="U1236" s="8">
        <v>5</v>
      </c>
      <c r="V1236" s="8" t="s">
        <v>65</v>
      </c>
    </row>
    <row r="1237" spans="1:22" x14ac:dyDescent="0.3">
      <c r="A1237" s="12" t="s">
        <v>2034</v>
      </c>
      <c r="B1237" s="13">
        <v>45737</v>
      </c>
      <c r="C1237" s="12" t="s">
        <v>48</v>
      </c>
      <c r="D1237" s="12" t="s">
        <v>49</v>
      </c>
      <c r="E1237" s="12" t="s">
        <v>39</v>
      </c>
      <c r="F1237" s="12" t="s">
        <v>2035</v>
      </c>
      <c r="G1237" s="12" t="s">
        <v>27</v>
      </c>
      <c r="H1237" s="12" t="s">
        <v>28</v>
      </c>
      <c r="I1237" s="12" t="s">
        <v>68</v>
      </c>
      <c r="J1237" s="12" t="s">
        <v>75</v>
      </c>
      <c r="K1237" s="12" t="s">
        <v>76</v>
      </c>
      <c r="L1237" s="12" t="s">
        <v>52</v>
      </c>
      <c r="M1237" s="12">
        <v>5</v>
      </c>
      <c r="N1237" s="14">
        <v>834.02</v>
      </c>
      <c r="O1237" s="15">
        <v>0</v>
      </c>
      <c r="P1237" s="14">
        <v>4170.1000000000004</v>
      </c>
      <c r="Q1237" s="14">
        <v>1833.31</v>
      </c>
      <c r="R1237" s="14">
        <v>2336.79</v>
      </c>
      <c r="S1237" s="12" t="s">
        <v>33</v>
      </c>
      <c r="T1237" s="12" t="s">
        <v>54</v>
      </c>
      <c r="U1237" s="12">
        <v>3</v>
      </c>
      <c r="V1237" s="12" t="s">
        <v>55</v>
      </c>
    </row>
    <row r="1238" spans="1:22" x14ac:dyDescent="0.3">
      <c r="A1238" s="8" t="s">
        <v>2036</v>
      </c>
      <c r="B1238" s="9">
        <v>45794</v>
      </c>
      <c r="C1238" s="8" t="s">
        <v>125</v>
      </c>
      <c r="D1238" s="8" t="s">
        <v>126</v>
      </c>
      <c r="E1238" s="8" t="s">
        <v>25</v>
      </c>
      <c r="F1238" s="8" t="s">
        <v>1740</v>
      </c>
      <c r="G1238" s="8" t="s">
        <v>27</v>
      </c>
      <c r="H1238" s="8" t="s">
        <v>28</v>
      </c>
      <c r="I1238" s="8" t="s">
        <v>61</v>
      </c>
      <c r="J1238" s="8" t="s">
        <v>30</v>
      </c>
      <c r="K1238" s="8" t="s">
        <v>144</v>
      </c>
      <c r="L1238" s="8" t="s">
        <v>103</v>
      </c>
      <c r="M1238" s="8">
        <v>2</v>
      </c>
      <c r="N1238" s="10">
        <v>2455.29</v>
      </c>
      <c r="O1238" s="11">
        <v>0.2</v>
      </c>
      <c r="P1238" s="10">
        <v>3928.46</v>
      </c>
      <c r="Q1238" s="10">
        <v>3031.19</v>
      </c>
      <c r="R1238" s="10">
        <v>897.27</v>
      </c>
      <c r="S1238" s="8" t="s">
        <v>83</v>
      </c>
      <c r="T1238" s="8" t="s">
        <v>156</v>
      </c>
      <c r="U1238" s="8">
        <v>5</v>
      </c>
      <c r="V1238" s="8" t="s">
        <v>134</v>
      </c>
    </row>
    <row r="1239" spans="1:22" x14ac:dyDescent="0.3">
      <c r="A1239" s="12" t="s">
        <v>2037</v>
      </c>
      <c r="B1239" s="13">
        <v>45688</v>
      </c>
      <c r="C1239" s="12" t="s">
        <v>48</v>
      </c>
      <c r="D1239" s="12" t="s">
        <v>49</v>
      </c>
      <c r="E1239" s="12" t="s">
        <v>39</v>
      </c>
      <c r="F1239" s="12" t="s">
        <v>1036</v>
      </c>
      <c r="G1239" s="12" t="s">
        <v>41</v>
      </c>
      <c r="H1239" s="12" t="s">
        <v>28</v>
      </c>
      <c r="I1239" s="12" t="s">
        <v>61</v>
      </c>
      <c r="J1239" s="12" t="s">
        <v>30</v>
      </c>
      <c r="K1239" s="12" t="s">
        <v>62</v>
      </c>
      <c r="L1239" s="12" t="s">
        <v>52</v>
      </c>
      <c r="M1239" s="12">
        <v>1</v>
      </c>
      <c r="N1239" s="14">
        <v>1047.44</v>
      </c>
      <c r="O1239" s="15">
        <v>0.15</v>
      </c>
      <c r="P1239" s="14">
        <v>890.32</v>
      </c>
      <c r="Q1239" s="14">
        <v>427.8</v>
      </c>
      <c r="R1239" s="14">
        <v>462.52</v>
      </c>
      <c r="S1239" s="12" t="s">
        <v>46</v>
      </c>
      <c r="T1239" s="12" t="s">
        <v>104</v>
      </c>
      <c r="U1239" s="12">
        <v>3</v>
      </c>
      <c r="V1239" s="12" t="s">
        <v>84</v>
      </c>
    </row>
    <row r="1240" spans="1:22" x14ac:dyDescent="0.3">
      <c r="A1240" s="8" t="s">
        <v>2038</v>
      </c>
      <c r="B1240" s="9">
        <v>45823</v>
      </c>
      <c r="C1240" s="8" t="s">
        <v>107</v>
      </c>
      <c r="D1240" s="8" t="s">
        <v>108</v>
      </c>
      <c r="E1240" s="8" t="s">
        <v>39</v>
      </c>
      <c r="F1240" s="8" t="s">
        <v>1610</v>
      </c>
      <c r="G1240" s="8" t="s">
        <v>27</v>
      </c>
      <c r="H1240" s="8" t="s">
        <v>81</v>
      </c>
      <c r="I1240" s="8" t="s">
        <v>61</v>
      </c>
      <c r="J1240" s="8" t="s">
        <v>43</v>
      </c>
      <c r="K1240" s="8" t="s">
        <v>44</v>
      </c>
      <c r="L1240" s="8" t="s">
        <v>77</v>
      </c>
      <c r="M1240" s="8">
        <v>1</v>
      </c>
      <c r="N1240" s="10">
        <v>607.96</v>
      </c>
      <c r="O1240" s="11">
        <v>0.15</v>
      </c>
      <c r="P1240" s="10">
        <v>516.77</v>
      </c>
      <c r="Q1240" s="10">
        <v>263.88</v>
      </c>
      <c r="R1240" s="10">
        <v>252.89</v>
      </c>
      <c r="S1240" s="8" t="s">
        <v>46</v>
      </c>
      <c r="T1240" s="8" t="s">
        <v>104</v>
      </c>
      <c r="U1240" s="8">
        <v>3</v>
      </c>
      <c r="V1240" s="8" t="s">
        <v>157</v>
      </c>
    </row>
    <row r="1241" spans="1:22" x14ac:dyDescent="0.3">
      <c r="A1241" s="12" t="s">
        <v>2039</v>
      </c>
      <c r="B1241" s="13">
        <v>45679</v>
      </c>
      <c r="C1241" s="12" t="s">
        <v>131</v>
      </c>
      <c r="D1241" s="12" t="s">
        <v>132</v>
      </c>
      <c r="E1241" s="12" t="s">
        <v>25</v>
      </c>
      <c r="F1241" s="12" t="s">
        <v>1564</v>
      </c>
      <c r="G1241" s="12" t="s">
        <v>27</v>
      </c>
      <c r="H1241" s="12" t="s">
        <v>94</v>
      </c>
      <c r="I1241" s="12" t="s">
        <v>68</v>
      </c>
      <c r="J1241" s="12" t="s">
        <v>43</v>
      </c>
      <c r="K1241" s="12" t="s">
        <v>162</v>
      </c>
      <c r="L1241" s="12" t="s">
        <v>82</v>
      </c>
      <c r="M1241" s="12">
        <v>3</v>
      </c>
      <c r="N1241" s="14">
        <v>878.52</v>
      </c>
      <c r="O1241" s="15">
        <v>0.05</v>
      </c>
      <c r="P1241" s="14">
        <v>2503.7800000000002</v>
      </c>
      <c r="Q1241" s="14">
        <v>1236.93</v>
      </c>
      <c r="R1241" s="14">
        <v>1266.8499999999999</v>
      </c>
      <c r="S1241" s="12" t="s">
        <v>46</v>
      </c>
      <c r="T1241" s="12" t="s">
        <v>147</v>
      </c>
      <c r="U1241" s="12">
        <v>3</v>
      </c>
      <c r="V1241" s="12" t="s">
        <v>84</v>
      </c>
    </row>
    <row r="1242" spans="1:22" x14ac:dyDescent="0.3">
      <c r="A1242" s="8" t="s">
        <v>2040</v>
      </c>
      <c r="B1242" s="9">
        <v>45752</v>
      </c>
      <c r="C1242" s="8" t="s">
        <v>23</v>
      </c>
      <c r="D1242" s="8" t="s">
        <v>24</v>
      </c>
      <c r="E1242" s="8" t="s">
        <v>25</v>
      </c>
      <c r="F1242" s="8" t="s">
        <v>1223</v>
      </c>
      <c r="G1242" s="8" t="s">
        <v>41</v>
      </c>
      <c r="H1242" s="8" t="s">
        <v>81</v>
      </c>
      <c r="I1242" s="8" t="s">
        <v>29</v>
      </c>
      <c r="J1242" s="8" t="s">
        <v>75</v>
      </c>
      <c r="K1242" s="8" t="s">
        <v>154</v>
      </c>
      <c r="L1242" s="8" t="s">
        <v>175</v>
      </c>
      <c r="M1242" s="8">
        <v>3</v>
      </c>
      <c r="N1242" s="10">
        <v>2039.31</v>
      </c>
      <c r="O1242" s="11">
        <v>0.25</v>
      </c>
      <c r="P1242" s="10">
        <v>4588.45</v>
      </c>
      <c r="Q1242" s="10">
        <v>3400.5</v>
      </c>
      <c r="R1242" s="10">
        <v>1187.95</v>
      </c>
      <c r="S1242" s="8" t="s">
        <v>53</v>
      </c>
      <c r="T1242" s="8" t="s">
        <v>78</v>
      </c>
      <c r="U1242" s="8">
        <v>3</v>
      </c>
      <c r="V1242" s="8" t="s">
        <v>96</v>
      </c>
    </row>
    <row r="1243" spans="1:22" x14ac:dyDescent="0.3">
      <c r="A1243" s="12" t="s">
        <v>2041</v>
      </c>
      <c r="B1243" s="13">
        <v>45923</v>
      </c>
      <c r="C1243" s="12" t="s">
        <v>107</v>
      </c>
      <c r="D1243" s="12" t="s">
        <v>108</v>
      </c>
      <c r="E1243" s="12" t="s">
        <v>39</v>
      </c>
      <c r="F1243" s="12" t="s">
        <v>664</v>
      </c>
      <c r="G1243" s="12" t="s">
        <v>41</v>
      </c>
      <c r="H1243" s="12" t="s">
        <v>94</v>
      </c>
      <c r="I1243" s="12" t="s">
        <v>29</v>
      </c>
      <c r="J1243" s="12" t="s">
        <v>75</v>
      </c>
      <c r="K1243" s="12" t="s">
        <v>76</v>
      </c>
      <c r="L1243" s="12" t="s">
        <v>45</v>
      </c>
      <c r="M1243" s="12">
        <v>4</v>
      </c>
      <c r="N1243" s="14">
        <v>808.77</v>
      </c>
      <c r="O1243" s="15">
        <v>0.3</v>
      </c>
      <c r="P1243" s="14">
        <v>2264.56</v>
      </c>
      <c r="Q1243" s="14">
        <v>1377.16</v>
      </c>
      <c r="R1243" s="14">
        <v>887.4</v>
      </c>
      <c r="S1243" s="12" t="s">
        <v>46</v>
      </c>
      <c r="T1243" s="12" t="s">
        <v>34</v>
      </c>
      <c r="U1243" s="12">
        <v>3</v>
      </c>
      <c r="V1243" s="12" t="s">
        <v>116</v>
      </c>
    </row>
    <row r="1244" spans="1:22" x14ac:dyDescent="0.3">
      <c r="A1244" s="8" t="s">
        <v>2042</v>
      </c>
      <c r="B1244" s="9">
        <v>45817</v>
      </c>
      <c r="C1244" s="8" t="s">
        <v>86</v>
      </c>
      <c r="D1244" s="8" t="s">
        <v>87</v>
      </c>
      <c r="E1244" s="8" t="s">
        <v>59</v>
      </c>
      <c r="F1244" s="8" t="s">
        <v>231</v>
      </c>
      <c r="G1244" s="8" t="s">
        <v>27</v>
      </c>
      <c r="H1244" s="8" t="s">
        <v>94</v>
      </c>
      <c r="I1244" s="8" t="s">
        <v>29</v>
      </c>
      <c r="J1244" s="8" t="s">
        <v>30</v>
      </c>
      <c r="K1244" s="8" t="s">
        <v>62</v>
      </c>
      <c r="L1244" s="8" t="s">
        <v>77</v>
      </c>
      <c r="M1244" s="8">
        <v>3</v>
      </c>
      <c r="N1244" s="10">
        <v>966.64</v>
      </c>
      <c r="O1244" s="11">
        <v>0.3</v>
      </c>
      <c r="P1244" s="10">
        <v>2029.94</v>
      </c>
      <c r="Q1244" s="10">
        <v>1377.8</v>
      </c>
      <c r="R1244" s="10">
        <v>652.14</v>
      </c>
      <c r="S1244" s="8" t="s">
        <v>63</v>
      </c>
      <c r="T1244" s="8" t="s">
        <v>78</v>
      </c>
      <c r="U1244" s="8">
        <v>4</v>
      </c>
      <c r="V1244" s="8" t="s">
        <v>157</v>
      </c>
    </row>
    <row r="1245" spans="1:22" x14ac:dyDescent="0.3">
      <c r="A1245" s="12" t="s">
        <v>2043</v>
      </c>
      <c r="B1245" s="13">
        <v>45798</v>
      </c>
      <c r="C1245" s="12" t="s">
        <v>86</v>
      </c>
      <c r="D1245" s="12" t="s">
        <v>87</v>
      </c>
      <c r="E1245" s="12" t="s">
        <v>59</v>
      </c>
      <c r="F1245" s="12" t="s">
        <v>2044</v>
      </c>
      <c r="G1245" s="12" t="s">
        <v>41</v>
      </c>
      <c r="H1245" s="12" t="s">
        <v>94</v>
      </c>
      <c r="I1245" s="12" t="s">
        <v>68</v>
      </c>
      <c r="J1245" s="12" t="s">
        <v>30</v>
      </c>
      <c r="K1245" s="12" t="s">
        <v>31</v>
      </c>
      <c r="L1245" s="12" t="s">
        <v>77</v>
      </c>
      <c r="M1245" s="12">
        <v>3</v>
      </c>
      <c r="N1245" s="14">
        <v>4132.54</v>
      </c>
      <c r="O1245" s="15">
        <v>0.05</v>
      </c>
      <c r="P1245" s="14">
        <v>11777.74</v>
      </c>
      <c r="Q1245" s="14">
        <v>6758.55</v>
      </c>
      <c r="R1245" s="14">
        <v>5019.1899999999996</v>
      </c>
      <c r="S1245" s="12" t="s">
        <v>46</v>
      </c>
      <c r="T1245" s="12" t="s">
        <v>54</v>
      </c>
      <c r="U1245" s="12">
        <v>4</v>
      </c>
      <c r="V1245" s="12" t="s">
        <v>134</v>
      </c>
    </row>
    <row r="1246" spans="1:22" x14ac:dyDescent="0.3">
      <c r="A1246" s="8" t="s">
        <v>2045</v>
      </c>
      <c r="B1246" s="9">
        <v>45812</v>
      </c>
      <c r="C1246" s="8" t="s">
        <v>113</v>
      </c>
      <c r="D1246" s="8" t="s">
        <v>114</v>
      </c>
      <c r="E1246" s="8" t="s">
        <v>59</v>
      </c>
      <c r="F1246" s="8" t="s">
        <v>1815</v>
      </c>
      <c r="G1246" s="8" t="s">
        <v>41</v>
      </c>
      <c r="H1246" s="8" t="s">
        <v>42</v>
      </c>
      <c r="I1246" s="8" t="s">
        <v>68</v>
      </c>
      <c r="J1246" s="8" t="s">
        <v>43</v>
      </c>
      <c r="K1246" s="8" t="s">
        <v>162</v>
      </c>
      <c r="L1246" s="8" t="s">
        <v>77</v>
      </c>
      <c r="M1246" s="8">
        <v>4</v>
      </c>
      <c r="N1246" s="10">
        <v>885.41</v>
      </c>
      <c r="O1246" s="11">
        <v>0.25</v>
      </c>
      <c r="P1246" s="10">
        <v>2656.23</v>
      </c>
      <c r="Q1246" s="10">
        <v>1635.97</v>
      </c>
      <c r="R1246" s="10">
        <v>1020.26</v>
      </c>
      <c r="S1246" s="8" t="s">
        <v>33</v>
      </c>
      <c r="T1246" s="8" t="s">
        <v>119</v>
      </c>
      <c r="U1246" s="8">
        <v>4</v>
      </c>
      <c r="V1246" s="8" t="s">
        <v>157</v>
      </c>
    </row>
    <row r="1247" spans="1:22" x14ac:dyDescent="0.3">
      <c r="A1247" s="12" t="s">
        <v>2046</v>
      </c>
      <c r="B1247" s="13">
        <v>45864</v>
      </c>
      <c r="C1247" s="12" t="s">
        <v>113</v>
      </c>
      <c r="D1247" s="12" t="s">
        <v>114</v>
      </c>
      <c r="E1247" s="12" t="s">
        <v>59</v>
      </c>
      <c r="F1247" s="12" t="s">
        <v>2047</v>
      </c>
      <c r="G1247" s="12" t="s">
        <v>41</v>
      </c>
      <c r="H1247" s="12" t="s">
        <v>81</v>
      </c>
      <c r="I1247" s="12" t="s">
        <v>61</v>
      </c>
      <c r="J1247" s="12" t="s">
        <v>69</v>
      </c>
      <c r="K1247" s="12" t="s">
        <v>180</v>
      </c>
      <c r="L1247" s="12" t="s">
        <v>91</v>
      </c>
      <c r="M1247" s="12">
        <v>1</v>
      </c>
      <c r="N1247" s="14">
        <v>1528.94</v>
      </c>
      <c r="O1247" s="15">
        <v>0.05</v>
      </c>
      <c r="P1247" s="14">
        <v>1452.49</v>
      </c>
      <c r="Q1247" s="14">
        <v>810.84</v>
      </c>
      <c r="R1247" s="14">
        <v>641.65</v>
      </c>
      <c r="S1247" s="12" t="s">
        <v>46</v>
      </c>
      <c r="T1247" s="12" t="s">
        <v>111</v>
      </c>
      <c r="U1247" s="12">
        <v>3</v>
      </c>
      <c r="V1247" s="12" t="s">
        <v>120</v>
      </c>
    </row>
    <row r="1248" spans="1:22" x14ac:dyDescent="0.3">
      <c r="A1248" s="8" t="s">
        <v>2048</v>
      </c>
      <c r="B1248" s="9">
        <v>45886</v>
      </c>
      <c r="C1248" s="8" t="s">
        <v>113</v>
      </c>
      <c r="D1248" s="8" t="s">
        <v>114</v>
      </c>
      <c r="E1248" s="8" t="s">
        <v>59</v>
      </c>
      <c r="F1248" s="8" t="s">
        <v>1279</v>
      </c>
      <c r="G1248" s="8" t="s">
        <v>41</v>
      </c>
      <c r="H1248" s="8" t="s">
        <v>94</v>
      </c>
      <c r="I1248" s="8" t="s">
        <v>29</v>
      </c>
      <c r="J1248" s="8" t="s">
        <v>69</v>
      </c>
      <c r="K1248" s="8" t="s">
        <v>137</v>
      </c>
      <c r="L1248" s="8" t="s">
        <v>82</v>
      </c>
      <c r="M1248" s="8">
        <v>5</v>
      </c>
      <c r="N1248" s="10">
        <v>504.73</v>
      </c>
      <c r="O1248" s="11">
        <v>0</v>
      </c>
      <c r="P1248" s="10">
        <v>2523.65</v>
      </c>
      <c r="Q1248" s="10">
        <v>1139.6300000000001</v>
      </c>
      <c r="R1248" s="10">
        <v>1384.02</v>
      </c>
      <c r="S1248" s="8" t="s">
        <v>33</v>
      </c>
      <c r="T1248" s="8" t="s">
        <v>71</v>
      </c>
      <c r="U1248" s="8">
        <v>4</v>
      </c>
      <c r="V1248" s="8" t="s">
        <v>72</v>
      </c>
    </row>
    <row r="1249" spans="1:22" x14ac:dyDescent="0.3">
      <c r="A1249" s="12" t="s">
        <v>2049</v>
      </c>
      <c r="B1249" s="13">
        <v>45944</v>
      </c>
      <c r="C1249" s="12" t="s">
        <v>57</v>
      </c>
      <c r="D1249" s="12" t="s">
        <v>58</v>
      </c>
      <c r="E1249" s="12" t="s">
        <v>59</v>
      </c>
      <c r="F1249" s="12" t="s">
        <v>281</v>
      </c>
      <c r="G1249" s="12" t="s">
        <v>41</v>
      </c>
      <c r="H1249" s="12" t="s">
        <v>94</v>
      </c>
      <c r="I1249" s="12" t="s">
        <v>29</v>
      </c>
      <c r="J1249" s="12" t="s">
        <v>43</v>
      </c>
      <c r="K1249" s="12" t="s">
        <v>44</v>
      </c>
      <c r="L1249" s="12" t="s">
        <v>45</v>
      </c>
      <c r="M1249" s="12">
        <v>2</v>
      </c>
      <c r="N1249" s="14">
        <v>597.44000000000005</v>
      </c>
      <c r="O1249" s="15">
        <v>0.3</v>
      </c>
      <c r="P1249" s="14">
        <v>836.42</v>
      </c>
      <c r="Q1249" s="14">
        <v>523.91999999999996</v>
      </c>
      <c r="R1249" s="14">
        <v>312.5</v>
      </c>
      <c r="S1249" s="12" t="s">
        <v>63</v>
      </c>
      <c r="T1249" s="12" t="s">
        <v>71</v>
      </c>
      <c r="U1249" s="12">
        <v>4</v>
      </c>
      <c r="V1249" s="12" t="s">
        <v>123</v>
      </c>
    </row>
    <row r="1250" spans="1:22" x14ac:dyDescent="0.3">
      <c r="A1250" s="8" t="s">
        <v>2050</v>
      </c>
      <c r="B1250" s="9">
        <v>45736</v>
      </c>
      <c r="C1250" s="8" t="s">
        <v>37</v>
      </c>
      <c r="D1250" s="8" t="s">
        <v>38</v>
      </c>
      <c r="E1250" s="8" t="s">
        <v>39</v>
      </c>
      <c r="F1250" s="8" t="s">
        <v>372</v>
      </c>
      <c r="G1250" s="8" t="s">
        <v>27</v>
      </c>
      <c r="H1250" s="8" t="s">
        <v>81</v>
      </c>
      <c r="I1250" s="8" t="s">
        <v>68</v>
      </c>
      <c r="J1250" s="8" t="s">
        <v>101</v>
      </c>
      <c r="K1250" s="8" t="s">
        <v>110</v>
      </c>
      <c r="L1250" s="8" t="s">
        <v>91</v>
      </c>
      <c r="M1250" s="8">
        <v>2</v>
      </c>
      <c r="N1250" s="10">
        <v>4951.28</v>
      </c>
      <c r="O1250" s="11">
        <v>0.25</v>
      </c>
      <c r="P1250" s="10">
        <v>7426.92</v>
      </c>
      <c r="Q1250" s="10">
        <v>6262.2</v>
      </c>
      <c r="R1250" s="10">
        <v>1164.72</v>
      </c>
      <c r="S1250" s="8" t="s">
        <v>46</v>
      </c>
      <c r="T1250" s="8" t="s">
        <v>34</v>
      </c>
      <c r="U1250" s="8">
        <v>3</v>
      </c>
      <c r="V1250" s="8" t="s">
        <v>55</v>
      </c>
    </row>
    <row r="1251" spans="1:22" x14ac:dyDescent="0.3">
      <c r="A1251" s="12" t="s">
        <v>2051</v>
      </c>
      <c r="B1251" s="13">
        <v>45697</v>
      </c>
      <c r="C1251" s="12" t="s">
        <v>86</v>
      </c>
      <c r="D1251" s="12" t="s">
        <v>87</v>
      </c>
      <c r="E1251" s="12" t="s">
        <v>59</v>
      </c>
      <c r="F1251" s="12" t="s">
        <v>2052</v>
      </c>
      <c r="G1251" s="12" t="s">
        <v>27</v>
      </c>
      <c r="H1251" s="12" t="s">
        <v>42</v>
      </c>
      <c r="I1251" s="12" t="s">
        <v>61</v>
      </c>
      <c r="J1251" s="12" t="s">
        <v>75</v>
      </c>
      <c r="K1251" s="12" t="s">
        <v>154</v>
      </c>
      <c r="L1251" s="12" t="s">
        <v>175</v>
      </c>
      <c r="M1251" s="12">
        <v>4</v>
      </c>
      <c r="N1251" s="14">
        <v>1921.21</v>
      </c>
      <c r="O1251" s="15">
        <v>0.2</v>
      </c>
      <c r="P1251" s="14">
        <v>6147.87</v>
      </c>
      <c r="Q1251" s="14">
        <v>4263.1400000000003</v>
      </c>
      <c r="R1251" s="14">
        <v>1884.73</v>
      </c>
      <c r="S1251" s="12" t="s">
        <v>33</v>
      </c>
      <c r="T1251" s="12" t="s">
        <v>147</v>
      </c>
      <c r="U1251" s="12">
        <v>4</v>
      </c>
      <c r="V1251" s="12" t="s">
        <v>105</v>
      </c>
    </row>
    <row r="1252" spans="1:22" x14ac:dyDescent="0.3">
      <c r="A1252" s="8" t="s">
        <v>2053</v>
      </c>
      <c r="B1252" s="9">
        <v>45942</v>
      </c>
      <c r="C1252" s="8" t="s">
        <v>113</v>
      </c>
      <c r="D1252" s="8" t="s">
        <v>114</v>
      </c>
      <c r="E1252" s="8" t="s">
        <v>59</v>
      </c>
      <c r="F1252" s="8" t="s">
        <v>2054</v>
      </c>
      <c r="G1252" s="8" t="s">
        <v>27</v>
      </c>
      <c r="H1252" s="8" t="s">
        <v>81</v>
      </c>
      <c r="I1252" s="8" t="s">
        <v>61</v>
      </c>
      <c r="J1252" s="8" t="s">
        <v>75</v>
      </c>
      <c r="K1252" s="8" t="s">
        <v>76</v>
      </c>
      <c r="L1252" s="8" t="s">
        <v>91</v>
      </c>
      <c r="M1252" s="8">
        <v>4</v>
      </c>
      <c r="N1252" s="10">
        <v>805.35</v>
      </c>
      <c r="O1252" s="11">
        <v>0.1</v>
      </c>
      <c r="P1252" s="10">
        <v>2899.26</v>
      </c>
      <c r="Q1252" s="10">
        <v>1336.56</v>
      </c>
      <c r="R1252" s="10">
        <v>1562.7</v>
      </c>
      <c r="S1252" s="8" t="s">
        <v>63</v>
      </c>
      <c r="T1252" s="8" t="s">
        <v>147</v>
      </c>
      <c r="U1252" s="8">
        <v>3</v>
      </c>
      <c r="V1252" s="8" t="s">
        <v>123</v>
      </c>
    </row>
    <row r="1253" spans="1:22" x14ac:dyDescent="0.3">
      <c r="A1253" s="12" t="s">
        <v>2055</v>
      </c>
      <c r="B1253" s="13">
        <v>45768</v>
      </c>
      <c r="C1253" s="12" t="s">
        <v>48</v>
      </c>
      <c r="D1253" s="12" t="s">
        <v>49</v>
      </c>
      <c r="E1253" s="12" t="s">
        <v>39</v>
      </c>
      <c r="F1253" s="12" t="s">
        <v>764</v>
      </c>
      <c r="G1253" s="12" t="s">
        <v>41</v>
      </c>
      <c r="H1253" s="12" t="s">
        <v>81</v>
      </c>
      <c r="I1253" s="12" t="s">
        <v>61</v>
      </c>
      <c r="J1253" s="12" t="s">
        <v>75</v>
      </c>
      <c r="K1253" s="12" t="s">
        <v>154</v>
      </c>
      <c r="L1253" s="12" t="s">
        <v>175</v>
      </c>
      <c r="M1253" s="12">
        <v>5</v>
      </c>
      <c r="N1253" s="14">
        <v>1953.81</v>
      </c>
      <c r="O1253" s="15">
        <v>0.25</v>
      </c>
      <c r="P1253" s="14">
        <v>7326.79</v>
      </c>
      <c r="Q1253" s="14">
        <v>5350.15</v>
      </c>
      <c r="R1253" s="14">
        <v>1976.64</v>
      </c>
      <c r="S1253" s="12" t="s">
        <v>46</v>
      </c>
      <c r="T1253" s="12" t="s">
        <v>34</v>
      </c>
      <c r="U1253" s="12">
        <v>5</v>
      </c>
      <c r="V1253" s="12" t="s">
        <v>96</v>
      </c>
    </row>
    <row r="1254" spans="1:22" x14ac:dyDescent="0.3">
      <c r="A1254" s="8" t="s">
        <v>2056</v>
      </c>
      <c r="B1254" s="9">
        <v>45812</v>
      </c>
      <c r="C1254" s="8" t="s">
        <v>57</v>
      </c>
      <c r="D1254" s="8" t="s">
        <v>58</v>
      </c>
      <c r="E1254" s="8" t="s">
        <v>59</v>
      </c>
      <c r="F1254" s="8" t="s">
        <v>202</v>
      </c>
      <c r="G1254" s="8" t="s">
        <v>41</v>
      </c>
      <c r="H1254" s="8" t="s">
        <v>81</v>
      </c>
      <c r="I1254" s="8" t="s">
        <v>61</v>
      </c>
      <c r="J1254" s="8" t="s">
        <v>101</v>
      </c>
      <c r="K1254" s="8" t="s">
        <v>217</v>
      </c>
      <c r="L1254" s="8" t="s">
        <v>103</v>
      </c>
      <c r="M1254" s="8">
        <v>4</v>
      </c>
      <c r="N1254" s="10">
        <v>2915.9</v>
      </c>
      <c r="O1254" s="11">
        <v>0.05</v>
      </c>
      <c r="P1254" s="10">
        <v>11080.42</v>
      </c>
      <c r="Q1254" s="10">
        <v>6560.51</v>
      </c>
      <c r="R1254" s="10">
        <v>4519.91</v>
      </c>
      <c r="S1254" s="8" t="s">
        <v>46</v>
      </c>
      <c r="T1254" s="8" t="s">
        <v>78</v>
      </c>
      <c r="U1254" s="8">
        <v>4</v>
      </c>
      <c r="V1254" s="8" t="s">
        <v>157</v>
      </c>
    </row>
    <row r="1255" spans="1:22" x14ac:dyDescent="0.3">
      <c r="A1255" s="12" t="s">
        <v>2057</v>
      </c>
      <c r="B1255" s="13">
        <v>45994</v>
      </c>
      <c r="C1255" s="12" t="s">
        <v>23</v>
      </c>
      <c r="D1255" s="12" t="s">
        <v>24</v>
      </c>
      <c r="E1255" s="12" t="s">
        <v>25</v>
      </c>
      <c r="F1255" s="12" t="s">
        <v>2058</v>
      </c>
      <c r="G1255" s="12" t="s">
        <v>41</v>
      </c>
      <c r="H1255" s="12" t="s">
        <v>42</v>
      </c>
      <c r="I1255" s="12" t="s">
        <v>29</v>
      </c>
      <c r="J1255" s="12" t="s">
        <v>75</v>
      </c>
      <c r="K1255" s="12" t="s">
        <v>76</v>
      </c>
      <c r="L1255" s="12" t="s">
        <v>52</v>
      </c>
      <c r="M1255" s="12">
        <v>5</v>
      </c>
      <c r="N1255" s="14">
        <v>810.5</v>
      </c>
      <c r="O1255" s="15">
        <v>0.25</v>
      </c>
      <c r="P1255" s="14">
        <v>3039.38</v>
      </c>
      <c r="Q1255" s="14">
        <v>1742.83</v>
      </c>
      <c r="R1255" s="14">
        <v>1296.55</v>
      </c>
      <c r="S1255" s="12" t="s">
        <v>53</v>
      </c>
      <c r="T1255" s="12" t="s">
        <v>34</v>
      </c>
      <c r="U1255" s="12">
        <v>5</v>
      </c>
      <c r="V1255" s="12" t="s">
        <v>35</v>
      </c>
    </row>
    <row r="1256" spans="1:22" x14ac:dyDescent="0.3">
      <c r="A1256" s="8" t="s">
        <v>2059</v>
      </c>
      <c r="B1256" s="9">
        <v>45995</v>
      </c>
      <c r="C1256" s="8" t="s">
        <v>113</v>
      </c>
      <c r="D1256" s="8" t="s">
        <v>114</v>
      </c>
      <c r="E1256" s="8" t="s">
        <v>59</v>
      </c>
      <c r="F1256" s="8" t="s">
        <v>668</v>
      </c>
      <c r="G1256" s="8" t="s">
        <v>27</v>
      </c>
      <c r="H1256" s="8" t="s">
        <v>94</v>
      </c>
      <c r="I1256" s="8" t="s">
        <v>68</v>
      </c>
      <c r="J1256" s="8" t="s">
        <v>69</v>
      </c>
      <c r="K1256" s="8" t="s">
        <v>70</v>
      </c>
      <c r="L1256" s="8" t="s">
        <v>32</v>
      </c>
      <c r="M1256" s="8">
        <v>5</v>
      </c>
      <c r="N1256" s="10">
        <v>896.99</v>
      </c>
      <c r="O1256" s="11">
        <v>0.2</v>
      </c>
      <c r="P1256" s="10">
        <v>3587.96</v>
      </c>
      <c r="Q1256" s="10">
        <v>2221.0500000000002</v>
      </c>
      <c r="R1256" s="10">
        <v>1366.91</v>
      </c>
      <c r="S1256" s="8" t="s">
        <v>53</v>
      </c>
      <c r="T1256" s="8" t="s">
        <v>78</v>
      </c>
      <c r="U1256" s="8">
        <v>4</v>
      </c>
      <c r="V1256" s="8" t="s">
        <v>35</v>
      </c>
    </row>
    <row r="1257" spans="1:22" x14ac:dyDescent="0.3">
      <c r="A1257" s="12" t="s">
        <v>2060</v>
      </c>
      <c r="B1257" s="13">
        <v>45834</v>
      </c>
      <c r="C1257" s="12" t="s">
        <v>86</v>
      </c>
      <c r="D1257" s="12" t="s">
        <v>87</v>
      </c>
      <c r="E1257" s="12" t="s">
        <v>59</v>
      </c>
      <c r="F1257" s="12" t="s">
        <v>2061</v>
      </c>
      <c r="G1257" s="12" t="s">
        <v>27</v>
      </c>
      <c r="H1257" s="12" t="s">
        <v>28</v>
      </c>
      <c r="I1257" s="12" t="s">
        <v>68</v>
      </c>
      <c r="J1257" s="12" t="s">
        <v>101</v>
      </c>
      <c r="K1257" s="12" t="s">
        <v>217</v>
      </c>
      <c r="L1257" s="12" t="s">
        <v>77</v>
      </c>
      <c r="M1257" s="12">
        <v>1</v>
      </c>
      <c r="N1257" s="14">
        <v>2878.95</v>
      </c>
      <c r="O1257" s="15">
        <v>0.1</v>
      </c>
      <c r="P1257" s="14">
        <v>2591.0500000000002</v>
      </c>
      <c r="Q1257" s="14">
        <v>1727.01</v>
      </c>
      <c r="R1257" s="14">
        <v>864.04</v>
      </c>
      <c r="S1257" s="12" t="s">
        <v>53</v>
      </c>
      <c r="T1257" s="12" t="s">
        <v>54</v>
      </c>
      <c r="U1257" s="12">
        <v>4</v>
      </c>
      <c r="V1257" s="12" t="s">
        <v>157</v>
      </c>
    </row>
    <row r="1258" spans="1:22" x14ac:dyDescent="0.3">
      <c r="A1258" s="8" t="s">
        <v>2062</v>
      </c>
      <c r="B1258" s="9">
        <v>45714</v>
      </c>
      <c r="C1258" s="8" t="s">
        <v>23</v>
      </c>
      <c r="D1258" s="8" t="s">
        <v>24</v>
      </c>
      <c r="E1258" s="8" t="s">
        <v>25</v>
      </c>
      <c r="F1258" s="8" t="s">
        <v>149</v>
      </c>
      <c r="G1258" s="8" t="s">
        <v>27</v>
      </c>
      <c r="H1258" s="8" t="s">
        <v>42</v>
      </c>
      <c r="I1258" s="8" t="s">
        <v>29</v>
      </c>
      <c r="J1258" s="8" t="s">
        <v>30</v>
      </c>
      <c r="K1258" s="8" t="s">
        <v>62</v>
      </c>
      <c r="L1258" s="8" t="s">
        <v>175</v>
      </c>
      <c r="M1258" s="8">
        <v>5</v>
      </c>
      <c r="N1258" s="10">
        <v>1022.71</v>
      </c>
      <c r="O1258" s="11">
        <v>0.25</v>
      </c>
      <c r="P1258" s="10">
        <v>3835.16</v>
      </c>
      <c r="Q1258" s="10">
        <v>2356.44</v>
      </c>
      <c r="R1258" s="10">
        <v>1478.72</v>
      </c>
      <c r="S1258" s="8" t="s">
        <v>63</v>
      </c>
      <c r="T1258" s="8" t="s">
        <v>78</v>
      </c>
      <c r="U1258" s="8">
        <v>5</v>
      </c>
      <c r="V1258" s="8" t="s">
        <v>105</v>
      </c>
    </row>
    <row r="1259" spans="1:22" x14ac:dyDescent="0.3">
      <c r="A1259" s="12" t="s">
        <v>2063</v>
      </c>
      <c r="B1259" s="13">
        <v>45870</v>
      </c>
      <c r="C1259" s="12" t="s">
        <v>86</v>
      </c>
      <c r="D1259" s="12" t="s">
        <v>87</v>
      </c>
      <c r="E1259" s="12" t="s">
        <v>59</v>
      </c>
      <c r="F1259" s="12" t="s">
        <v>2064</v>
      </c>
      <c r="G1259" s="12" t="s">
        <v>27</v>
      </c>
      <c r="H1259" s="12" t="s">
        <v>81</v>
      </c>
      <c r="I1259" s="12" t="s">
        <v>61</v>
      </c>
      <c r="J1259" s="12" t="s">
        <v>75</v>
      </c>
      <c r="K1259" s="12" t="s">
        <v>154</v>
      </c>
      <c r="L1259" s="12" t="s">
        <v>175</v>
      </c>
      <c r="M1259" s="12">
        <v>4</v>
      </c>
      <c r="N1259" s="14">
        <v>2051.94</v>
      </c>
      <c r="O1259" s="15">
        <v>0.25</v>
      </c>
      <c r="P1259" s="14">
        <v>6155.82</v>
      </c>
      <c r="Q1259" s="14">
        <v>4230.42</v>
      </c>
      <c r="R1259" s="14">
        <v>1925.4</v>
      </c>
      <c r="S1259" s="12" t="s">
        <v>83</v>
      </c>
      <c r="T1259" s="12" t="s">
        <v>147</v>
      </c>
      <c r="U1259" s="12">
        <v>5</v>
      </c>
      <c r="V1259" s="12" t="s">
        <v>72</v>
      </c>
    </row>
    <row r="1260" spans="1:22" x14ac:dyDescent="0.3">
      <c r="A1260" s="8" t="s">
        <v>2065</v>
      </c>
      <c r="B1260" s="9">
        <v>45993</v>
      </c>
      <c r="C1260" s="8" t="s">
        <v>113</v>
      </c>
      <c r="D1260" s="8" t="s">
        <v>114</v>
      </c>
      <c r="E1260" s="8" t="s">
        <v>59</v>
      </c>
      <c r="F1260" s="8" t="s">
        <v>2066</v>
      </c>
      <c r="G1260" s="8" t="s">
        <v>27</v>
      </c>
      <c r="H1260" s="8" t="s">
        <v>81</v>
      </c>
      <c r="I1260" s="8" t="s">
        <v>61</v>
      </c>
      <c r="J1260" s="8" t="s">
        <v>89</v>
      </c>
      <c r="K1260" s="8" t="s">
        <v>90</v>
      </c>
      <c r="L1260" s="8" t="s">
        <v>52</v>
      </c>
      <c r="M1260" s="8">
        <v>5</v>
      </c>
      <c r="N1260" s="10">
        <v>3590.51</v>
      </c>
      <c r="O1260" s="11">
        <v>0.25</v>
      </c>
      <c r="P1260" s="10">
        <v>13464.41</v>
      </c>
      <c r="Q1260" s="10">
        <v>10304.540000000001</v>
      </c>
      <c r="R1260" s="10">
        <v>3159.87</v>
      </c>
      <c r="S1260" s="8" t="s">
        <v>33</v>
      </c>
      <c r="T1260" s="8" t="s">
        <v>104</v>
      </c>
      <c r="U1260" s="8">
        <v>4</v>
      </c>
      <c r="V1260" s="8" t="s">
        <v>35</v>
      </c>
    </row>
    <row r="1261" spans="1:22" x14ac:dyDescent="0.3">
      <c r="A1261" s="12" t="s">
        <v>2067</v>
      </c>
      <c r="B1261" s="13">
        <v>45765</v>
      </c>
      <c r="C1261" s="12" t="s">
        <v>86</v>
      </c>
      <c r="D1261" s="12" t="s">
        <v>87</v>
      </c>
      <c r="E1261" s="12" t="s">
        <v>59</v>
      </c>
      <c r="F1261" s="12" t="s">
        <v>2068</v>
      </c>
      <c r="G1261" s="12" t="s">
        <v>27</v>
      </c>
      <c r="H1261" s="12" t="s">
        <v>28</v>
      </c>
      <c r="I1261" s="12" t="s">
        <v>29</v>
      </c>
      <c r="J1261" s="12" t="s">
        <v>43</v>
      </c>
      <c r="K1261" s="12" t="s">
        <v>51</v>
      </c>
      <c r="L1261" s="12" t="s">
        <v>82</v>
      </c>
      <c r="M1261" s="12">
        <v>3</v>
      </c>
      <c r="N1261" s="14">
        <v>1566.66</v>
      </c>
      <c r="O1261" s="15">
        <v>0.15</v>
      </c>
      <c r="P1261" s="14">
        <v>3994.98</v>
      </c>
      <c r="Q1261" s="14">
        <v>2018.02</v>
      </c>
      <c r="R1261" s="14">
        <v>1976.96</v>
      </c>
      <c r="S1261" s="12" t="s">
        <v>53</v>
      </c>
      <c r="T1261" s="12" t="s">
        <v>111</v>
      </c>
      <c r="U1261" s="12">
        <v>5</v>
      </c>
      <c r="V1261" s="12" t="s">
        <v>96</v>
      </c>
    </row>
    <row r="1262" spans="1:22" x14ac:dyDescent="0.3">
      <c r="A1262" s="8" t="s">
        <v>2069</v>
      </c>
      <c r="B1262" s="9">
        <v>45975</v>
      </c>
      <c r="C1262" s="8" t="s">
        <v>131</v>
      </c>
      <c r="D1262" s="8" t="s">
        <v>132</v>
      </c>
      <c r="E1262" s="8" t="s">
        <v>25</v>
      </c>
      <c r="F1262" s="8" t="s">
        <v>2070</v>
      </c>
      <c r="G1262" s="8" t="s">
        <v>41</v>
      </c>
      <c r="H1262" s="8" t="s">
        <v>94</v>
      </c>
      <c r="I1262" s="8" t="s">
        <v>29</v>
      </c>
      <c r="J1262" s="8" t="s">
        <v>43</v>
      </c>
      <c r="K1262" s="8" t="s">
        <v>162</v>
      </c>
      <c r="L1262" s="8" t="s">
        <v>52</v>
      </c>
      <c r="M1262" s="8">
        <v>3</v>
      </c>
      <c r="N1262" s="10">
        <v>876.03</v>
      </c>
      <c r="O1262" s="11">
        <v>0.3</v>
      </c>
      <c r="P1262" s="10">
        <v>1839.66</v>
      </c>
      <c r="Q1262" s="10">
        <v>1220.82</v>
      </c>
      <c r="R1262" s="10">
        <v>618.84</v>
      </c>
      <c r="S1262" s="8" t="s">
        <v>83</v>
      </c>
      <c r="T1262" s="8" t="s">
        <v>78</v>
      </c>
      <c r="U1262" s="8">
        <v>4</v>
      </c>
      <c r="V1262" s="8" t="s">
        <v>65</v>
      </c>
    </row>
    <row r="1263" spans="1:22" x14ac:dyDescent="0.3">
      <c r="A1263" s="12" t="s">
        <v>2071</v>
      </c>
      <c r="B1263" s="13">
        <v>45774</v>
      </c>
      <c r="C1263" s="12" t="s">
        <v>98</v>
      </c>
      <c r="D1263" s="12" t="s">
        <v>99</v>
      </c>
      <c r="E1263" s="12" t="s">
        <v>25</v>
      </c>
      <c r="F1263" s="12" t="s">
        <v>2072</v>
      </c>
      <c r="G1263" s="12" t="s">
        <v>27</v>
      </c>
      <c r="H1263" s="12" t="s">
        <v>81</v>
      </c>
      <c r="I1263" s="12" t="s">
        <v>68</v>
      </c>
      <c r="J1263" s="12" t="s">
        <v>43</v>
      </c>
      <c r="K1263" s="12" t="s">
        <v>162</v>
      </c>
      <c r="L1263" s="12" t="s">
        <v>32</v>
      </c>
      <c r="M1263" s="12">
        <v>1</v>
      </c>
      <c r="N1263" s="14">
        <v>886.37</v>
      </c>
      <c r="O1263" s="15">
        <v>0.15</v>
      </c>
      <c r="P1263" s="14">
        <v>753.41</v>
      </c>
      <c r="Q1263" s="14">
        <v>389.31</v>
      </c>
      <c r="R1263" s="14">
        <v>364.1</v>
      </c>
      <c r="S1263" s="12" t="s">
        <v>53</v>
      </c>
      <c r="T1263" s="12" t="s">
        <v>156</v>
      </c>
      <c r="U1263" s="12">
        <v>4</v>
      </c>
      <c r="V1263" s="12" t="s">
        <v>96</v>
      </c>
    </row>
    <row r="1264" spans="1:22" x14ac:dyDescent="0.3">
      <c r="A1264" s="8" t="s">
        <v>2073</v>
      </c>
      <c r="B1264" s="9">
        <v>45988</v>
      </c>
      <c r="C1264" s="8" t="s">
        <v>113</v>
      </c>
      <c r="D1264" s="8" t="s">
        <v>114</v>
      </c>
      <c r="E1264" s="8" t="s">
        <v>59</v>
      </c>
      <c r="F1264" s="8" t="s">
        <v>2074</v>
      </c>
      <c r="G1264" s="8" t="s">
        <v>27</v>
      </c>
      <c r="H1264" s="8" t="s">
        <v>94</v>
      </c>
      <c r="I1264" s="8" t="s">
        <v>29</v>
      </c>
      <c r="J1264" s="8" t="s">
        <v>75</v>
      </c>
      <c r="K1264" s="8" t="s">
        <v>76</v>
      </c>
      <c r="L1264" s="8" t="s">
        <v>103</v>
      </c>
      <c r="M1264" s="8">
        <v>1</v>
      </c>
      <c r="N1264" s="10">
        <v>790.52</v>
      </c>
      <c r="O1264" s="11">
        <v>0.1</v>
      </c>
      <c r="P1264" s="10">
        <v>711.47</v>
      </c>
      <c r="Q1264" s="10">
        <v>337.1</v>
      </c>
      <c r="R1264" s="10">
        <v>374.37</v>
      </c>
      <c r="S1264" s="8" t="s">
        <v>33</v>
      </c>
      <c r="T1264" s="8" t="s">
        <v>34</v>
      </c>
      <c r="U1264" s="8">
        <v>3</v>
      </c>
      <c r="V1264" s="8" t="s">
        <v>65</v>
      </c>
    </row>
    <row r="1265" spans="1:22" x14ac:dyDescent="0.3">
      <c r="A1265" s="12" t="s">
        <v>2075</v>
      </c>
      <c r="B1265" s="13">
        <v>45759</v>
      </c>
      <c r="C1265" s="12" t="s">
        <v>48</v>
      </c>
      <c r="D1265" s="12" t="s">
        <v>49</v>
      </c>
      <c r="E1265" s="12" t="s">
        <v>39</v>
      </c>
      <c r="F1265" s="12" t="s">
        <v>1338</v>
      </c>
      <c r="G1265" s="12" t="s">
        <v>27</v>
      </c>
      <c r="H1265" s="12" t="s">
        <v>94</v>
      </c>
      <c r="I1265" s="12" t="s">
        <v>61</v>
      </c>
      <c r="J1265" s="12" t="s">
        <v>30</v>
      </c>
      <c r="K1265" s="12" t="s">
        <v>62</v>
      </c>
      <c r="L1265" s="12" t="s">
        <v>82</v>
      </c>
      <c r="M1265" s="12">
        <v>3</v>
      </c>
      <c r="N1265" s="14">
        <v>1012.52</v>
      </c>
      <c r="O1265" s="15">
        <v>0.05</v>
      </c>
      <c r="P1265" s="14">
        <v>2885.68</v>
      </c>
      <c r="Q1265" s="14">
        <v>1395.79</v>
      </c>
      <c r="R1265" s="14">
        <v>1489.89</v>
      </c>
      <c r="S1265" s="12" t="s">
        <v>83</v>
      </c>
      <c r="T1265" s="12" t="s">
        <v>34</v>
      </c>
      <c r="U1265" s="12">
        <v>3</v>
      </c>
      <c r="V1265" s="12" t="s">
        <v>96</v>
      </c>
    </row>
    <row r="1266" spans="1:22" x14ac:dyDescent="0.3">
      <c r="A1266" s="8" t="s">
        <v>2076</v>
      </c>
      <c r="B1266" s="9">
        <v>45988</v>
      </c>
      <c r="C1266" s="8" t="s">
        <v>107</v>
      </c>
      <c r="D1266" s="8" t="s">
        <v>108</v>
      </c>
      <c r="E1266" s="8" t="s">
        <v>39</v>
      </c>
      <c r="F1266" s="8" t="s">
        <v>1294</v>
      </c>
      <c r="G1266" s="8" t="s">
        <v>41</v>
      </c>
      <c r="H1266" s="8" t="s">
        <v>81</v>
      </c>
      <c r="I1266" s="8" t="s">
        <v>29</v>
      </c>
      <c r="J1266" s="8" t="s">
        <v>89</v>
      </c>
      <c r="K1266" s="8" t="s">
        <v>151</v>
      </c>
      <c r="L1266" s="8" t="s">
        <v>32</v>
      </c>
      <c r="M1266" s="8">
        <v>4</v>
      </c>
      <c r="N1266" s="10">
        <v>995.96</v>
      </c>
      <c r="O1266" s="11">
        <v>0.15</v>
      </c>
      <c r="P1266" s="10">
        <v>3386.26</v>
      </c>
      <c r="Q1266" s="10">
        <v>2036.59</v>
      </c>
      <c r="R1266" s="10">
        <v>1349.67</v>
      </c>
      <c r="S1266" s="8" t="s">
        <v>33</v>
      </c>
      <c r="T1266" s="8" t="s">
        <v>104</v>
      </c>
      <c r="U1266" s="8">
        <v>4</v>
      </c>
      <c r="V1266" s="8" t="s">
        <v>65</v>
      </c>
    </row>
    <row r="1267" spans="1:22" x14ac:dyDescent="0.3">
      <c r="A1267" s="12" t="s">
        <v>2077</v>
      </c>
      <c r="B1267" s="13">
        <v>45788</v>
      </c>
      <c r="C1267" s="12" t="s">
        <v>131</v>
      </c>
      <c r="D1267" s="12" t="s">
        <v>132</v>
      </c>
      <c r="E1267" s="12" t="s">
        <v>25</v>
      </c>
      <c r="F1267" s="12" t="s">
        <v>1723</v>
      </c>
      <c r="G1267" s="12" t="s">
        <v>27</v>
      </c>
      <c r="H1267" s="12" t="s">
        <v>94</v>
      </c>
      <c r="I1267" s="12" t="s">
        <v>29</v>
      </c>
      <c r="J1267" s="12" t="s">
        <v>101</v>
      </c>
      <c r="K1267" s="12" t="s">
        <v>110</v>
      </c>
      <c r="L1267" s="12" t="s">
        <v>45</v>
      </c>
      <c r="M1267" s="12">
        <v>5</v>
      </c>
      <c r="N1267" s="14">
        <v>5012.3900000000003</v>
      </c>
      <c r="O1267" s="15">
        <v>0.25</v>
      </c>
      <c r="P1267" s="14">
        <v>18796.46</v>
      </c>
      <c r="Q1267" s="14">
        <v>16550.349999999999</v>
      </c>
      <c r="R1267" s="14">
        <v>2246.11</v>
      </c>
      <c r="S1267" s="12" t="s">
        <v>33</v>
      </c>
      <c r="T1267" s="12" t="s">
        <v>119</v>
      </c>
      <c r="U1267" s="12">
        <v>4</v>
      </c>
      <c r="V1267" s="12" t="s">
        <v>134</v>
      </c>
    </row>
    <row r="1268" spans="1:22" x14ac:dyDescent="0.3">
      <c r="A1268" s="8" t="s">
        <v>2078</v>
      </c>
      <c r="B1268" s="9">
        <v>45747</v>
      </c>
      <c r="C1268" s="8" t="s">
        <v>23</v>
      </c>
      <c r="D1268" s="8" t="s">
        <v>24</v>
      </c>
      <c r="E1268" s="8" t="s">
        <v>25</v>
      </c>
      <c r="F1268" s="8" t="s">
        <v>210</v>
      </c>
      <c r="G1268" s="8" t="s">
        <v>27</v>
      </c>
      <c r="H1268" s="8" t="s">
        <v>94</v>
      </c>
      <c r="I1268" s="8" t="s">
        <v>68</v>
      </c>
      <c r="J1268" s="8" t="s">
        <v>89</v>
      </c>
      <c r="K1268" s="8" t="s">
        <v>151</v>
      </c>
      <c r="L1268" s="8" t="s">
        <v>52</v>
      </c>
      <c r="M1268" s="8">
        <v>2</v>
      </c>
      <c r="N1268" s="10">
        <v>992.21</v>
      </c>
      <c r="O1268" s="11">
        <v>0.25</v>
      </c>
      <c r="P1268" s="10">
        <v>1488.32</v>
      </c>
      <c r="Q1268" s="10">
        <v>976.65</v>
      </c>
      <c r="R1268" s="10">
        <v>511.67</v>
      </c>
      <c r="S1268" s="8" t="s">
        <v>46</v>
      </c>
      <c r="T1268" s="8" t="s">
        <v>34</v>
      </c>
      <c r="U1268" s="8">
        <v>5</v>
      </c>
      <c r="V1268" s="8" t="s">
        <v>55</v>
      </c>
    </row>
    <row r="1269" spans="1:22" x14ac:dyDescent="0.3">
      <c r="A1269" s="12" t="s">
        <v>2079</v>
      </c>
      <c r="B1269" s="13">
        <v>45849</v>
      </c>
      <c r="C1269" s="12" t="s">
        <v>131</v>
      </c>
      <c r="D1269" s="12" t="s">
        <v>132</v>
      </c>
      <c r="E1269" s="12" t="s">
        <v>25</v>
      </c>
      <c r="F1269" s="12" t="s">
        <v>518</v>
      </c>
      <c r="G1269" s="12" t="s">
        <v>27</v>
      </c>
      <c r="H1269" s="12" t="s">
        <v>28</v>
      </c>
      <c r="I1269" s="12" t="s">
        <v>68</v>
      </c>
      <c r="J1269" s="12" t="s">
        <v>43</v>
      </c>
      <c r="K1269" s="12" t="s">
        <v>44</v>
      </c>
      <c r="L1269" s="12" t="s">
        <v>103</v>
      </c>
      <c r="M1269" s="12">
        <v>4</v>
      </c>
      <c r="N1269" s="14">
        <v>598.66</v>
      </c>
      <c r="O1269" s="15">
        <v>0.25</v>
      </c>
      <c r="P1269" s="14">
        <v>1795.98</v>
      </c>
      <c r="Q1269" s="14">
        <v>1013.5</v>
      </c>
      <c r="R1269" s="14">
        <v>782.48</v>
      </c>
      <c r="S1269" s="12" t="s">
        <v>46</v>
      </c>
      <c r="T1269" s="12" t="s">
        <v>34</v>
      </c>
      <c r="U1269" s="12">
        <v>3</v>
      </c>
      <c r="V1269" s="12" t="s">
        <v>120</v>
      </c>
    </row>
    <row r="1270" spans="1:22" x14ac:dyDescent="0.3">
      <c r="A1270" s="8" t="s">
        <v>2080</v>
      </c>
      <c r="B1270" s="9">
        <v>45946</v>
      </c>
      <c r="C1270" s="8" t="s">
        <v>86</v>
      </c>
      <c r="D1270" s="8" t="s">
        <v>87</v>
      </c>
      <c r="E1270" s="8" t="s">
        <v>59</v>
      </c>
      <c r="F1270" s="8" t="s">
        <v>2081</v>
      </c>
      <c r="G1270" s="8" t="s">
        <v>41</v>
      </c>
      <c r="H1270" s="8" t="s">
        <v>81</v>
      </c>
      <c r="I1270" s="8" t="s">
        <v>68</v>
      </c>
      <c r="J1270" s="8" t="s">
        <v>43</v>
      </c>
      <c r="K1270" s="8" t="s">
        <v>162</v>
      </c>
      <c r="L1270" s="8" t="s">
        <v>77</v>
      </c>
      <c r="M1270" s="8">
        <v>1</v>
      </c>
      <c r="N1270" s="10">
        <v>879.67</v>
      </c>
      <c r="O1270" s="11">
        <v>0.2</v>
      </c>
      <c r="P1270" s="10">
        <v>703.74</v>
      </c>
      <c r="Q1270" s="10">
        <v>390.55</v>
      </c>
      <c r="R1270" s="10">
        <v>313.19</v>
      </c>
      <c r="S1270" s="8" t="s">
        <v>63</v>
      </c>
      <c r="T1270" s="8" t="s">
        <v>64</v>
      </c>
      <c r="U1270" s="8">
        <v>3</v>
      </c>
      <c r="V1270" s="8" t="s">
        <v>123</v>
      </c>
    </row>
    <row r="1271" spans="1:22" x14ac:dyDescent="0.3">
      <c r="A1271" s="12" t="s">
        <v>2082</v>
      </c>
      <c r="B1271" s="13">
        <v>45853</v>
      </c>
      <c r="C1271" s="12" t="s">
        <v>23</v>
      </c>
      <c r="D1271" s="12" t="s">
        <v>24</v>
      </c>
      <c r="E1271" s="12" t="s">
        <v>25</v>
      </c>
      <c r="F1271" s="12" t="s">
        <v>1691</v>
      </c>
      <c r="G1271" s="12" t="s">
        <v>41</v>
      </c>
      <c r="H1271" s="12" t="s">
        <v>42</v>
      </c>
      <c r="I1271" s="12" t="s">
        <v>68</v>
      </c>
      <c r="J1271" s="12" t="s">
        <v>43</v>
      </c>
      <c r="K1271" s="12" t="s">
        <v>51</v>
      </c>
      <c r="L1271" s="12" t="s">
        <v>103</v>
      </c>
      <c r="M1271" s="12">
        <v>4</v>
      </c>
      <c r="N1271" s="14">
        <v>1503.18</v>
      </c>
      <c r="O1271" s="15">
        <v>0</v>
      </c>
      <c r="P1271" s="14">
        <v>6012.72</v>
      </c>
      <c r="Q1271" s="14">
        <v>2671.49</v>
      </c>
      <c r="R1271" s="14">
        <v>3341.23</v>
      </c>
      <c r="S1271" s="12" t="s">
        <v>33</v>
      </c>
      <c r="T1271" s="12" t="s">
        <v>104</v>
      </c>
      <c r="U1271" s="12">
        <v>4</v>
      </c>
      <c r="V1271" s="12" t="s">
        <v>120</v>
      </c>
    </row>
    <row r="1272" spans="1:22" x14ac:dyDescent="0.3">
      <c r="A1272" s="8" t="s">
        <v>2083</v>
      </c>
      <c r="B1272" s="9">
        <v>45748</v>
      </c>
      <c r="C1272" s="8" t="s">
        <v>125</v>
      </c>
      <c r="D1272" s="8" t="s">
        <v>126</v>
      </c>
      <c r="E1272" s="8" t="s">
        <v>25</v>
      </c>
      <c r="F1272" s="8" t="s">
        <v>782</v>
      </c>
      <c r="G1272" s="8" t="s">
        <v>41</v>
      </c>
      <c r="H1272" s="8" t="s">
        <v>42</v>
      </c>
      <c r="I1272" s="8" t="s">
        <v>61</v>
      </c>
      <c r="J1272" s="8" t="s">
        <v>89</v>
      </c>
      <c r="K1272" s="8" t="s">
        <v>89</v>
      </c>
      <c r="L1272" s="8" t="s">
        <v>77</v>
      </c>
      <c r="M1272" s="8">
        <v>4</v>
      </c>
      <c r="N1272" s="10">
        <v>1328.51</v>
      </c>
      <c r="O1272" s="11">
        <v>0.2</v>
      </c>
      <c r="P1272" s="10">
        <v>4251.2299999999996</v>
      </c>
      <c r="Q1272" s="10">
        <v>2692.74</v>
      </c>
      <c r="R1272" s="10">
        <v>1558.49</v>
      </c>
      <c r="S1272" s="8" t="s">
        <v>46</v>
      </c>
      <c r="T1272" s="8" t="s">
        <v>71</v>
      </c>
      <c r="U1272" s="8">
        <v>5</v>
      </c>
      <c r="V1272" s="8" t="s">
        <v>96</v>
      </c>
    </row>
    <row r="1273" spans="1:22" x14ac:dyDescent="0.3">
      <c r="A1273" s="12" t="s">
        <v>2084</v>
      </c>
      <c r="B1273" s="13">
        <v>45888</v>
      </c>
      <c r="C1273" s="12" t="s">
        <v>57</v>
      </c>
      <c r="D1273" s="12" t="s">
        <v>58</v>
      </c>
      <c r="E1273" s="12" t="s">
        <v>59</v>
      </c>
      <c r="F1273" s="12" t="s">
        <v>153</v>
      </c>
      <c r="G1273" s="12" t="s">
        <v>27</v>
      </c>
      <c r="H1273" s="12" t="s">
        <v>81</v>
      </c>
      <c r="I1273" s="12" t="s">
        <v>61</v>
      </c>
      <c r="J1273" s="12" t="s">
        <v>43</v>
      </c>
      <c r="K1273" s="12" t="s">
        <v>44</v>
      </c>
      <c r="L1273" s="12" t="s">
        <v>77</v>
      </c>
      <c r="M1273" s="12">
        <v>2</v>
      </c>
      <c r="N1273" s="14">
        <v>571.6</v>
      </c>
      <c r="O1273" s="15">
        <v>0</v>
      </c>
      <c r="P1273" s="14">
        <v>1143.2</v>
      </c>
      <c r="Q1273" s="14">
        <v>541.04</v>
      </c>
      <c r="R1273" s="14">
        <v>602.16</v>
      </c>
      <c r="S1273" s="12" t="s">
        <v>33</v>
      </c>
      <c r="T1273" s="12" t="s">
        <v>78</v>
      </c>
      <c r="U1273" s="12">
        <v>3</v>
      </c>
      <c r="V1273" s="12" t="s">
        <v>72</v>
      </c>
    </row>
    <row r="1274" spans="1:22" x14ac:dyDescent="0.3">
      <c r="A1274" s="8" t="s">
        <v>2085</v>
      </c>
      <c r="B1274" s="9">
        <v>45820</v>
      </c>
      <c r="C1274" s="8" t="s">
        <v>107</v>
      </c>
      <c r="D1274" s="8" t="s">
        <v>108</v>
      </c>
      <c r="E1274" s="8" t="s">
        <v>39</v>
      </c>
      <c r="F1274" s="8" t="s">
        <v>885</v>
      </c>
      <c r="G1274" s="8" t="s">
        <v>27</v>
      </c>
      <c r="H1274" s="8" t="s">
        <v>94</v>
      </c>
      <c r="I1274" s="8" t="s">
        <v>61</v>
      </c>
      <c r="J1274" s="8" t="s">
        <v>75</v>
      </c>
      <c r="K1274" s="8" t="s">
        <v>95</v>
      </c>
      <c r="L1274" s="8" t="s">
        <v>52</v>
      </c>
      <c r="M1274" s="8">
        <v>5</v>
      </c>
      <c r="N1274" s="10">
        <v>24136.5</v>
      </c>
      <c r="O1274" s="11">
        <v>0.3</v>
      </c>
      <c r="P1274" s="10">
        <v>84477.75</v>
      </c>
      <c r="Q1274" s="10">
        <v>91188.02</v>
      </c>
      <c r="R1274" s="10">
        <v>-6710.27</v>
      </c>
      <c r="S1274" s="8" t="s">
        <v>63</v>
      </c>
      <c r="T1274" s="8" t="s">
        <v>34</v>
      </c>
      <c r="U1274" s="8">
        <v>4</v>
      </c>
      <c r="V1274" s="8" t="s">
        <v>157</v>
      </c>
    </row>
    <row r="1275" spans="1:22" x14ac:dyDescent="0.3">
      <c r="A1275" s="12" t="s">
        <v>2086</v>
      </c>
      <c r="B1275" s="13">
        <v>46000</v>
      </c>
      <c r="C1275" s="12" t="s">
        <v>23</v>
      </c>
      <c r="D1275" s="12" t="s">
        <v>24</v>
      </c>
      <c r="E1275" s="12" t="s">
        <v>25</v>
      </c>
      <c r="F1275" s="12" t="s">
        <v>352</v>
      </c>
      <c r="G1275" s="12" t="s">
        <v>41</v>
      </c>
      <c r="H1275" s="12" t="s">
        <v>94</v>
      </c>
      <c r="I1275" s="12" t="s">
        <v>61</v>
      </c>
      <c r="J1275" s="12" t="s">
        <v>69</v>
      </c>
      <c r="K1275" s="12" t="s">
        <v>180</v>
      </c>
      <c r="L1275" s="12" t="s">
        <v>91</v>
      </c>
      <c r="M1275" s="12">
        <v>4</v>
      </c>
      <c r="N1275" s="14">
        <v>1474.2</v>
      </c>
      <c r="O1275" s="15">
        <v>0.1</v>
      </c>
      <c r="P1275" s="14">
        <v>5307.12</v>
      </c>
      <c r="Q1275" s="14">
        <v>3488.78</v>
      </c>
      <c r="R1275" s="14">
        <v>1818.34</v>
      </c>
      <c r="S1275" s="12" t="s">
        <v>83</v>
      </c>
      <c r="T1275" s="12" t="s">
        <v>104</v>
      </c>
      <c r="U1275" s="12">
        <v>4</v>
      </c>
      <c r="V1275" s="12" t="s">
        <v>35</v>
      </c>
    </row>
    <row r="1276" spans="1:22" x14ac:dyDescent="0.3">
      <c r="A1276" s="8" t="s">
        <v>2087</v>
      </c>
      <c r="B1276" s="9">
        <v>45844</v>
      </c>
      <c r="C1276" s="8" t="s">
        <v>113</v>
      </c>
      <c r="D1276" s="8" t="s">
        <v>114</v>
      </c>
      <c r="E1276" s="8" t="s">
        <v>59</v>
      </c>
      <c r="F1276" s="8" t="s">
        <v>2088</v>
      </c>
      <c r="G1276" s="8" t="s">
        <v>27</v>
      </c>
      <c r="H1276" s="8" t="s">
        <v>94</v>
      </c>
      <c r="I1276" s="8" t="s">
        <v>68</v>
      </c>
      <c r="J1276" s="8" t="s">
        <v>43</v>
      </c>
      <c r="K1276" s="8" t="s">
        <v>44</v>
      </c>
      <c r="L1276" s="8" t="s">
        <v>82</v>
      </c>
      <c r="M1276" s="8">
        <v>1</v>
      </c>
      <c r="N1276" s="10">
        <v>577.14</v>
      </c>
      <c r="O1276" s="11">
        <v>0.3</v>
      </c>
      <c r="P1276" s="10">
        <v>404</v>
      </c>
      <c r="Q1276" s="10">
        <v>257.76</v>
      </c>
      <c r="R1276" s="10">
        <v>146.24</v>
      </c>
      <c r="S1276" s="8" t="s">
        <v>46</v>
      </c>
      <c r="T1276" s="8" t="s">
        <v>147</v>
      </c>
      <c r="U1276" s="8">
        <v>4</v>
      </c>
      <c r="V1276" s="8" t="s">
        <v>120</v>
      </c>
    </row>
    <row r="1277" spans="1:22" x14ac:dyDescent="0.3">
      <c r="A1277" s="12" t="s">
        <v>2089</v>
      </c>
      <c r="B1277" s="13">
        <v>45891</v>
      </c>
      <c r="C1277" s="12" t="s">
        <v>48</v>
      </c>
      <c r="D1277" s="12" t="s">
        <v>49</v>
      </c>
      <c r="E1277" s="12" t="s">
        <v>39</v>
      </c>
      <c r="F1277" s="12" t="s">
        <v>871</v>
      </c>
      <c r="G1277" s="12" t="s">
        <v>41</v>
      </c>
      <c r="H1277" s="12" t="s">
        <v>28</v>
      </c>
      <c r="I1277" s="12" t="s">
        <v>61</v>
      </c>
      <c r="J1277" s="12" t="s">
        <v>30</v>
      </c>
      <c r="K1277" s="12" t="s">
        <v>144</v>
      </c>
      <c r="L1277" s="12" t="s">
        <v>82</v>
      </c>
      <c r="M1277" s="12">
        <v>1</v>
      </c>
      <c r="N1277" s="14">
        <v>2467.2600000000002</v>
      </c>
      <c r="O1277" s="15">
        <v>0.2</v>
      </c>
      <c r="P1277" s="14">
        <v>1973.81</v>
      </c>
      <c r="Q1277" s="14">
        <v>1498.75</v>
      </c>
      <c r="R1277" s="14">
        <v>475.06</v>
      </c>
      <c r="S1277" s="12" t="s">
        <v>83</v>
      </c>
      <c r="T1277" s="12" t="s">
        <v>119</v>
      </c>
      <c r="U1277" s="12">
        <v>5</v>
      </c>
      <c r="V1277" s="12" t="s">
        <v>72</v>
      </c>
    </row>
    <row r="1278" spans="1:22" x14ac:dyDescent="0.3">
      <c r="A1278" s="8" t="s">
        <v>2090</v>
      </c>
      <c r="B1278" s="9">
        <v>45792</v>
      </c>
      <c r="C1278" s="8" t="s">
        <v>98</v>
      </c>
      <c r="D1278" s="8" t="s">
        <v>99</v>
      </c>
      <c r="E1278" s="8" t="s">
        <v>25</v>
      </c>
      <c r="F1278" s="8" t="s">
        <v>2091</v>
      </c>
      <c r="G1278" s="8" t="s">
        <v>27</v>
      </c>
      <c r="H1278" s="8" t="s">
        <v>81</v>
      </c>
      <c r="I1278" s="8" t="s">
        <v>68</v>
      </c>
      <c r="J1278" s="8" t="s">
        <v>30</v>
      </c>
      <c r="K1278" s="8" t="s">
        <v>62</v>
      </c>
      <c r="L1278" s="8" t="s">
        <v>175</v>
      </c>
      <c r="M1278" s="8">
        <v>2</v>
      </c>
      <c r="N1278" s="10">
        <v>1022.76</v>
      </c>
      <c r="O1278" s="11">
        <v>0</v>
      </c>
      <c r="P1278" s="10">
        <v>2045.52</v>
      </c>
      <c r="Q1278" s="10">
        <v>891.92</v>
      </c>
      <c r="R1278" s="10">
        <v>1153.5999999999999</v>
      </c>
      <c r="S1278" s="8" t="s">
        <v>33</v>
      </c>
      <c r="T1278" s="8" t="s">
        <v>119</v>
      </c>
      <c r="U1278" s="8">
        <v>3</v>
      </c>
      <c r="V1278" s="8" t="s">
        <v>134</v>
      </c>
    </row>
    <row r="1279" spans="1:22" x14ac:dyDescent="0.3">
      <c r="A1279" s="12" t="s">
        <v>2092</v>
      </c>
      <c r="B1279" s="13">
        <v>45876</v>
      </c>
      <c r="C1279" s="12" t="s">
        <v>86</v>
      </c>
      <c r="D1279" s="12" t="s">
        <v>87</v>
      </c>
      <c r="E1279" s="12" t="s">
        <v>59</v>
      </c>
      <c r="F1279" s="12" t="s">
        <v>324</v>
      </c>
      <c r="G1279" s="12" t="s">
        <v>41</v>
      </c>
      <c r="H1279" s="12" t="s">
        <v>81</v>
      </c>
      <c r="I1279" s="12" t="s">
        <v>68</v>
      </c>
      <c r="J1279" s="12" t="s">
        <v>43</v>
      </c>
      <c r="K1279" s="12" t="s">
        <v>51</v>
      </c>
      <c r="L1279" s="12" t="s">
        <v>52</v>
      </c>
      <c r="M1279" s="12">
        <v>1</v>
      </c>
      <c r="N1279" s="14">
        <v>1512.41</v>
      </c>
      <c r="O1279" s="15">
        <v>0</v>
      </c>
      <c r="P1279" s="14">
        <v>1512.41</v>
      </c>
      <c r="Q1279" s="14">
        <v>669.61</v>
      </c>
      <c r="R1279" s="14">
        <v>842.8</v>
      </c>
      <c r="S1279" s="12" t="s">
        <v>63</v>
      </c>
      <c r="T1279" s="12" t="s">
        <v>119</v>
      </c>
      <c r="U1279" s="12">
        <v>4</v>
      </c>
      <c r="V1279" s="12" t="s">
        <v>72</v>
      </c>
    </row>
    <row r="1280" spans="1:22" x14ac:dyDescent="0.3">
      <c r="A1280" s="8" t="s">
        <v>2093</v>
      </c>
      <c r="B1280" s="9">
        <v>45897</v>
      </c>
      <c r="C1280" s="8" t="s">
        <v>37</v>
      </c>
      <c r="D1280" s="8" t="s">
        <v>38</v>
      </c>
      <c r="E1280" s="8" t="s">
        <v>39</v>
      </c>
      <c r="F1280" s="8" t="s">
        <v>1781</v>
      </c>
      <c r="G1280" s="8" t="s">
        <v>27</v>
      </c>
      <c r="H1280" s="8" t="s">
        <v>42</v>
      </c>
      <c r="I1280" s="8" t="s">
        <v>61</v>
      </c>
      <c r="J1280" s="8" t="s">
        <v>89</v>
      </c>
      <c r="K1280" s="8" t="s">
        <v>89</v>
      </c>
      <c r="L1280" s="8" t="s">
        <v>175</v>
      </c>
      <c r="M1280" s="8">
        <v>5</v>
      </c>
      <c r="N1280" s="10">
        <v>1348.79</v>
      </c>
      <c r="O1280" s="11">
        <v>0</v>
      </c>
      <c r="P1280" s="10">
        <v>6743.95</v>
      </c>
      <c r="Q1280" s="10">
        <v>3418.47</v>
      </c>
      <c r="R1280" s="10">
        <v>3325.48</v>
      </c>
      <c r="S1280" s="8" t="s">
        <v>53</v>
      </c>
      <c r="T1280" s="8" t="s">
        <v>71</v>
      </c>
      <c r="U1280" s="8">
        <v>5</v>
      </c>
      <c r="V1280" s="8" t="s">
        <v>72</v>
      </c>
    </row>
    <row r="1281" spans="1:22" x14ac:dyDescent="0.3">
      <c r="A1281" s="12" t="s">
        <v>2094</v>
      </c>
      <c r="B1281" s="13">
        <v>45926</v>
      </c>
      <c r="C1281" s="12" t="s">
        <v>23</v>
      </c>
      <c r="D1281" s="12" t="s">
        <v>24</v>
      </c>
      <c r="E1281" s="12" t="s">
        <v>25</v>
      </c>
      <c r="F1281" s="12" t="s">
        <v>385</v>
      </c>
      <c r="G1281" s="12" t="s">
        <v>41</v>
      </c>
      <c r="H1281" s="12" t="s">
        <v>42</v>
      </c>
      <c r="I1281" s="12" t="s">
        <v>61</v>
      </c>
      <c r="J1281" s="12" t="s">
        <v>69</v>
      </c>
      <c r="K1281" s="12" t="s">
        <v>137</v>
      </c>
      <c r="L1281" s="12" t="s">
        <v>175</v>
      </c>
      <c r="M1281" s="12">
        <v>4</v>
      </c>
      <c r="N1281" s="14">
        <v>481.88</v>
      </c>
      <c r="O1281" s="15">
        <v>0.2</v>
      </c>
      <c r="P1281" s="14">
        <v>1542.02</v>
      </c>
      <c r="Q1281" s="14">
        <v>876.18</v>
      </c>
      <c r="R1281" s="14">
        <v>665.84</v>
      </c>
      <c r="S1281" s="12" t="s">
        <v>33</v>
      </c>
      <c r="T1281" s="12" t="s">
        <v>156</v>
      </c>
      <c r="U1281" s="12">
        <v>5</v>
      </c>
      <c r="V1281" s="12" t="s">
        <v>116</v>
      </c>
    </row>
    <row r="1282" spans="1:22" x14ac:dyDescent="0.3">
      <c r="A1282" s="8" t="s">
        <v>2095</v>
      </c>
      <c r="B1282" s="9">
        <v>46003</v>
      </c>
      <c r="C1282" s="8" t="s">
        <v>48</v>
      </c>
      <c r="D1282" s="8" t="s">
        <v>49</v>
      </c>
      <c r="E1282" s="8" t="s">
        <v>39</v>
      </c>
      <c r="F1282" s="8" t="s">
        <v>2088</v>
      </c>
      <c r="G1282" s="8" t="s">
        <v>41</v>
      </c>
      <c r="H1282" s="8" t="s">
        <v>81</v>
      </c>
      <c r="I1282" s="8" t="s">
        <v>68</v>
      </c>
      <c r="J1282" s="8" t="s">
        <v>69</v>
      </c>
      <c r="K1282" s="8" t="s">
        <v>180</v>
      </c>
      <c r="L1282" s="8" t="s">
        <v>45</v>
      </c>
      <c r="M1282" s="8">
        <v>2</v>
      </c>
      <c r="N1282" s="10">
        <v>1489.57</v>
      </c>
      <c r="O1282" s="11">
        <v>0.1</v>
      </c>
      <c r="P1282" s="10">
        <v>2681.23</v>
      </c>
      <c r="Q1282" s="10">
        <v>1674.47</v>
      </c>
      <c r="R1282" s="10">
        <v>1006.76</v>
      </c>
      <c r="S1282" s="8" t="s">
        <v>53</v>
      </c>
      <c r="T1282" s="8" t="s">
        <v>54</v>
      </c>
      <c r="U1282" s="8">
        <v>5</v>
      </c>
      <c r="V1282" s="8" t="s">
        <v>35</v>
      </c>
    </row>
    <row r="1283" spans="1:22" x14ac:dyDescent="0.3">
      <c r="A1283" s="12" t="s">
        <v>2096</v>
      </c>
      <c r="B1283" s="13">
        <v>45777</v>
      </c>
      <c r="C1283" s="12" t="s">
        <v>37</v>
      </c>
      <c r="D1283" s="12" t="s">
        <v>38</v>
      </c>
      <c r="E1283" s="12" t="s">
        <v>39</v>
      </c>
      <c r="F1283" s="12" t="s">
        <v>420</v>
      </c>
      <c r="G1283" s="12" t="s">
        <v>27</v>
      </c>
      <c r="H1283" s="12" t="s">
        <v>42</v>
      </c>
      <c r="I1283" s="12" t="s">
        <v>68</v>
      </c>
      <c r="J1283" s="12" t="s">
        <v>101</v>
      </c>
      <c r="K1283" s="12" t="s">
        <v>217</v>
      </c>
      <c r="L1283" s="12" t="s">
        <v>32</v>
      </c>
      <c r="M1283" s="12">
        <v>2</v>
      </c>
      <c r="N1283" s="14">
        <v>3074.29</v>
      </c>
      <c r="O1283" s="15">
        <v>0</v>
      </c>
      <c r="P1283" s="14">
        <v>6148.58</v>
      </c>
      <c r="Q1283" s="14">
        <v>3473.13</v>
      </c>
      <c r="R1283" s="14">
        <v>2675.45</v>
      </c>
      <c r="S1283" s="12" t="s">
        <v>83</v>
      </c>
      <c r="T1283" s="12" t="s">
        <v>78</v>
      </c>
      <c r="U1283" s="12">
        <v>3</v>
      </c>
      <c r="V1283" s="12" t="s">
        <v>96</v>
      </c>
    </row>
    <row r="1284" spans="1:22" x14ac:dyDescent="0.3">
      <c r="A1284" s="8" t="s">
        <v>2097</v>
      </c>
      <c r="B1284" s="9">
        <v>45846</v>
      </c>
      <c r="C1284" s="8" t="s">
        <v>48</v>
      </c>
      <c r="D1284" s="8" t="s">
        <v>49</v>
      </c>
      <c r="E1284" s="8" t="s">
        <v>39</v>
      </c>
      <c r="F1284" s="8" t="s">
        <v>2098</v>
      </c>
      <c r="G1284" s="8" t="s">
        <v>41</v>
      </c>
      <c r="H1284" s="8" t="s">
        <v>81</v>
      </c>
      <c r="I1284" s="8" t="s">
        <v>61</v>
      </c>
      <c r="J1284" s="8" t="s">
        <v>30</v>
      </c>
      <c r="K1284" s="8" t="s">
        <v>31</v>
      </c>
      <c r="L1284" s="8" t="s">
        <v>77</v>
      </c>
      <c r="M1284" s="8">
        <v>3</v>
      </c>
      <c r="N1284" s="10">
        <v>3899.57</v>
      </c>
      <c r="O1284" s="11">
        <v>0.1</v>
      </c>
      <c r="P1284" s="10">
        <v>10528.84</v>
      </c>
      <c r="Q1284" s="10">
        <v>6757.54</v>
      </c>
      <c r="R1284" s="10">
        <v>3771.3</v>
      </c>
      <c r="S1284" s="8" t="s">
        <v>33</v>
      </c>
      <c r="T1284" s="8" t="s">
        <v>104</v>
      </c>
      <c r="U1284" s="8">
        <v>4</v>
      </c>
      <c r="V1284" s="8" t="s">
        <v>120</v>
      </c>
    </row>
    <row r="1285" spans="1:22" x14ac:dyDescent="0.3">
      <c r="A1285" s="12" t="s">
        <v>2099</v>
      </c>
      <c r="B1285" s="13">
        <v>45908</v>
      </c>
      <c r="C1285" s="12" t="s">
        <v>98</v>
      </c>
      <c r="D1285" s="12" t="s">
        <v>99</v>
      </c>
      <c r="E1285" s="12" t="s">
        <v>25</v>
      </c>
      <c r="F1285" s="12" t="s">
        <v>2100</v>
      </c>
      <c r="G1285" s="12" t="s">
        <v>27</v>
      </c>
      <c r="H1285" s="12" t="s">
        <v>42</v>
      </c>
      <c r="I1285" s="12" t="s">
        <v>61</v>
      </c>
      <c r="J1285" s="12" t="s">
        <v>43</v>
      </c>
      <c r="K1285" s="12" t="s">
        <v>44</v>
      </c>
      <c r="L1285" s="12" t="s">
        <v>77</v>
      </c>
      <c r="M1285" s="12">
        <v>4</v>
      </c>
      <c r="N1285" s="14">
        <v>572.64</v>
      </c>
      <c r="O1285" s="15">
        <v>0.2</v>
      </c>
      <c r="P1285" s="14">
        <v>1832.45</v>
      </c>
      <c r="Q1285" s="14">
        <v>1064.1099999999999</v>
      </c>
      <c r="R1285" s="14">
        <v>768.34</v>
      </c>
      <c r="S1285" s="12" t="s">
        <v>63</v>
      </c>
      <c r="T1285" s="12" t="s">
        <v>64</v>
      </c>
      <c r="U1285" s="12">
        <v>3</v>
      </c>
      <c r="V1285" s="12" t="s">
        <v>116</v>
      </c>
    </row>
    <row r="1286" spans="1:22" x14ac:dyDescent="0.3">
      <c r="A1286" s="8" t="s">
        <v>2101</v>
      </c>
      <c r="B1286" s="9">
        <v>45836</v>
      </c>
      <c r="C1286" s="8" t="s">
        <v>86</v>
      </c>
      <c r="D1286" s="8" t="s">
        <v>87</v>
      </c>
      <c r="E1286" s="8" t="s">
        <v>59</v>
      </c>
      <c r="F1286" s="8" t="s">
        <v>2102</v>
      </c>
      <c r="G1286" s="8" t="s">
        <v>27</v>
      </c>
      <c r="H1286" s="8" t="s">
        <v>28</v>
      </c>
      <c r="I1286" s="8" t="s">
        <v>29</v>
      </c>
      <c r="J1286" s="8" t="s">
        <v>101</v>
      </c>
      <c r="K1286" s="8" t="s">
        <v>217</v>
      </c>
      <c r="L1286" s="8" t="s">
        <v>91</v>
      </c>
      <c r="M1286" s="8">
        <v>1</v>
      </c>
      <c r="N1286" s="10">
        <v>3146.36</v>
      </c>
      <c r="O1286" s="11">
        <v>0.3</v>
      </c>
      <c r="P1286" s="10">
        <v>2202.4499999999998</v>
      </c>
      <c r="Q1286" s="10">
        <v>1745.28</v>
      </c>
      <c r="R1286" s="10">
        <v>457.17</v>
      </c>
      <c r="S1286" s="8" t="s">
        <v>83</v>
      </c>
      <c r="T1286" s="8" t="s">
        <v>111</v>
      </c>
      <c r="U1286" s="8">
        <v>4</v>
      </c>
      <c r="V1286" s="8" t="s">
        <v>157</v>
      </c>
    </row>
    <row r="1287" spans="1:22" x14ac:dyDescent="0.3">
      <c r="A1287" s="12" t="s">
        <v>2103</v>
      </c>
      <c r="B1287" s="13">
        <v>45772</v>
      </c>
      <c r="C1287" s="12" t="s">
        <v>57</v>
      </c>
      <c r="D1287" s="12" t="s">
        <v>58</v>
      </c>
      <c r="E1287" s="12" t="s">
        <v>59</v>
      </c>
      <c r="F1287" s="12" t="s">
        <v>1940</v>
      </c>
      <c r="G1287" s="12" t="s">
        <v>41</v>
      </c>
      <c r="H1287" s="12" t="s">
        <v>81</v>
      </c>
      <c r="I1287" s="12" t="s">
        <v>29</v>
      </c>
      <c r="J1287" s="12" t="s">
        <v>43</v>
      </c>
      <c r="K1287" s="12" t="s">
        <v>162</v>
      </c>
      <c r="L1287" s="12" t="s">
        <v>52</v>
      </c>
      <c r="M1287" s="12">
        <v>3</v>
      </c>
      <c r="N1287" s="14">
        <v>942.22</v>
      </c>
      <c r="O1287" s="15">
        <v>0.15</v>
      </c>
      <c r="P1287" s="14">
        <v>2402.66</v>
      </c>
      <c r="Q1287" s="14">
        <v>1219.19</v>
      </c>
      <c r="R1287" s="14">
        <v>1183.47</v>
      </c>
      <c r="S1287" s="12" t="s">
        <v>53</v>
      </c>
      <c r="T1287" s="12" t="s">
        <v>104</v>
      </c>
      <c r="U1287" s="12">
        <v>4</v>
      </c>
      <c r="V1287" s="12" t="s">
        <v>96</v>
      </c>
    </row>
    <row r="1288" spans="1:22" x14ac:dyDescent="0.3">
      <c r="A1288" s="8" t="s">
        <v>2104</v>
      </c>
      <c r="B1288" s="9">
        <v>45818</v>
      </c>
      <c r="C1288" s="8" t="s">
        <v>125</v>
      </c>
      <c r="D1288" s="8" t="s">
        <v>126</v>
      </c>
      <c r="E1288" s="8" t="s">
        <v>25</v>
      </c>
      <c r="F1288" s="8" t="s">
        <v>2105</v>
      </c>
      <c r="G1288" s="8" t="s">
        <v>27</v>
      </c>
      <c r="H1288" s="8" t="s">
        <v>81</v>
      </c>
      <c r="I1288" s="8" t="s">
        <v>29</v>
      </c>
      <c r="J1288" s="8" t="s">
        <v>89</v>
      </c>
      <c r="K1288" s="8" t="s">
        <v>89</v>
      </c>
      <c r="L1288" s="8" t="s">
        <v>82</v>
      </c>
      <c r="M1288" s="8">
        <v>2</v>
      </c>
      <c r="N1288" s="10">
        <v>1297.96</v>
      </c>
      <c r="O1288" s="11">
        <v>0.1</v>
      </c>
      <c r="P1288" s="10">
        <v>2336.33</v>
      </c>
      <c r="Q1288" s="10">
        <v>1459.97</v>
      </c>
      <c r="R1288" s="10">
        <v>876.36</v>
      </c>
      <c r="S1288" s="8" t="s">
        <v>53</v>
      </c>
      <c r="T1288" s="8" t="s">
        <v>64</v>
      </c>
      <c r="U1288" s="8">
        <v>5</v>
      </c>
      <c r="V1288" s="8" t="s">
        <v>157</v>
      </c>
    </row>
    <row r="1289" spans="1:22" x14ac:dyDescent="0.3">
      <c r="A1289" s="12" t="s">
        <v>2106</v>
      </c>
      <c r="B1289" s="13">
        <v>45677</v>
      </c>
      <c r="C1289" s="12" t="s">
        <v>37</v>
      </c>
      <c r="D1289" s="12" t="s">
        <v>38</v>
      </c>
      <c r="E1289" s="12" t="s">
        <v>39</v>
      </c>
      <c r="F1289" s="12" t="s">
        <v>946</v>
      </c>
      <c r="G1289" s="12" t="s">
        <v>27</v>
      </c>
      <c r="H1289" s="12" t="s">
        <v>81</v>
      </c>
      <c r="I1289" s="12" t="s">
        <v>61</v>
      </c>
      <c r="J1289" s="12" t="s">
        <v>89</v>
      </c>
      <c r="K1289" s="12" t="s">
        <v>151</v>
      </c>
      <c r="L1289" s="12" t="s">
        <v>45</v>
      </c>
      <c r="M1289" s="12">
        <v>3</v>
      </c>
      <c r="N1289" s="14">
        <v>978.99</v>
      </c>
      <c r="O1289" s="15">
        <v>0.15</v>
      </c>
      <c r="P1289" s="14">
        <v>2496.42</v>
      </c>
      <c r="Q1289" s="14">
        <v>1427.81</v>
      </c>
      <c r="R1289" s="14">
        <v>1068.6099999999999</v>
      </c>
      <c r="S1289" s="12" t="s">
        <v>33</v>
      </c>
      <c r="T1289" s="12" t="s">
        <v>111</v>
      </c>
      <c r="U1289" s="12">
        <v>3</v>
      </c>
      <c r="V1289" s="12" t="s">
        <v>84</v>
      </c>
    </row>
    <row r="1290" spans="1:22" x14ac:dyDescent="0.3">
      <c r="A1290" s="8" t="s">
        <v>2107</v>
      </c>
      <c r="B1290" s="9">
        <v>45780</v>
      </c>
      <c r="C1290" s="8" t="s">
        <v>48</v>
      </c>
      <c r="D1290" s="8" t="s">
        <v>49</v>
      </c>
      <c r="E1290" s="8" t="s">
        <v>39</v>
      </c>
      <c r="F1290" s="8" t="s">
        <v>695</v>
      </c>
      <c r="G1290" s="8" t="s">
        <v>41</v>
      </c>
      <c r="H1290" s="8" t="s">
        <v>81</v>
      </c>
      <c r="I1290" s="8" t="s">
        <v>61</v>
      </c>
      <c r="J1290" s="8" t="s">
        <v>101</v>
      </c>
      <c r="K1290" s="8" t="s">
        <v>102</v>
      </c>
      <c r="L1290" s="8" t="s">
        <v>32</v>
      </c>
      <c r="M1290" s="8">
        <v>2</v>
      </c>
      <c r="N1290" s="10">
        <v>722.7</v>
      </c>
      <c r="O1290" s="11">
        <v>0.3</v>
      </c>
      <c r="P1290" s="10">
        <v>1011.78</v>
      </c>
      <c r="Q1290" s="10">
        <v>504.46</v>
      </c>
      <c r="R1290" s="10">
        <v>507.32</v>
      </c>
      <c r="S1290" s="8" t="s">
        <v>53</v>
      </c>
      <c r="T1290" s="8" t="s">
        <v>34</v>
      </c>
      <c r="U1290" s="8">
        <v>5</v>
      </c>
      <c r="V1290" s="8" t="s">
        <v>134</v>
      </c>
    </row>
    <row r="1291" spans="1:22" x14ac:dyDescent="0.3">
      <c r="A1291" s="12" t="s">
        <v>2108</v>
      </c>
      <c r="B1291" s="13">
        <v>45767</v>
      </c>
      <c r="C1291" s="12" t="s">
        <v>23</v>
      </c>
      <c r="D1291" s="12" t="s">
        <v>24</v>
      </c>
      <c r="E1291" s="12" t="s">
        <v>25</v>
      </c>
      <c r="F1291" s="12" t="s">
        <v>2109</v>
      </c>
      <c r="G1291" s="12" t="s">
        <v>41</v>
      </c>
      <c r="H1291" s="12" t="s">
        <v>42</v>
      </c>
      <c r="I1291" s="12" t="s">
        <v>68</v>
      </c>
      <c r="J1291" s="12" t="s">
        <v>89</v>
      </c>
      <c r="K1291" s="12" t="s">
        <v>89</v>
      </c>
      <c r="L1291" s="12" t="s">
        <v>52</v>
      </c>
      <c r="M1291" s="12">
        <v>5</v>
      </c>
      <c r="N1291" s="14">
        <v>1330.09</v>
      </c>
      <c r="O1291" s="15">
        <v>0.2</v>
      </c>
      <c r="P1291" s="14">
        <v>5320.36</v>
      </c>
      <c r="Q1291" s="14">
        <v>3357.73</v>
      </c>
      <c r="R1291" s="14">
        <v>1962.63</v>
      </c>
      <c r="S1291" s="12" t="s">
        <v>53</v>
      </c>
      <c r="T1291" s="12" t="s">
        <v>54</v>
      </c>
      <c r="U1291" s="12">
        <v>3</v>
      </c>
      <c r="V1291" s="12" t="s">
        <v>96</v>
      </c>
    </row>
    <row r="1292" spans="1:22" x14ac:dyDescent="0.3">
      <c r="A1292" s="8" t="s">
        <v>2110</v>
      </c>
      <c r="B1292" s="9">
        <v>45711</v>
      </c>
      <c r="C1292" s="8" t="s">
        <v>98</v>
      </c>
      <c r="D1292" s="8" t="s">
        <v>99</v>
      </c>
      <c r="E1292" s="8" t="s">
        <v>25</v>
      </c>
      <c r="F1292" s="8" t="s">
        <v>557</v>
      </c>
      <c r="G1292" s="8" t="s">
        <v>27</v>
      </c>
      <c r="H1292" s="8" t="s">
        <v>42</v>
      </c>
      <c r="I1292" s="8" t="s">
        <v>29</v>
      </c>
      <c r="J1292" s="8" t="s">
        <v>75</v>
      </c>
      <c r="K1292" s="8" t="s">
        <v>95</v>
      </c>
      <c r="L1292" s="8" t="s">
        <v>82</v>
      </c>
      <c r="M1292" s="8">
        <v>2</v>
      </c>
      <c r="N1292" s="10">
        <v>24929.55</v>
      </c>
      <c r="O1292" s="11">
        <v>0.3</v>
      </c>
      <c r="P1292" s="10">
        <v>34901.370000000003</v>
      </c>
      <c r="Q1292" s="10">
        <v>36552.75</v>
      </c>
      <c r="R1292" s="10">
        <v>-1651.38</v>
      </c>
      <c r="S1292" s="8" t="s">
        <v>53</v>
      </c>
      <c r="T1292" s="8" t="s">
        <v>78</v>
      </c>
      <c r="U1292" s="8">
        <v>5</v>
      </c>
      <c r="V1292" s="8" t="s">
        <v>105</v>
      </c>
    </row>
    <row r="1293" spans="1:22" x14ac:dyDescent="0.3">
      <c r="A1293" s="12" t="s">
        <v>2111</v>
      </c>
      <c r="B1293" s="13">
        <v>45767</v>
      </c>
      <c r="C1293" s="12" t="s">
        <v>86</v>
      </c>
      <c r="D1293" s="12" t="s">
        <v>87</v>
      </c>
      <c r="E1293" s="12" t="s">
        <v>59</v>
      </c>
      <c r="F1293" s="12" t="s">
        <v>2112</v>
      </c>
      <c r="G1293" s="12" t="s">
        <v>27</v>
      </c>
      <c r="H1293" s="12" t="s">
        <v>42</v>
      </c>
      <c r="I1293" s="12" t="s">
        <v>61</v>
      </c>
      <c r="J1293" s="12" t="s">
        <v>30</v>
      </c>
      <c r="K1293" s="12" t="s">
        <v>144</v>
      </c>
      <c r="L1293" s="12" t="s">
        <v>91</v>
      </c>
      <c r="M1293" s="12">
        <v>3</v>
      </c>
      <c r="N1293" s="14">
        <v>2538.6999999999998</v>
      </c>
      <c r="O1293" s="15">
        <v>0</v>
      </c>
      <c r="P1293" s="14">
        <v>7616.1</v>
      </c>
      <c r="Q1293" s="14">
        <v>4721.3599999999997</v>
      </c>
      <c r="R1293" s="14">
        <v>2894.74</v>
      </c>
      <c r="S1293" s="12" t="s">
        <v>53</v>
      </c>
      <c r="T1293" s="12" t="s">
        <v>104</v>
      </c>
      <c r="U1293" s="12">
        <v>5</v>
      </c>
      <c r="V1293" s="12" t="s">
        <v>96</v>
      </c>
    </row>
    <row r="1294" spans="1:22" x14ac:dyDescent="0.3">
      <c r="A1294" s="8" t="s">
        <v>2113</v>
      </c>
      <c r="B1294" s="9">
        <v>45817</v>
      </c>
      <c r="C1294" s="8" t="s">
        <v>113</v>
      </c>
      <c r="D1294" s="8" t="s">
        <v>114</v>
      </c>
      <c r="E1294" s="8" t="s">
        <v>59</v>
      </c>
      <c r="F1294" s="8" t="s">
        <v>2114</v>
      </c>
      <c r="G1294" s="8" t="s">
        <v>27</v>
      </c>
      <c r="H1294" s="8" t="s">
        <v>81</v>
      </c>
      <c r="I1294" s="8" t="s">
        <v>68</v>
      </c>
      <c r="J1294" s="8" t="s">
        <v>43</v>
      </c>
      <c r="K1294" s="8" t="s">
        <v>51</v>
      </c>
      <c r="L1294" s="8" t="s">
        <v>103</v>
      </c>
      <c r="M1294" s="8">
        <v>1</v>
      </c>
      <c r="N1294" s="10">
        <v>1501.53</v>
      </c>
      <c r="O1294" s="11">
        <v>0.25</v>
      </c>
      <c r="P1294" s="10">
        <v>1126.1500000000001</v>
      </c>
      <c r="Q1294" s="10">
        <v>665.5</v>
      </c>
      <c r="R1294" s="10">
        <v>460.65</v>
      </c>
      <c r="S1294" s="8" t="s">
        <v>46</v>
      </c>
      <c r="T1294" s="8" t="s">
        <v>111</v>
      </c>
      <c r="U1294" s="8">
        <v>3</v>
      </c>
      <c r="V1294" s="8" t="s">
        <v>157</v>
      </c>
    </row>
    <row r="1295" spans="1:22" x14ac:dyDescent="0.3">
      <c r="A1295" s="12" t="s">
        <v>2115</v>
      </c>
      <c r="B1295" s="13">
        <v>45927</v>
      </c>
      <c r="C1295" s="12" t="s">
        <v>86</v>
      </c>
      <c r="D1295" s="12" t="s">
        <v>87</v>
      </c>
      <c r="E1295" s="12" t="s">
        <v>59</v>
      </c>
      <c r="F1295" s="12" t="s">
        <v>726</v>
      </c>
      <c r="G1295" s="12" t="s">
        <v>41</v>
      </c>
      <c r="H1295" s="12" t="s">
        <v>28</v>
      </c>
      <c r="I1295" s="12" t="s">
        <v>61</v>
      </c>
      <c r="J1295" s="12" t="s">
        <v>30</v>
      </c>
      <c r="K1295" s="12" t="s">
        <v>31</v>
      </c>
      <c r="L1295" s="12" t="s">
        <v>45</v>
      </c>
      <c r="M1295" s="12">
        <v>5</v>
      </c>
      <c r="N1295" s="14">
        <v>4095.18</v>
      </c>
      <c r="O1295" s="15">
        <v>0.3</v>
      </c>
      <c r="P1295" s="14">
        <v>14333.13</v>
      </c>
      <c r="Q1295" s="14">
        <v>11015.43</v>
      </c>
      <c r="R1295" s="14">
        <v>3317.7</v>
      </c>
      <c r="S1295" s="12" t="s">
        <v>33</v>
      </c>
      <c r="T1295" s="12" t="s">
        <v>111</v>
      </c>
      <c r="U1295" s="12">
        <v>3</v>
      </c>
      <c r="V1295" s="12" t="s">
        <v>116</v>
      </c>
    </row>
    <row r="1296" spans="1:22" x14ac:dyDescent="0.3">
      <c r="A1296" s="8" t="s">
        <v>2116</v>
      </c>
      <c r="B1296" s="9">
        <v>45977</v>
      </c>
      <c r="C1296" s="8" t="s">
        <v>48</v>
      </c>
      <c r="D1296" s="8" t="s">
        <v>49</v>
      </c>
      <c r="E1296" s="8" t="s">
        <v>39</v>
      </c>
      <c r="F1296" s="8" t="s">
        <v>1432</v>
      </c>
      <c r="G1296" s="8" t="s">
        <v>41</v>
      </c>
      <c r="H1296" s="8" t="s">
        <v>42</v>
      </c>
      <c r="I1296" s="8" t="s">
        <v>61</v>
      </c>
      <c r="J1296" s="8" t="s">
        <v>89</v>
      </c>
      <c r="K1296" s="8" t="s">
        <v>90</v>
      </c>
      <c r="L1296" s="8" t="s">
        <v>175</v>
      </c>
      <c r="M1296" s="8">
        <v>5</v>
      </c>
      <c r="N1296" s="10">
        <v>3518.71</v>
      </c>
      <c r="O1296" s="11">
        <v>0.1</v>
      </c>
      <c r="P1296" s="10">
        <v>15834.19</v>
      </c>
      <c r="Q1296" s="10">
        <v>10783.77</v>
      </c>
      <c r="R1296" s="10">
        <v>5050.42</v>
      </c>
      <c r="S1296" s="8" t="s">
        <v>83</v>
      </c>
      <c r="T1296" s="8" t="s">
        <v>111</v>
      </c>
      <c r="U1296" s="8">
        <v>3</v>
      </c>
      <c r="V1296" s="8" t="s">
        <v>65</v>
      </c>
    </row>
    <row r="1297" spans="1:22" x14ac:dyDescent="0.3">
      <c r="A1297" s="12" t="s">
        <v>2117</v>
      </c>
      <c r="B1297" s="13">
        <v>45876</v>
      </c>
      <c r="C1297" s="12" t="s">
        <v>23</v>
      </c>
      <c r="D1297" s="12" t="s">
        <v>24</v>
      </c>
      <c r="E1297" s="12" t="s">
        <v>25</v>
      </c>
      <c r="F1297" s="12" t="s">
        <v>1879</v>
      </c>
      <c r="G1297" s="12" t="s">
        <v>41</v>
      </c>
      <c r="H1297" s="12" t="s">
        <v>81</v>
      </c>
      <c r="I1297" s="12" t="s">
        <v>29</v>
      </c>
      <c r="J1297" s="12" t="s">
        <v>30</v>
      </c>
      <c r="K1297" s="12" t="s">
        <v>62</v>
      </c>
      <c r="L1297" s="12" t="s">
        <v>103</v>
      </c>
      <c r="M1297" s="12">
        <v>4</v>
      </c>
      <c r="N1297" s="14">
        <v>1042.92</v>
      </c>
      <c r="O1297" s="15">
        <v>0.25</v>
      </c>
      <c r="P1297" s="14">
        <v>3128.76</v>
      </c>
      <c r="Q1297" s="14">
        <v>1806.15</v>
      </c>
      <c r="R1297" s="14">
        <v>1322.61</v>
      </c>
      <c r="S1297" s="12" t="s">
        <v>53</v>
      </c>
      <c r="T1297" s="12" t="s">
        <v>111</v>
      </c>
      <c r="U1297" s="12">
        <v>5</v>
      </c>
      <c r="V1297" s="12" t="s">
        <v>72</v>
      </c>
    </row>
    <row r="1298" spans="1:22" x14ac:dyDescent="0.3">
      <c r="A1298" s="8" t="s">
        <v>2118</v>
      </c>
      <c r="B1298" s="9">
        <v>45934</v>
      </c>
      <c r="C1298" s="8" t="s">
        <v>113</v>
      </c>
      <c r="D1298" s="8" t="s">
        <v>114</v>
      </c>
      <c r="E1298" s="8" t="s">
        <v>59</v>
      </c>
      <c r="F1298" s="8" t="s">
        <v>466</v>
      </c>
      <c r="G1298" s="8" t="s">
        <v>41</v>
      </c>
      <c r="H1298" s="8" t="s">
        <v>28</v>
      </c>
      <c r="I1298" s="8" t="s">
        <v>61</v>
      </c>
      <c r="J1298" s="8" t="s">
        <v>75</v>
      </c>
      <c r="K1298" s="8" t="s">
        <v>95</v>
      </c>
      <c r="L1298" s="8" t="s">
        <v>175</v>
      </c>
      <c r="M1298" s="8">
        <v>4</v>
      </c>
      <c r="N1298" s="10">
        <v>24203.29</v>
      </c>
      <c r="O1298" s="11">
        <v>0.05</v>
      </c>
      <c r="P1298" s="10">
        <v>91972.5</v>
      </c>
      <c r="Q1298" s="10">
        <v>70677.100000000006</v>
      </c>
      <c r="R1298" s="10">
        <v>21295.4</v>
      </c>
      <c r="S1298" s="8" t="s">
        <v>33</v>
      </c>
      <c r="T1298" s="8" t="s">
        <v>54</v>
      </c>
      <c r="U1298" s="8">
        <v>3</v>
      </c>
      <c r="V1298" s="8" t="s">
        <v>123</v>
      </c>
    </row>
    <row r="1299" spans="1:22" x14ac:dyDescent="0.3">
      <c r="A1299" s="12" t="s">
        <v>2119</v>
      </c>
      <c r="B1299" s="13">
        <v>45800</v>
      </c>
      <c r="C1299" s="12" t="s">
        <v>57</v>
      </c>
      <c r="D1299" s="12" t="s">
        <v>58</v>
      </c>
      <c r="E1299" s="12" t="s">
        <v>59</v>
      </c>
      <c r="F1299" s="12" t="s">
        <v>2088</v>
      </c>
      <c r="G1299" s="12" t="s">
        <v>27</v>
      </c>
      <c r="H1299" s="12" t="s">
        <v>81</v>
      </c>
      <c r="I1299" s="12" t="s">
        <v>29</v>
      </c>
      <c r="J1299" s="12" t="s">
        <v>43</v>
      </c>
      <c r="K1299" s="12" t="s">
        <v>51</v>
      </c>
      <c r="L1299" s="12" t="s">
        <v>32</v>
      </c>
      <c r="M1299" s="12">
        <v>3</v>
      </c>
      <c r="N1299" s="14">
        <v>1525.97</v>
      </c>
      <c r="O1299" s="15">
        <v>0.05</v>
      </c>
      <c r="P1299" s="14">
        <v>4349.01</v>
      </c>
      <c r="Q1299" s="14">
        <v>2065.7600000000002</v>
      </c>
      <c r="R1299" s="14">
        <v>2283.25</v>
      </c>
      <c r="S1299" s="12" t="s">
        <v>53</v>
      </c>
      <c r="T1299" s="12" t="s">
        <v>78</v>
      </c>
      <c r="U1299" s="12">
        <v>3</v>
      </c>
      <c r="V1299" s="12" t="s">
        <v>134</v>
      </c>
    </row>
    <row r="1300" spans="1:22" x14ac:dyDescent="0.3">
      <c r="A1300" s="8" t="s">
        <v>2120</v>
      </c>
      <c r="B1300" s="9">
        <v>45927</v>
      </c>
      <c r="C1300" s="8" t="s">
        <v>37</v>
      </c>
      <c r="D1300" s="8" t="s">
        <v>38</v>
      </c>
      <c r="E1300" s="8" t="s">
        <v>39</v>
      </c>
      <c r="F1300" s="8" t="s">
        <v>241</v>
      </c>
      <c r="G1300" s="8" t="s">
        <v>27</v>
      </c>
      <c r="H1300" s="8" t="s">
        <v>42</v>
      </c>
      <c r="I1300" s="8" t="s">
        <v>29</v>
      </c>
      <c r="J1300" s="8" t="s">
        <v>75</v>
      </c>
      <c r="K1300" s="8" t="s">
        <v>76</v>
      </c>
      <c r="L1300" s="8" t="s">
        <v>91</v>
      </c>
      <c r="M1300" s="8">
        <v>1</v>
      </c>
      <c r="N1300" s="10">
        <v>793.8</v>
      </c>
      <c r="O1300" s="11">
        <v>0.3</v>
      </c>
      <c r="P1300" s="10">
        <v>555.66</v>
      </c>
      <c r="Q1300" s="10">
        <v>342.72</v>
      </c>
      <c r="R1300" s="10">
        <v>212.94</v>
      </c>
      <c r="S1300" s="8" t="s">
        <v>63</v>
      </c>
      <c r="T1300" s="8" t="s">
        <v>64</v>
      </c>
      <c r="U1300" s="8">
        <v>3</v>
      </c>
      <c r="V1300" s="8" t="s">
        <v>116</v>
      </c>
    </row>
    <row r="1301" spans="1:22" x14ac:dyDescent="0.3">
      <c r="A1301" s="12" t="s">
        <v>2121</v>
      </c>
      <c r="B1301" s="13">
        <v>46017</v>
      </c>
      <c r="C1301" s="12" t="s">
        <v>131</v>
      </c>
      <c r="D1301" s="12" t="s">
        <v>132</v>
      </c>
      <c r="E1301" s="12" t="s">
        <v>25</v>
      </c>
      <c r="F1301" s="12" t="s">
        <v>906</v>
      </c>
      <c r="G1301" s="12" t="s">
        <v>41</v>
      </c>
      <c r="H1301" s="12" t="s">
        <v>28</v>
      </c>
      <c r="I1301" s="12" t="s">
        <v>61</v>
      </c>
      <c r="J1301" s="12" t="s">
        <v>89</v>
      </c>
      <c r="K1301" s="12" t="s">
        <v>90</v>
      </c>
      <c r="L1301" s="12" t="s">
        <v>77</v>
      </c>
      <c r="M1301" s="12">
        <v>2</v>
      </c>
      <c r="N1301" s="14">
        <v>3582.27</v>
      </c>
      <c r="O1301" s="15">
        <v>0.2</v>
      </c>
      <c r="P1301" s="14">
        <v>5731.63</v>
      </c>
      <c r="Q1301" s="14">
        <v>4138.3</v>
      </c>
      <c r="R1301" s="14">
        <v>1593.33</v>
      </c>
      <c r="S1301" s="12" t="s">
        <v>63</v>
      </c>
      <c r="T1301" s="12" t="s">
        <v>64</v>
      </c>
      <c r="U1301" s="12">
        <v>3</v>
      </c>
      <c r="V1301" s="12" t="s">
        <v>35</v>
      </c>
    </row>
    <row r="1302" spans="1:22" x14ac:dyDescent="0.3">
      <c r="A1302" s="8" t="s">
        <v>2122</v>
      </c>
      <c r="B1302" s="9">
        <v>45867</v>
      </c>
      <c r="C1302" s="8" t="s">
        <v>131</v>
      </c>
      <c r="D1302" s="8" t="s">
        <v>132</v>
      </c>
      <c r="E1302" s="8" t="s">
        <v>25</v>
      </c>
      <c r="F1302" s="8" t="s">
        <v>2123</v>
      </c>
      <c r="G1302" s="8" t="s">
        <v>41</v>
      </c>
      <c r="H1302" s="8" t="s">
        <v>28</v>
      </c>
      <c r="I1302" s="8" t="s">
        <v>29</v>
      </c>
      <c r="J1302" s="8" t="s">
        <v>89</v>
      </c>
      <c r="K1302" s="8" t="s">
        <v>90</v>
      </c>
      <c r="L1302" s="8" t="s">
        <v>32</v>
      </c>
      <c r="M1302" s="8">
        <v>2</v>
      </c>
      <c r="N1302" s="10">
        <v>3650.88</v>
      </c>
      <c r="O1302" s="11">
        <v>0.2</v>
      </c>
      <c r="P1302" s="10">
        <v>5841.41</v>
      </c>
      <c r="Q1302" s="10">
        <v>4221.78</v>
      </c>
      <c r="R1302" s="10">
        <v>1619.63</v>
      </c>
      <c r="S1302" s="8" t="s">
        <v>63</v>
      </c>
      <c r="T1302" s="8" t="s">
        <v>34</v>
      </c>
      <c r="U1302" s="8">
        <v>5</v>
      </c>
      <c r="V1302" s="8" t="s">
        <v>120</v>
      </c>
    </row>
    <row r="1303" spans="1:22" x14ac:dyDescent="0.3">
      <c r="A1303" s="12" t="s">
        <v>2124</v>
      </c>
      <c r="B1303" s="13">
        <v>45803</v>
      </c>
      <c r="C1303" s="12" t="s">
        <v>23</v>
      </c>
      <c r="D1303" s="12" t="s">
        <v>24</v>
      </c>
      <c r="E1303" s="12" t="s">
        <v>25</v>
      </c>
      <c r="F1303" s="12" t="s">
        <v>2125</v>
      </c>
      <c r="G1303" s="12" t="s">
        <v>41</v>
      </c>
      <c r="H1303" s="12" t="s">
        <v>28</v>
      </c>
      <c r="I1303" s="12" t="s">
        <v>61</v>
      </c>
      <c r="J1303" s="12" t="s">
        <v>30</v>
      </c>
      <c r="K1303" s="12" t="s">
        <v>62</v>
      </c>
      <c r="L1303" s="12" t="s">
        <v>91</v>
      </c>
      <c r="M1303" s="12">
        <v>3</v>
      </c>
      <c r="N1303" s="14">
        <v>1033.5999999999999</v>
      </c>
      <c r="O1303" s="15">
        <v>0</v>
      </c>
      <c r="P1303" s="14">
        <v>3100.8</v>
      </c>
      <c r="Q1303" s="14">
        <v>1356.69</v>
      </c>
      <c r="R1303" s="14">
        <v>1744.11</v>
      </c>
      <c r="S1303" s="12" t="s">
        <v>33</v>
      </c>
      <c r="T1303" s="12" t="s">
        <v>78</v>
      </c>
      <c r="U1303" s="12">
        <v>3</v>
      </c>
      <c r="V1303" s="12" t="s">
        <v>134</v>
      </c>
    </row>
    <row r="1304" spans="1:22" x14ac:dyDescent="0.3">
      <c r="A1304" s="8" t="s">
        <v>2126</v>
      </c>
      <c r="B1304" s="9">
        <v>45984</v>
      </c>
      <c r="C1304" s="8" t="s">
        <v>23</v>
      </c>
      <c r="D1304" s="8" t="s">
        <v>24</v>
      </c>
      <c r="E1304" s="8" t="s">
        <v>25</v>
      </c>
      <c r="F1304" s="8" t="s">
        <v>2047</v>
      </c>
      <c r="G1304" s="8" t="s">
        <v>27</v>
      </c>
      <c r="H1304" s="8" t="s">
        <v>81</v>
      </c>
      <c r="I1304" s="8" t="s">
        <v>29</v>
      </c>
      <c r="J1304" s="8" t="s">
        <v>30</v>
      </c>
      <c r="K1304" s="8" t="s">
        <v>31</v>
      </c>
      <c r="L1304" s="8" t="s">
        <v>52</v>
      </c>
      <c r="M1304" s="8">
        <v>4</v>
      </c>
      <c r="N1304" s="10">
        <v>3908.29</v>
      </c>
      <c r="O1304" s="11">
        <v>0.1</v>
      </c>
      <c r="P1304" s="10">
        <v>14069.84</v>
      </c>
      <c r="Q1304" s="10">
        <v>8634.9699999999993</v>
      </c>
      <c r="R1304" s="10">
        <v>5434.87</v>
      </c>
      <c r="S1304" s="8" t="s">
        <v>83</v>
      </c>
      <c r="T1304" s="8" t="s">
        <v>34</v>
      </c>
      <c r="U1304" s="8">
        <v>4</v>
      </c>
      <c r="V1304" s="8" t="s">
        <v>65</v>
      </c>
    </row>
    <row r="1305" spans="1:22" x14ac:dyDescent="0.3">
      <c r="A1305" s="12" t="s">
        <v>2127</v>
      </c>
      <c r="B1305" s="13">
        <v>45687</v>
      </c>
      <c r="C1305" s="12" t="s">
        <v>107</v>
      </c>
      <c r="D1305" s="12" t="s">
        <v>108</v>
      </c>
      <c r="E1305" s="12" t="s">
        <v>39</v>
      </c>
      <c r="F1305" s="12" t="s">
        <v>2128</v>
      </c>
      <c r="G1305" s="12" t="s">
        <v>41</v>
      </c>
      <c r="H1305" s="12" t="s">
        <v>81</v>
      </c>
      <c r="I1305" s="12" t="s">
        <v>68</v>
      </c>
      <c r="J1305" s="12" t="s">
        <v>89</v>
      </c>
      <c r="K1305" s="12" t="s">
        <v>89</v>
      </c>
      <c r="L1305" s="12" t="s">
        <v>45</v>
      </c>
      <c r="M1305" s="12">
        <v>5</v>
      </c>
      <c r="N1305" s="14">
        <v>1251.51</v>
      </c>
      <c r="O1305" s="15">
        <v>0.2</v>
      </c>
      <c r="P1305" s="14">
        <v>5006.04</v>
      </c>
      <c r="Q1305" s="14">
        <v>3649.79</v>
      </c>
      <c r="R1305" s="14">
        <v>1356.25</v>
      </c>
      <c r="S1305" s="12" t="s">
        <v>83</v>
      </c>
      <c r="T1305" s="12" t="s">
        <v>34</v>
      </c>
      <c r="U1305" s="12">
        <v>3</v>
      </c>
      <c r="V1305" s="12" t="s">
        <v>84</v>
      </c>
    </row>
    <row r="1306" spans="1:22" x14ac:dyDescent="0.3">
      <c r="A1306" s="8" t="s">
        <v>2129</v>
      </c>
      <c r="B1306" s="9">
        <v>45838</v>
      </c>
      <c r="C1306" s="8" t="s">
        <v>107</v>
      </c>
      <c r="D1306" s="8" t="s">
        <v>108</v>
      </c>
      <c r="E1306" s="8" t="s">
        <v>39</v>
      </c>
      <c r="F1306" s="8" t="s">
        <v>2130</v>
      </c>
      <c r="G1306" s="8" t="s">
        <v>41</v>
      </c>
      <c r="H1306" s="8" t="s">
        <v>42</v>
      </c>
      <c r="I1306" s="8" t="s">
        <v>61</v>
      </c>
      <c r="J1306" s="8" t="s">
        <v>75</v>
      </c>
      <c r="K1306" s="8" t="s">
        <v>154</v>
      </c>
      <c r="L1306" s="8" t="s">
        <v>82</v>
      </c>
      <c r="M1306" s="8">
        <v>1</v>
      </c>
      <c r="N1306" s="10">
        <v>1953.11</v>
      </c>
      <c r="O1306" s="11">
        <v>0.25</v>
      </c>
      <c r="P1306" s="10">
        <v>1464.83</v>
      </c>
      <c r="Q1306" s="10">
        <v>1046.95</v>
      </c>
      <c r="R1306" s="10">
        <v>417.88</v>
      </c>
      <c r="S1306" s="8" t="s">
        <v>53</v>
      </c>
      <c r="T1306" s="8" t="s">
        <v>71</v>
      </c>
      <c r="U1306" s="8">
        <v>3</v>
      </c>
      <c r="V1306" s="8" t="s">
        <v>157</v>
      </c>
    </row>
    <row r="1307" spans="1:22" x14ac:dyDescent="0.3">
      <c r="A1307" s="12" t="s">
        <v>2131</v>
      </c>
      <c r="B1307" s="13">
        <v>45884</v>
      </c>
      <c r="C1307" s="12" t="s">
        <v>37</v>
      </c>
      <c r="D1307" s="12" t="s">
        <v>38</v>
      </c>
      <c r="E1307" s="12" t="s">
        <v>39</v>
      </c>
      <c r="F1307" s="12" t="s">
        <v>1854</v>
      </c>
      <c r="G1307" s="12" t="s">
        <v>27</v>
      </c>
      <c r="H1307" s="12" t="s">
        <v>28</v>
      </c>
      <c r="I1307" s="12" t="s">
        <v>61</v>
      </c>
      <c r="J1307" s="12" t="s">
        <v>75</v>
      </c>
      <c r="K1307" s="12" t="s">
        <v>154</v>
      </c>
      <c r="L1307" s="12" t="s">
        <v>32</v>
      </c>
      <c r="M1307" s="12">
        <v>1</v>
      </c>
      <c r="N1307" s="14">
        <v>1930.12</v>
      </c>
      <c r="O1307" s="15">
        <v>0.15</v>
      </c>
      <c r="P1307" s="14">
        <v>1640.6</v>
      </c>
      <c r="Q1307" s="14">
        <v>1062.06</v>
      </c>
      <c r="R1307" s="14">
        <v>578.54</v>
      </c>
      <c r="S1307" s="12" t="s">
        <v>63</v>
      </c>
      <c r="T1307" s="12" t="s">
        <v>119</v>
      </c>
      <c r="U1307" s="12">
        <v>5</v>
      </c>
      <c r="V1307" s="12" t="s">
        <v>72</v>
      </c>
    </row>
    <row r="1308" spans="1:22" x14ac:dyDescent="0.3">
      <c r="A1308" s="8" t="s">
        <v>2132</v>
      </c>
      <c r="B1308" s="9">
        <v>45992</v>
      </c>
      <c r="C1308" s="8" t="s">
        <v>113</v>
      </c>
      <c r="D1308" s="8" t="s">
        <v>114</v>
      </c>
      <c r="E1308" s="8" t="s">
        <v>59</v>
      </c>
      <c r="F1308" s="8" t="s">
        <v>40</v>
      </c>
      <c r="G1308" s="8" t="s">
        <v>27</v>
      </c>
      <c r="H1308" s="8" t="s">
        <v>94</v>
      </c>
      <c r="I1308" s="8" t="s">
        <v>61</v>
      </c>
      <c r="J1308" s="8" t="s">
        <v>75</v>
      </c>
      <c r="K1308" s="8" t="s">
        <v>154</v>
      </c>
      <c r="L1308" s="8" t="s">
        <v>175</v>
      </c>
      <c r="M1308" s="8">
        <v>1</v>
      </c>
      <c r="N1308" s="10">
        <v>2048.5700000000002</v>
      </c>
      <c r="O1308" s="11">
        <v>0.1</v>
      </c>
      <c r="P1308" s="10">
        <v>1843.71</v>
      </c>
      <c r="Q1308" s="10">
        <v>1089.03</v>
      </c>
      <c r="R1308" s="10">
        <v>754.68</v>
      </c>
      <c r="S1308" s="8" t="s">
        <v>83</v>
      </c>
      <c r="T1308" s="8" t="s">
        <v>119</v>
      </c>
      <c r="U1308" s="8">
        <v>3</v>
      </c>
      <c r="V1308" s="8" t="s">
        <v>35</v>
      </c>
    </row>
    <row r="1309" spans="1:22" x14ac:dyDescent="0.3">
      <c r="A1309" s="12" t="s">
        <v>2133</v>
      </c>
      <c r="B1309" s="13">
        <v>45932</v>
      </c>
      <c r="C1309" s="12" t="s">
        <v>98</v>
      </c>
      <c r="D1309" s="12" t="s">
        <v>99</v>
      </c>
      <c r="E1309" s="12" t="s">
        <v>25</v>
      </c>
      <c r="F1309" s="12" t="s">
        <v>1202</v>
      </c>
      <c r="G1309" s="12" t="s">
        <v>41</v>
      </c>
      <c r="H1309" s="12" t="s">
        <v>94</v>
      </c>
      <c r="I1309" s="12" t="s">
        <v>61</v>
      </c>
      <c r="J1309" s="12" t="s">
        <v>69</v>
      </c>
      <c r="K1309" s="12" t="s">
        <v>137</v>
      </c>
      <c r="L1309" s="12" t="s">
        <v>45</v>
      </c>
      <c r="M1309" s="12">
        <v>5</v>
      </c>
      <c r="N1309" s="14">
        <v>509.65</v>
      </c>
      <c r="O1309" s="15">
        <v>0.15</v>
      </c>
      <c r="P1309" s="14">
        <v>2166.0100000000002</v>
      </c>
      <c r="Q1309" s="14">
        <v>1066.57</v>
      </c>
      <c r="R1309" s="14">
        <v>1099.44</v>
      </c>
      <c r="S1309" s="12" t="s">
        <v>63</v>
      </c>
      <c r="T1309" s="12" t="s">
        <v>147</v>
      </c>
      <c r="U1309" s="12">
        <v>4</v>
      </c>
      <c r="V1309" s="12" t="s">
        <v>123</v>
      </c>
    </row>
    <row r="1310" spans="1:22" x14ac:dyDescent="0.3">
      <c r="A1310" s="8" t="s">
        <v>2134</v>
      </c>
      <c r="B1310" s="9">
        <v>45677</v>
      </c>
      <c r="C1310" s="8" t="s">
        <v>86</v>
      </c>
      <c r="D1310" s="8" t="s">
        <v>87</v>
      </c>
      <c r="E1310" s="8" t="s">
        <v>59</v>
      </c>
      <c r="F1310" s="8" t="s">
        <v>2135</v>
      </c>
      <c r="G1310" s="8" t="s">
        <v>41</v>
      </c>
      <c r="H1310" s="8" t="s">
        <v>28</v>
      </c>
      <c r="I1310" s="8" t="s">
        <v>68</v>
      </c>
      <c r="J1310" s="8" t="s">
        <v>43</v>
      </c>
      <c r="K1310" s="8" t="s">
        <v>162</v>
      </c>
      <c r="L1310" s="8" t="s">
        <v>91</v>
      </c>
      <c r="M1310" s="8">
        <v>2</v>
      </c>
      <c r="N1310" s="10">
        <v>855.47</v>
      </c>
      <c r="O1310" s="11">
        <v>0.25</v>
      </c>
      <c r="P1310" s="10">
        <v>1283.2</v>
      </c>
      <c r="Q1310" s="10">
        <v>833.6</v>
      </c>
      <c r="R1310" s="10">
        <v>449.6</v>
      </c>
      <c r="S1310" s="8" t="s">
        <v>83</v>
      </c>
      <c r="T1310" s="8" t="s">
        <v>156</v>
      </c>
      <c r="U1310" s="8">
        <v>3</v>
      </c>
      <c r="V1310" s="8" t="s">
        <v>84</v>
      </c>
    </row>
    <row r="1311" spans="1:22" x14ac:dyDescent="0.3">
      <c r="A1311" s="12" t="s">
        <v>2136</v>
      </c>
      <c r="B1311" s="13">
        <v>45927</v>
      </c>
      <c r="C1311" s="12" t="s">
        <v>57</v>
      </c>
      <c r="D1311" s="12" t="s">
        <v>58</v>
      </c>
      <c r="E1311" s="12" t="s">
        <v>59</v>
      </c>
      <c r="F1311" s="12" t="s">
        <v>1061</v>
      </c>
      <c r="G1311" s="12" t="s">
        <v>27</v>
      </c>
      <c r="H1311" s="12" t="s">
        <v>28</v>
      </c>
      <c r="I1311" s="12" t="s">
        <v>68</v>
      </c>
      <c r="J1311" s="12" t="s">
        <v>30</v>
      </c>
      <c r="K1311" s="12" t="s">
        <v>144</v>
      </c>
      <c r="L1311" s="12" t="s">
        <v>91</v>
      </c>
      <c r="M1311" s="12">
        <v>2</v>
      </c>
      <c r="N1311" s="14">
        <v>2450.46</v>
      </c>
      <c r="O1311" s="15">
        <v>0.2</v>
      </c>
      <c r="P1311" s="14">
        <v>3920.74</v>
      </c>
      <c r="Q1311" s="14">
        <v>2866.02</v>
      </c>
      <c r="R1311" s="14">
        <v>1054.72</v>
      </c>
      <c r="S1311" s="12" t="s">
        <v>83</v>
      </c>
      <c r="T1311" s="12" t="s">
        <v>54</v>
      </c>
      <c r="U1311" s="12">
        <v>3</v>
      </c>
      <c r="V1311" s="12" t="s">
        <v>116</v>
      </c>
    </row>
    <row r="1312" spans="1:22" x14ac:dyDescent="0.3">
      <c r="A1312" s="8" t="s">
        <v>2137</v>
      </c>
      <c r="B1312" s="9">
        <v>45812</v>
      </c>
      <c r="C1312" s="8" t="s">
        <v>37</v>
      </c>
      <c r="D1312" s="8" t="s">
        <v>38</v>
      </c>
      <c r="E1312" s="8" t="s">
        <v>39</v>
      </c>
      <c r="F1312" s="8" t="s">
        <v>1332</v>
      </c>
      <c r="G1312" s="8" t="s">
        <v>27</v>
      </c>
      <c r="H1312" s="8" t="s">
        <v>42</v>
      </c>
      <c r="I1312" s="8" t="s">
        <v>61</v>
      </c>
      <c r="J1312" s="8" t="s">
        <v>30</v>
      </c>
      <c r="K1312" s="8" t="s">
        <v>62</v>
      </c>
      <c r="L1312" s="8" t="s">
        <v>45</v>
      </c>
      <c r="M1312" s="8">
        <v>4</v>
      </c>
      <c r="N1312" s="10">
        <v>1036.3800000000001</v>
      </c>
      <c r="O1312" s="11">
        <v>0.2</v>
      </c>
      <c r="P1312" s="10">
        <v>3316.42</v>
      </c>
      <c r="Q1312" s="10">
        <v>1770.15</v>
      </c>
      <c r="R1312" s="10">
        <v>1546.27</v>
      </c>
      <c r="S1312" s="8" t="s">
        <v>63</v>
      </c>
      <c r="T1312" s="8" t="s">
        <v>78</v>
      </c>
      <c r="U1312" s="8">
        <v>4</v>
      </c>
      <c r="V1312" s="8" t="s">
        <v>157</v>
      </c>
    </row>
    <row r="1313" spans="1:22" x14ac:dyDescent="0.3">
      <c r="A1313" s="12" t="s">
        <v>2138</v>
      </c>
      <c r="B1313" s="13">
        <v>45848</v>
      </c>
      <c r="C1313" s="12" t="s">
        <v>113</v>
      </c>
      <c r="D1313" s="12" t="s">
        <v>114</v>
      </c>
      <c r="E1313" s="12" t="s">
        <v>59</v>
      </c>
      <c r="F1313" s="12" t="s">
        <v>437</v>
      </c>
      <c r="G1313" s="12" t="s">
        <v>41</v>
      </c>
      <c r="H1313" s="12" t="s">
        <v>94</v>
      </c>
      <c r="I1313" s="12" t="s">
        <v>68</v>
      </c>
      <c r="J1313" s="12" t="s">
        <v>30</v>
      </c>
      <c r="K1313" s="12" t="s">
        <v>31</v>
      </c>
      <c r="L1313" s="12" t="s">
        <v>77</v>
      </c>
      <c r="M1313" s="12">
        <v>1</v>
      </c>
      <c r="N1313" s="14">
        <v>4183.6899999999996</v>
      </c>
      <c r="O1313" s="15">
        <v>0.15</v>
      </c>
      <c r="P1313" s="14">
        <v>3556.14</v>
      </c>
      <c r="Q1313" s="14">
        <v>2118.58</v>
      </c>
      <c r="R1313" s="14">
        <v>1437.56</v>
      </c>
      <c r="S1313" s="12" t="s">
        <v>33</v>
      </c>
      <c r="T1313" s="12" t="s">
        <v>104</v>
      </c>
      <c r="U1313" s="12">
        <v>5</v>
      </c>
      <c r="V1313" s="12" t="s">
        <v>120</v>
      </c>
    </row>
    <row r="1314" spans="1:22" x14ac:dyDescent="0.3">
      <c r="A1314" s="8" t="s">
        <v>2139</v>
      </c>
      <c r="B1314" s="9">
        <v>45761</v>
      </c>
      <c r="C1314" s="8" t="s">
        <v>98</v>
      </c>
      <c r="D1314" s="8" t="s">
        <v>99</v>
      </c>
      <c r="E1314" s="8" t="s">
        <v>25</v>
      </c>
      <c r="F1314" s="8" t="s">
        <v>2140</v>
      </c>
      <c r="G1314" s="8" t="s">
        <v>27</v>
      </c>
      <c r="H1314" s="8" t="s">
        <v>81</v>
      </c>
      <c r="I1314" s="8" t="s">
        <v>68</v>
      </c>
      <c r="J1314" s="8" t="s">
        <v>89</v>
      </c>
      <c r="K1314" s="8" t="s">
        <v>151</v>
      </c>
      <c r="L1314" s="8" t="s">
        <v>103</v>
      </c>
      <c r="M1314" s="8">
        <v>4</v>
      </c>
      <c r="N1314" s="10">
        <v>1033.52</v>
      </c>
      <c r="O1314" s="11">
        <v>0.25</v>
      </c>
      <c r="P1314" s="10">
        <v>3100.56</v>
      </c>
      <c r="Q1314" s="10">
        <v>2042.25</v>
      </c>
      <c r="R1314" s="10">
        <v>1058.31</v>
      </c>
      <c r="S1314" s="8" t="s">
        <v>53</v>
      </c>
      <c r="T1314" s="8" t="s">
        <v>119</v>
      </c>
      <c r="U1314" s="8">
        <v>3</v>
      </c>
      <c r="V1314" s="8" t="s">
        <v>96</v>
      </c>
    </row>
    <row r="1315" spans="1:22" x14ac:dyDescent="0.3">
      <c r="A1315" s="12" t="s">
        <v>2141</v>
      </c>
      <c r="B1315" s="13">
        <v>45770</v>
      </c>
      <c r="C1315" s="12" t="s">
        <v>23</v>
      </c>
      <c r="D1315" s="12" t="s">
        <v>24</v>
      </c>
      <c r="E1315" s="12" t="s">
        <v>25</v>
      </c>
      <c r="F1315" s="12" t="s">
        <v>475</v>
      </c>
      <c r="G1315" s="12" t="s">
        <v>27</v>
      </c>
      <c r="H1315" s="12" t="s">
        <v>28</v>
      </c>
      <c r="I1315" s="12" t="s">
        <v>68</v>
      </c>
      <c r="J1315" s="12" t="s">
        <v>69</v>
      </c>
      <c r="K1315" s="12" t="s">
        <v>180</v>
      </c>
      <c r="L1315" s="12" t="s">
        <v>103</v>
      </c>
      <c r="M1315" s="12">
        <v>1</v>
      </c>
      <c r="N1315" s="14">
        <v>1524.05</v>
      </c>
      <c r="O1315" s="15">
        <v>0.1</v>
      </c>
      <c r="P1315" s="14">
        <v>1371.64</v>
      </c>
      <c r="Q1315" s="14">
        <v>854.65</v>
      </c>
      <c r="R1315" s="14">
        <v>516.99</v>
      </c>
      <c r="S1315" s="12" t="s">
        <v>63</v>
      </c>
      <c r="T1315" s="12" t="s">
        <v>64</v>
      </c>
      <c r="U1315" s="12">
        <v>5</v>
      </c>
      <c r="V1315" s="12" t="s">
        <v>96</v>
      </c>
    </row>
    <row r="1316" spans="1:22" x14ac:dyDescent="0.3">
      <c r="A1316" s="8" t="s">
        <v>2142</v>
      </c>
      <c r="B1316" s="9">
        <v>45664</v>
      </c>
      <c r="C1316" s="8" t="s">
        <v>113</v>
      </c>
      <c r="D1316" s="8" t="s">
        <v>114</v>
      </c>
      <c r="E1316" s="8" t="s">
        <v>59</v>
      </c>
      <c r="F1316" s="8" t="s">
        <v>191</v>
      </c>
      <c r="G1316" s="8" t="s">
        <v>27</v>
      </c>
      <c r="H1316" s="8" t="s">
        <v>81</v>
      </c>
      <c r="I1316" s="8" t="s">
        <v>61</v>
      </c>
      <c r="J1316" s="8" t="s">
        <v>89</v>
      </c>
      <c r="K1316" s="8" t="s">
        <v>89</v>
      </c>
      <c r="L1316" s="8" t="s">
        <v>32</v>
      </c>
      <c r="M1316" s="8">
        <v>1</v>
      </c>
      <c r="N1316" s="10">
        <v>1292.8399999999999</v>
      </c>
      <c r="O1316" s="11">
        <v>0.05</v>
      </c>
      <c r="P1316" s="10">
        <v>1228.2</v>
      </c>
      <c r="Q1316" s="10">
        <v>702.71</v>
      </c>
      <c r="R1316" s="10">
        <v>525.49</v>
      </c>
      <c r="S1316" s="8" t="s">
        <v>83</v>
      </c>
      <c r="T1316" s="8" t="s">
        <v>147</v>
      </c>
      <c r="U1316" s="8">
        <v>5</v>
      </c>
      <c r="V1316" s="8" t="s">
        <v>84</v>
      </c>
    </row>
    <row r="1317" spans="1:22" x14ac:dyDescent="0.3">
      <c r="A1317" s="12" t="s">
        <v>2143</v>
      </c>
      <c r="B1317" s="13">
        <v>45821</v>
      </c>
      <c r="C1317" s="12" t="s">
        <v>107</v>
      </c>
      <c r="D1317" s="12" t="s">
        <v>108</v>
      </c>
      <c r="E1317" s="12" t="s">
        <v>39</v>
      </c>
      <c r="F1317" s="12" t="s">
        <v>2144</v>
      </c>
      <c r="G1317" s="12" t="s">
        <v>41</v>
      </c>
      <c r="H1317" s="12" t="s">
        <v>81</v>
      </c>
      <c r="I1317" s="12" t="s">
        <v>68</v>
      </c>
      <c r="J1317" s="12" t="s">
        <v>75</v>
      </c>
      <c r="K1317" s="12" t="s">
        <v>154</v>
      </c>
      <c r="L1317" s="12" t="s">
        <v>82</v>
      </c>
      <c r="M1317" s="12">
        <v>4</v>
      </c>
      <c r="N1317" s="14">
        <v>1969.47</v>
      </c>
      <c r="O1317" s="15">
        <v>0.05</v>
      </c>
      <c r="P1317" s="14">
        <v>7483.99</v>
      </c>
      <c r="Q1317" s="14">
        <v>4585.09</v>
      </c>
      <c r="R1317" s="14">
        <v>2898.9</v>
      </c>
      <c r="S1317" s="12" t="s">
        <v>33</v>
      </c>
      <c r="T1317" s="12" t="s">
        <v>34</v>
      </c>
      <c r="U1317" s="12">
        <v>4</v>
      </c>
      <c r="V1317" s="12" t="s">
        <v>157</v>
      </c>
    </row>
    <row r="1318" spans="1:22" x14ac:dyDescent="0.3">
      <c r="A1318" s="8" t="s">
        <v>2145</v>
      </c>
      <c r="B1318" s="9">
        <v>45832</v>
      </c>
      <c r="C1318" s="8" t="s">
        <v>98</v>
      </c>
      <c r="D1318" s="8" t="s">
        <v>99</v>
      </c>
      <c r="E1318" s="8" t="s">
        <v>25</v>
      </c>
      <c r="F1318" s="8" t="s">
        <v>631</v>
      </c>
      <c r="G1318" s="8" t="s">
        <v>41</v>
      </c>
      <c r="H1318" s="8" t="s">
        <v>81</v>
      </c>
      <c r="I1318" s="8" t="s">
        <v>29</v>
      </c>
      <c r="J1318" s="8" t="s">
        <v>101</v>
      </c>
      <c r="K1318" s="8" t="s">
        <v>102</v>
      </c>
      <c r="L1318" s="8" t="s">
        <v>32</v>
      </c>
      <c r="M1318" s="8">
        <v>2</v>
      </c>
      <c r="N1318" s="10">
        <v>729</v>
      </c>
      <c r="O1318" s="11">
        <v>0</v>
      </c>
      <c r="P1318" s="10">
        <v>1458</v>
      </c>
      <c r="Q1318" s="10">
        <v>495.29</v>
      </c>
      <c r="R1318" s="10">
        <v>962.71</v>
      </c>
      <c r="S1318" s="8" t="s">
        <v>33</v>
      </c>
      <c r="T1318" s="8" t="s">
        <v>34</v>
      </c>
      <c r="U1318" s="8">
        <v>5</v>
      </c>
      <c r="V1318" s="8" t="s">
        <v>157</v>
      </c>
    </row>
    <row r="1319" spans="1:22" x14ac:dyDescent="0.3">
      <c r="A1319" s="12" t="s">
        <v>2146</v>
      </c>
      <c r="B1319" s="13">
        <v>45962</v>
      </c>
      <c r="C1319" s="12" t="s">
        <v>23</v>
      </c>
      <c r="D1319" s="12" t="s">
        <v>24</v>
      </c>
      <c r="E1319" s="12" t="s">
        <v>25</v>
      </c>
      <c r="F1319" s="12" t="s">
        <v>1320</v>
      </c>
      <c r="G1319" s="12" t="s">
        <v>27</v>
      </c>
      <c r="H1319" s="12" t="s">
        <v>94</v>
      </c>
      <c r="I1319" s="12" t="s">
        <v>29</v>
      </c>
      <c r="J1319" s="12" t="s">
        <v>101</v>
      </c>
      <c r="K1319" s="12" t="s">
        <v>217</v>
      </c>
      <c r="L1319" s="12" t="s">
        <v>103</v>
      </c>
      <c r="M1319" s="12">
        <v>4</v>
      </c>
      <c r="N1319" s="14">
        <v>2884.6</v>
      </c>
      <c r="O1319" s="15">
        <v>0.2</v>
      </c>
      <c r="P1319" s="14">
        <v>9230.7199999999993</v>
      </c>
      <c r="Q1319" s="14">
        <v>6972.05</v>
      </c>
      <c r="R1319" s="14">
        <v>2258.67</v>
      </c>
      <c r="S1319" s="12" t="s">
        <v>33</v>
      </c>
      <c r="T1319" s="12" t="s">
        <v>71</v>
      </c>
      <c r="U1319" s="12">
        <v>4</v>
      </c>
      <c r="V1319" s="12" t="s">
        <v>65</v>
      </c>
    </row>
    <row r="1320" spans="1:22" x14ac:dyDescent="0.3">
      <c r="A1320" s="8" t="s">
        <v>2147</v>
      </c>
      <c r="B1320" s="9">
        <v>45955</v>
      </c>
      <c r="C1320" s="8" t="s">
        <v>98</v>
      </c>
      <c r="D1320" s="8" t="s">
        <v>99</v>
      </c>
      <c r="E1320" s="8" t="s">
        <v>25</v>
      </c>
      <c r="F1320" s="8" t="s">
        <v>580</v>
      </c>
      <c r="G1320" s="8" t="s">
        <v>41</v>
      </c>
      <c r="H1320" s="8" t="s">
        <v>81</v>
      </c>
      <c r="I1320" s="8" t="s">
        <v>61</v>
      </c>
      <c r="J1320" s="8" t="s">
        <v>75</v>
      </c>
      <c r="K1320" s="8" t="s">
        <v>154</v>
      </c>
      <c r="L1320" s="8" t="s">
        <v>91</v>
      </c>
      <c r="M1320" s="8">
        <v>3</v>
      </c>
      <c r="N1320" s="10">
        <v>1991.58</v>
      </c>
      <c r="O1320" s="11">
        <v>0.15</v>
      </c>
      <c r="P1320" s="10">
        <v>5078.53</v>
      </c>
      <c r="Q1320" s="10">
        <v>3405.58</v>
      </c>
      <c r="R1320" s="10">
        <v>1672.95</v>
      </c>
      <c r="S1320" s="8" t="s">
        <v>33</v>
      </c>
      <c r="T1320" s="8" t="s">
        <v>104</v>
      </c>
      <c r="U1320" s="8">
        <v>4</v>
      </c>
      <c r="V1320" s="8" t="s">
        <v>123</v>
      </c>
    </row>
    <row r="1321" spans="1:22" x14ac:dyDescent="0.3">
      <c r="A1321" s="12" t="s">
        <v>2148</v>
      </c>
      <c r="B1321" s="13">
        <v>45796</v>
      </c>
      <c r="C1321" s="12" t="s">
        <v>98</v>
      </c>
      <c r="D1321" s="12" t="s">
        <v>99</v>
      </c>
      <c r="E1321" s="12" t="s">
        <v>25</v>
      </c>
      <c r="F1321" s="12" t="s">
        <v>2149</v>
      </c>
      <c r="G1321" s="12" t="s">
        <v>41</v>
      </c>
      <c r="H1321" s="12" t="s">
        <v>94</v>
      </c>
      <c r="I1321" s="12" t="s">
        <v>29</v>
      </c>
      <c r="J1321" s="12" t="s">
        <v>30</v>
      </c>
      <c r="K1321" s="12" t="s">
        <v>31</v>
      </c>
      <c r="L1321" s="12" t="s">
        <v>52</v>
      </c>
      <c r="M1321" s="12">
        <v>1</v>
      </c>
      <c r="N1321" s="14">
        <v>3944.88</v>
      </c>
      <c r="O1321" s="15">
        <v>0</v>
      </c>
      <c r="P1321" s="14">
        <v>3944.88</v>
      </c>
      <c r="Q1321" s="14">
        <v>2135.6999999999998</v>
      </c>
      <c r="R1321" s="14">
        <v>1809.18</v>
      </c>
      <c r="S1321" s="12" t="s">
        <v>46</v>
      </c>
      <c r="T1321" s="12" t="s">
        <v>104</v>
      </c>
      <c r="U1321" s="12">
        <v>4</v>
      </c>
      <c r="V1321" s="12" t="s">
        <v>134</v>
      </c>
    </row>
    <row r="1322" spans="1:22" x14ac:dyDescent="0.3">
      <c r="A1322" s="8" t="s">
        <v>2150</v>
      </c>
      <c r="B1322" s="9">
        <v>45764</v>
      </c>
      <c r="C1322" s="8" t="s">
        <v>98</v>
      </c>
      <c r="D1322" s="8" t="s">
        <v>99</v>
      </c>
      <c r="E1322" s="8" t="s">
        <v>25</v>
      </c>
      <c r="F1322" s="8" t="s">
        <v>878</v>
      </c>
      <c r="G1322" s="8" t="s">
        <v>27</v>
      </c>
      <c r="H1322" s="8" t="s">
        <v>42</v>
      </c>
      <c r="I1322" s="8" t="s">
        <v>29</v>
      </c>
      <c r="J1322" s="8" t="s">
        <v>89</v>
      </c>
      <c r="K1322" s="8" t="s">
        <v>90</v>
      </c>
      <c r="L1322" s="8" t="s">
        <v>175</v>
      </c>
      <c r="M1322" s="8">
        <v>4</v>
      </c>
      <c r="N1322" s="10">
        <v>3442.08</v>
      </c>
      <c r="O1322" s="11">
        <v>0.1</v>
      </c>
      <c r="P1322" s="10">
        <v>12391.49</v>
      </c>
      <c r="Q1322" s="10">
        <v>8300.7900000000009</v>
      </c>
      <c r="R1322" s="10">
        <v>4090.7</v>
      </c>
      <c r="S1322" s="8" t="s">
        <v>46</v>
      </c>
      <c r="T1322" s="8" t="s">
        <v>34</v>
      </c>
      <c r="U1322" s="8">
        <v>5</v>
      </c>
      <c r="V1322" s="8" t="s">
        <v>96</v>
      </c>
    </row>
    <row r="1323" spans="1:22" x14ac:dyDescent="0.3">
      <c r="A1323" s="12" t="s">
        <v>2151</v>
      </c>
      <c r="B1323" s="13">
        <v>45912</v>
      </c>
      <c r="C1323" s="12" t="s">
        <v>37</v>
      </c>
      <c r="D1323" s="12" t="s">
        <v>38</v>
      </c>
      <c r="E1323" s="12" t="s">
        <v>39</v>
      </c>
      <c r="F1323" s="12" t="s">
        <v>2152</v>
      </c>
      <c r="G1323" s="12" t="s">
        <v>27</v>
      </c>
      <c r="H1323" s="12" t="s">
        <v>81</v>
      </c>
      <c r="I1323" s="12" t="s">
        <v>61</v>
      </c>
      <c r="J1323" s="12" t="s">
        <v>43</v>
      </c>
      <c r="K1323" s="12" t="s">
        <v>44</v>
      </c>
      <c r="L1323" s="12" t="s">
        <v>45</v>
      </c>
      <c r="M1323" s="12">
        <v>4</v>
      </c>
      <c r="N1323" s="14">
        <v>585.23</v>
      </c>
      <c r="O1323" s="15">
        <v>0.15</v>
      </c>
      <c r="P1323" s="14">
        <v>1989.78</v>
      </c>
      <c r="Q1323" s="14">
        <v>996.65</v>
      </c>
      <c r="R1323" s="14">
        <v>993.13</v>
      </c>
      <c r="S1323" s="12" t="s">
        <v>46</v>
      </c>
      <c r="T1323" s="12" t="s">
        <v>34</v>
      </c>
      <c r="U1323" s="12">
        <v>4</v>
      </c>
      <c r="V1323" s="12" t="s">
        <v>116</v>
      </c>
    </row>
    <row r="1324" spans="1:22" x14ac:dyDescent="0.3">
      <c r="A1324" s="8" t="s">
        <v>2153</v>
      </c>
      <c r="B1324" s="9">
        <v>45707</v>
      </c>
      <c r="C1324" s="8" t="s">
        <v>37</v>
      </c>
      <c r="D1324" s="8" t="s">
        <v>38</v>
      </c>
      <c r="E1324" s="8" t="s">
        <v>39</v>
      </c>
      <c r="F1324" s="8" t="s">
        <v>1886</v>
      </c>
      <c r="G1324" s="8" t="s">
        <v>27</v>
      </c>
      <c r="H1324" s="8" t="s">
        <v>81</v>
      </c>
      <c r="I1324" s="8" t="s">
        <v>61</v>
      </c>
      <c r="J1324" s="8" t="s">
        <v>43</v>
      </c>
      <c r="K1324" s="8" t="s">
        <v>51</v>
      </c>
      <c r="L1324" s="8" t="s">
        <v>32</v>
      </c>
      <c r="M1324" s="8">
        <v>4</v>
      </c>
      <c r="N1324" s="10">
        <v>1478.04</v>
      </c>
      <c r="O1324" s="11">
        <v>0.05</v>
      </c>
      <c r="P1324" s="10">
        <v>5616.55</v>
      </c>
      <c r="Q1324" s="10">
        <v>2688.72</v>
      </c>
      <c r="R1324" s="10">
        <v>2927.83</v>
      </c>
      <c r="S1324" s="8" t="s">
        <v>53</v>
      </c>
      <c r="T1324" s="8" t="s">
        <v>71</v>
      </c>
      <c r="U1324" s="8">
        <v>5</v>
      </c>
      <c r="V1324" s="8" t="s">
        <v>105</v>
      </c>
    </row>
    <row r="1325" spans="1:22" x14ac:dyDescent="0.3">
      <c r="A1325" s="12" t="s">
        <v>2154</v>
      </c>
      <c r="B1325" s="13">
        <v>45686</v>
      </c>
      <c r="C1325" s="12" t="s">
        <v>98</v>
      </c>
      <c r="D1325" s="12" t="s">
        <v>99</v>
      </c>
      <c r="E1325" s="12" t="s">
        <v>25</v>
      </c>
      <c r="F1325" s="12" t="s">
        <v>2155</v>
      </c>
      <c r="G1325" s="12" t="s">
        <v>27</v>
      </c>
      <c r="H1325" s="12" t="s">
        <v>42</v>
      </c>
      <c r="I1325" s="12" t="s">
        <v>61</v>
      </c>
      <c r="J1325" s="12" t="s">
        <v>30</v>
      </c>
      <c r="K1325" s="12" t="s">
        <v>62</v>
      </c>
      <c r="L1325" s="12" t="s">
        <v>175</v>
      </c>
      <c r="M1325" s="12">
        <v>5</v>
      </c>
      <c r="N1325" s="14">
        <v>1041.75</v>
      </c>
      <c r="O1325" s="15">
        <v>0.05</v>
      </c>
      <c r="P1325" s="14">
        <v>4948.3100000000004</v>
      </c>
      <c r="Q1325" s="14">
        <v>2162.11</v>
      </c>
      <c r="R1325" s="14">
        <v>2786.2</v>
      </c>
      <c r="S1325" s="12" t="s">
        <v>33</v>
      </c>
      <c r="T1325" s="12" t="s">
        <v>147</v>
      </c>
      <c r="U1325" s="12">
        <v>3</v>
      </c>
      <c r="V1325" s="12" t="s">
        <v>84</v>
      </c>
    </row>
    <row r="1326" spans="1:22" x14ac:dyDescent="0.3">
      <c r="A1326" s="8" t="s">
        <v>2156</v>
      </c>
      <c r="B1326" s="9">
        <v>45820</v>
      </c>
      <c r="C1326" s="8" t="s">
        <v>37</v>
      </c>
      <c r="D1326" s="8" t="s">
        <v>38</v>
      </c>
      <c r="E1326" s="8" t="s">
        <v>39</v>
      </c>
      <c r="F1326" s="8" t="s">
        <v>1860</v>
      </c>
      <c r="G1326" s="8" t="s">
        <v>41</v>
      </c>
      <c r="H1326" s="8" t="s">
        <v>42</v>
      </c>
      <c r="I1326" s="8" t="s">
        <v>61</v>
      </c>
      <c r="J1326" s="8" t="s">
        <v>69</v>
      </c>
      <c r="K1326" s="8" t="s">
        <v>137</v>
      </c>
      <c r="L1326" s="8" t="s">
        <v>175</v>
      </c>
      <c r="M1326" s="8">
        <v>1</v>
      </c>
      <c r="N1326" s="10">
        <v>505.41</v>
      </c>
      <c r="O1326" s="11">
        <v>0</v>
      </c>
      <c r="P1326" s="10">
        <v>505.41</v>
      </c>
      <c r="Q1326" s="10">
        <v>230.85</v>
      </c>
      <c r="R1326" s="10">
        <v>274.56</v>
      </c>
      <c r="S1326" s="8" t="s">
        <v>63</v>
      </c>
      <c r="T1326" s="8" t="s">
        <v>78</v>
      </c>
      <c r="U1326" s="8">
        <v>5</v>
      </c>
      <c r="V1326" s="8" t="s">
        <v>157</v>
      </c>
    </row>
    <row r="1327" spans="1:22" x14ac:dyDescent="0.3">
      <c r="A1327" s="12" t="s">
        <v>2157</v>
      </c>
      <c r="B1327" s="13">
        <v>45840</v>
      </c>
      <c r="C1327" s="12" t="s">
        <v>107</v>
      </c>
      <c r="D1327" s="12" t="s">
        <v>108</v>
      </c>
      <c r="E1327" s="12" t="s">
        <v>39</v>
      </c>
      <c r="F1327" s="12" t="s">
        <v>335</v>
      </c>
      <c r="G1327" s="12" t="s">
        <v>27</v>
      </c>
      <c r="H1327" s="12" t="s">
        <v>94</v>
      </c>
      <c r="I1327" s="12" t="s">
        <v>68</v>
      </c>
      <c r="J1327" s="12" t="s">
        <v>30</v>
      </c>
      <c r="K1327" s="12" t="s">
        <v>144</v>
      </c>
      <c r="L1327" s="12" t="s">
        <v>91</v>
      </c>
      <c r="M1327" s="12">
        <v>5</v>
      </c>
      <c r="N1327" s="14">
        <v>2466.7399999999998</v>
      </c>
      <c r="O1327" s="15">
        <v>0.1</v>
      </c>
      <c r="P1327" s="14">
        <v>11100.33</v>
      </c>
      <c r="Q1327" s="14">
        <v>7488.68</v>
      </c>
      <c r="R1327" s="14">
        <v>3611.65</v>
      </c>
      <c r="S1327" s="12" t="s">
        <v>33</v>
      </c>
      <c r="T1327" s="12" t="s">
        <v>71</v>
      </c>
      <c r="U1327" s="12">
        <v>4</v>
      </c>
      <c r="V1327" s="12" t="s">
        <v>120</v>
      </c>
    </row>
    <row r="1328" spans="1:22" x14ac:dyDescent="0.3">
      <c r="A1328" s="8" t="s">
        <v>2158</v>
      </c>
      <c r="B1328" s="9">
        <v>45910</v>
      </c>
      <c r="C1328" s="8" t="s">
        <v>131</v>
      </c>
      <c r="D1328" s="8" t="s">
        <v>132</v>
      </c>
      <c r="E1328" s="8" t="s">
        <v>25</v>
      </c>
      <c r="F1328" s="8" t="s">
        <v>2159</v>
      </c>
      <c r="G1328" s="8" t="s">
        <v>41</v>
      </c>
      <c r="H1328" s="8" t="s">
        <v>28</v>
      </c>
      <c r="I1328" s="8" t="s">
        <v>68</v>
      </c>
      <c r="J1328" s="8" t="s">
        <v>30</v>
      </c>
      <c r="K1328" s="8" t="s">
        <v>62</v>
      </c>
      <c r="L1328" s="8" t="s">
        <v>52</v>
      </c>
      <c r="M1328" s="8">
        <v>2</v>
      </c>
      <c r="N1328" s="10">
        <v>1002.8</v>
      </c>
      <c r="O1328" s="11">
        <v>0.3</v>
      </c>
      <c r="P1328" s="10">
        <v>1403.92</v>
      </c>
      <c r="Q1328" s="10">
        <v>919.34</v>
      </c>
      <c r="R1328" s="10">
        <v>484.58</v>
      </c>
      <c r="S1328" s="8" t="s">
        <v>46</v>
      </c>
      <c r="T1328" s="8" t="s">
        <v>119</v>
      </c>
      <c r="U1328" s="8">
        <v>3</v>
      </c>
      <c r="V1328" s="8" t="s">
        <v>116</v>
      </c>
    </row>
    <row r="1329" spans="1:22" x14ac:dyDescent="0.3">
      <c r="A1329" s="12" t="s">
        <v>2160</v>
      </c>
      <c r="B1329" s="13">
        <v>45904</v>
      </c>
      <c r="C1329" s="12" t="s">
        <v>57</v>
      </c>
      <c r="D1329" s="12" t="s">
        <v>58</v>
      </c>
      <c r="E1329" s="12" t="s">
        <v>59</v>
      </c>
      <c r="F1329" s="12" t="s">
        <v>2161</v>
      </c>
      <c r="G1329" s="12" t="s">
        <v>41</v>
      </c>
      <c r="H1329" s="12" t="s">
        <v>94</v>
      </c>
      <c r="I1329" s="12" t="s">
        <v>68</v>
      </c>
      <c r="J1329" s="12" t="s">
        <v>30</v>
      </c>
      <c r="K1329" s="12" t="s">
        <v>31</v>
      </c>
      <c r="L1329" s="12" t="s">
        <v>103</v>
      </c>
      <c r="M1329" s="12">
        <v>1</v>
      </c>
      <c r="N1329" s="14">
        <v>4087.41</v>
      </c>
      <c r="O1329" s="15">
        <v>0.2</v>
      </c>
      <c r="P1329" s="14">
        <v>3269.93</v>
      </c>
      <c r="Q1329" s="14">
        <v>2195.83</v>
      </c>
      <c r="R1329" s="14">
        <v>1074.0999999999999</v>
      </c>
      <c r="S1329" s="12" t="s">
        <v>53</v>
      </c>
      <c r="T1329" s="12" t="s">
        <v>104</v>
      </c>
      <c r="U1329" s="12">
        <v>3</v>
      </c>
      <c r="V1329" s="12" t="s">
        <v>116</v>
      </c>
    </row>
    <row r="1330" spans="1:22" x14ac:dyDescent="0.3">
      <c r="A1330" s="8" t="s">
        <v>2162</v>
      </c>
      <c r="B1330" s="9">
        <v>45967</v>
      </c>
      <c r="C1330" s="8" t="s">
        <v>57</v>
      </c>
      <c r="D1330" s="8" t="s">
        <v>58</v>
      </c>
      <c r="E1330" s="8" t="s">
        <v>59</v>
      </c>
      <c r="F1330" s="8" t="s">
        <v>1965</v>
      </c>
      <c r="G1330" s="8" t="s">
        <v>41</v>
      </c>
      <c r="H1330" s="8" t="s">
        <v>42</v>
      </c>
      <c r="I1330" s="8" t="s">
        <v>61</v>
      </c>
      <c r="J1330" s="8" t="s">
        <v>75</v>
      </c>
      <c r="K1330" s="8" t="s">
        <v>76</v>
      </c>
      <c r="L1330" s="8" t="s">
        <v>45</v>
      </c>
      <c r="M1330" s="8">
        <v>3</v>
      </c>
      <c r="N1330" s="10">
        <v>773.37</v>
      </c>
      <c r="O1330" s="11">
        <v>0.2</v>
      </c>
      <c r="P1330" s="10">
        <v>1856.09</v>
      </c>
      <c r="Q1330" s="10">
        <v>1023.03</v>
      </c>
      <c r="R1330" s="10">
        <v>833.06</v>
      </c>
      <c r="S1330" s="8" t="s">
        <v>63</v>
      </c>
      <c r="T1330" s="8" t="s">
        <v>64</v>
      </c>
      <c r="U1330" s="8">
        <v>5</v>
      </c>
      <c r="V1330" s="8" t="s">
        <v>65</v>
      </c>
    </row>
    <row r="1331" spans="1:22" x14ac:dyDescent="0.3">
      <c r="A1331" s="12" t="s">
        <v>2163</v>
      </c>
      <c r="B1331" s="13">
        <v>45722</v>
      </c>
      <c r="C1331" s="12" t="s">
        <v>48</v>
      </c>
      <c r="D1331" s="12" t="s">
        <v>49</v>
      </c>
      <c r="E1331" s="12" t="s">
        <v>39</v>
      </c>
      <c r="F1331" s="12" t="s">
        <v>985</v>
      </c>
      <c r="G1331" s="12" t="s">
        <v>27</v>
      </c>
      <c r="H1331" s="12" t="s">
        <v>81</v>
      </c>
      <c r="I1331" s="12" t="s">
        <v>29</v>
      </c>
      <c r="J1331" s="12" t="s">
        <v>30</v>
      </c>
      <c r="K1331" s="12" t="s">
        <v>31</v>
      </c>
      <c r="L1331" s="12" t="s">
        <v>175</v>
      </c>
      <c r="M1331" s="12">
        <v>2</v>
      </c>
      <c r="N1331" s="14">
        <v>4196.68</v>
      </c>
      <c r="O1331" s="15">
        <v>0.15</v>
      </c>
      <c r="P1331" s="14">
        <v>7134.36</v>
      </c>
      <c r="Q1331" s="14">
        <v>4194</v>
      </c>
      <c r="R1331" s="14">
        <v>2940.36</v>
      </c>
      <c r="S1331" s="12" t="s">
        <v>63</v>
      </c>
      <c r="T1331" s="12" t="s">
        <v>156</v>
      </c>
      <c r="U1331" s="12">
        <v>5</v>
      </c>
      <c r="V1331" s="12" t="s">
        <v>55</v>
      </c>
    </row>
    <row r="1332" spans="1:22" x14ac:dyDescent="0.3">
      <c r="A1332" s="8" t="s">
        <v>2164</v>
      </c>
      <c r="B1332" s="9">
        <v>45695</v>
      </c>
      <c r="C1332" s="8" t="s">
        <v>131</v>
      </c>
      <c r="D1332" s="8" t="s">
        <v>132</v>
      </c>
      <c r="E1332" s="8" t="s">
        <v>25</v>
      </c>
      <c r="F1332" s="8" t="s">
        <v>653</v>
      </c>
      <c r="G1332" s="8" t="s">
        <v>27</v>
      </c>
      <c r="H1332" s="8" t="s">
        <v>42</v>
      </c>
      <c r="I1332" s="8" t="s">
        <v>61</v>
      </c>
      <c r="J1332" s="8" t="s">
        <v>43</v>
      </c>
      <c r="K1332" s="8" t="s">
        <v>162</v>
      </c>
      <c r="L1332" s="8" t="s">
        <v>52</v>
      </c>
      <c r="M1332" s="8">
        <v>3</v>
      </c>
      <c r="N1332" s="10">
        <v>861.67</v>
      </c>
      <c r="O1332" s="11">
        <v>0.1</v>
      </c>
      <c r="P1332" s="10">
        <v>2326.5100000000002</v>
      </c>
      <c r="Q1332" s="10">
        <v>1214.73</v>
      </c>
      <c r="R1332" s="10">
        <v>1111.78</v>
      </c>
      <c r="S1332" s="8" t="s">
        <v>33</v>
      </c>
      <c r="T1332" s="8" t="s">
        <v>119</v>
      </c>
      <c r="U1332" s="8">
        <v>4</v>
      </c>
      <c r="V1332" s="8" t="s">
        <v>105</v>
      </c>
    </row>
    <row r="1333" spans="1:22" x14ac:dyDescent="0.3">
      <c r="A1333" s="12" t="s">
        <v>2165</v>
      </c>
      <c r="B1333" s="13">
        <v>45927</v>
      </c>
      <c r="C1333" s="12" t="s">
        <v>113</v>
      </c>
      <c r="D1333" s="12" t="s">
        <v>114</v>
      </c>
      <c r="E1333" s="12" t="s">
        <v>59</v>
      </c>
      <c r="F1333" s="12" t="s">
        <v>1484</v>
      </c>
      <c r="G1333" s="12" t="s">
        <v>41</v>
      </c>
      <c r="H1333" s="12" t="s">
        <v>42</v>
      </c>
      <c r="I1333" s="12" t="s">
        <v>61</v>
      </c>
      <c r="J1333" s="12" t="s">
        <v>101</v>
      </c>
      <c r="K1333" s="12" t="s">
        <v>217</v>
      </c>
      <c r="L1333" s="12" t="s">
        <v>91</v>
      </c>
      <c r="M1333" s="12">
        <v>4</v>
      </c>
      <c r="N1333" s="14">
        <v>3108.91</v>
      </c>
      <c r="O1333" s="15">
        <v>0.05</v>
      </c>
      <c r="P1333" s="14">
        <v>11813.86</v>
      </c>
      <c r="Q1333" s="14">
        <v>6809.76</v>
      </c>
      <c r="R1333" s="14">
        <v>5004.1000000000004</v>
      </c>
      <c r="S1333" s="12" t="s">
        <v>46</v>
      </c>
      <c r="T1333" s="12" t="s">
        <v>104</v>
      </c>
      <c r="U1333" s="12">
        <v>3</v>
      </c>
      <c r="V1333" s="12" t="s">
        <v>116</v>
      </c>
    </row>
    <row r="1334" spans="1:22" x14ac:dyDescent="0.3">
      <c r="A1334" s="8" t="s">
        <v>2166</v>
      </c>
      <c r="B1334" s="9">
        <v>45732</v>
      </c>
      <c r="C1334" s="8" t="s">
        <v>23</v>
      </c>
      <c r="D1334" s="8" t="s">
        <v>24</v>
      </c>
      <c r="E1334" s="8" t="s">
        <v>25</v>
      </c>
      <c r="F1334" s="8" t="s">
        <v>540</v>
      </c>
      <c r="G1334" s="8" t="s">
        <v>41</v>
      </c>
      <c r="H1334" s="8" t="s">
        <v>81</v>
      </c>
      <c r="I1334" s="8" t="s">
        <v>29</v>
      </c>
      <c r="J1334" s="8" t="s">
        <v>43</v>
      </c>
      <c r="K1334" s="8" t="s">
        <v>51</v>
      </c>
      <c r="L1334" s="8" t="s">
        <v>175</v>
      </c>
      <c r="M1334" s="8">
        <v>4</v>
      </c>
      <c r="N1334" s="10">
        <v>1543.62</v>
      </c>
      <c r="O1334" s="11">
        <v>0.05</v>
      </c>
      <c r="P1334" s="10">
        <v>5865.76</v>
      </c>
      <c r="Q1334" s="10">
        <v>2669.38</v>
      </c>
      <c r="R1334" s="10">
        <v>3196.38</v>
      </c>
      <c r="S1334" s="8" t="s">
        <v>53</v>
      </c>
      <c r="T1334" s="8" t="s">
        <v>78</v>
      </c>
      <c r="U1334" s="8">
        <v>3</v>
      </c>
      <c r="V1334" s="8" t="s">
        <v>55</v>
      </c>
    </row>
    <row r="1335" spans="1:22" x14ac:dyDescent="0.3">
      <c r="A1335" s="12" t="s">
        <v>2167</v>
      </c>
      <c r="B1335" s="13">
        <v>45839</v>
      </c>
      <c r="C1335" s="12" t="s">
        <v>48</v>
      </c>
      <c r="D1335" s="12" t="s">
        <v>49</v>
      </c>
      <c r="E1335" s="12" t="s">
        <v>39</v>
      </c>
      <c r="F1335" s="12" t="s">
        <v>2058</v>
      </c>
      <c r="G1335" s="12" t="s">
        <v>27</v>
      </c>
      <c r="H1335" s="12" t="s">
        <v>94</v>
      </c>
      <c r="I1335" s="12" t="s">
        <v>29</v>
      </c>
      <c r="J1335" s="12" t="s">
        <v>75</v>
      </c>
      <c r="K1335" s="12" t="s">
        <v>76</v>
      </c>
      <c r="L1335" s="12" t="s">
        <v>32</v>
      </c>
      <c r="M1335" s="12">
        <v>5</v>
      </c>
      <c r="N1335" s="14">
        <v>772.38</v>
      </c>
      <c r="O1335" s="15">
        <v>0.15</v>
      </c>
      <c r="P1335" s="14">
        <v>3282.61</v>
      </c>
      <c r="Q1335" s="14">
        <v>1757.75</v>
      </c>
      <c r="R1335" s="14">
        <v>1524.86</v>
      </c>
      <c r="S1335" s="12" t="s">
        <v>33</v>
      </c>
      <c r="T1335" s="12" t="s">
        <v>111</v>
      </c>
      <c r="U1335" s="12">
        <v>5</v>
      </c>
      <c r="V1335" s="12" t="s">
        <v>120</v>
      </c>
    </row>
    <row r="1336" spans="1:22" x14ac:dyDescent="0.3">
      <c r="A1336" s="8" t="s">
        <v>2168</v>
      </c>
      <c r="B1336" s="9">
        <v>45959</v>
      </c>
      <c r="C1336" s="8" t="s">
        <v>37</v>
      </c>
      <c r="D1336" s="8" t="s">
        <v>38</v>
      </c>
      <c r="E1336" s="8" t="s">
        <v>39</v>
      </c>
      <c r="F1336" s="8" t="s">
        <v>245</v>
      </c>
      <c r="G1336" s="8" t="s">
        <v>27</v>
      </c>
      <c r="H1336" s="8" t="s">
        <v>81</v>
      </c>
      <c r="I1336" s="8" t="s">
        <v>61</v>
      </c>
      <c r="J1336" s="8" t="s">
        <v>69</v>
      </c>
      <c r="K1336" s="8" t="s">
        <v>180</v>
      </c>
      <c r="L1336" s="8" t="s">
        <v>77</v>
      </c>
      <c r="M1336" s="8">
        <v>2</v>
      </c>
      <c r="N1336" s="10">
        <v>1504.03</v>
      </c>
      <c r="O1336" s="11">
        <v>0.1</v>
      </c>
      <c r="P1336" s="10">
        <v>2707.25</v>
      </c>
      <c r="Q1336" s="10">
        <v>1769.13</v>
      </c>
      <c r="R1336" s="10">
        <v>938.12</v>
      </c>
      <c r="S1336" s="8" t="s">
        <v>33</v>
      </c>
      <c r="T1336" s="8" t="s">
        <v>156</v>
      </c>
      <c r="U1336" s="8">
        <v>4</v>
      </c>
      <c r="V1336" s="8" t="s">
        <v>123</v>
      </c>
    </row>
    <row r="1337" spans="1:22" x14ac:dyDescent="0.3">
      <c r="A1337" s="12" t="s">
        <v>2169</v>
      </c>
      <c r="B1337" s="13">
        <v>45841</v>
      </c>
      <c r="C1337" s="12" t="s">
        <v>125</v>
      </c>
      <c r="D1337" s="12" t="s">
        <v>126</v>
      </c>
      <c r="E1337" s="12" t="s">
        <v>25</v>
      </c>
      <c r="F1337" s="12" t="s">
        <v>1264</v>
      </c>
      <c r="G1337" s="12" t="s">
        <v>27</v>
      </c>
      <c r="H1337" s="12" t="s">
        <v>42</v>
      </c>
      <c r="I1337" s="12" t="s">
        <v>61</v>
      </c>
      <c r="J1337" s="12" t="s">
        <v>101</v>
      </c>
      <c r="K1337" s="12" t="s">
        <v>110</v>
      </c>
      <c r="L1337" s="12" t="s">
        <v>32</v>
      </c>
      <c r="M1337" s="12">
        <v>5</v>
      </c>
      <c r="N1337" s="14">
        <v>4932.53</v>
      </c>
      <c r="O1337" s="15">
        <v>0.15</v>
      </c>
      <c r="P1337" s="14">
        <v>20963.25</v>
      </c>
      <c r="Q1337" s="14">
        <v>15252.84</v>
      </c>
      <c r="R1337" s="14">
        <v>5710.41</v>
      </c>
      <c r="S1337" s="12" t="s">
        <v>53</v>
      </c>
      <c r="T1337" s="12" t="s">
        <v>71</v>
      </c>
      <c r="U1337" s="12">
        <v>5</v>
      </c>
      <c r="V1337" s="12" t="s">
        <v>120</v>
      </c>
    </row>
    <row r="1338" spans="1:22" x14ac:dyDescent="0.3">
      <c r="A1338" s="8" t="s">
        <v>2170</v>
      </c>
      <c r="B1338" s="9">
        <v>45913</v>
      </c>
      <c r="C1338" s="8" t="s">
        <v>98</v>
      </c>
      <c r="D1338" s="8" t="s">
        <v>99</v>
      </c>
      <c r="E1338" s="8" t="s">
        <v>25</v>
      </c>
      <c r="F1338" s="8" t="s">
        <v>2171</v>
      </c>
      <c r="G1338" s="8" t="s">
        <v>41</v>
      </c>
      <c r="H1338" s="8" t="s">
        <v>42</v>
      </c>
      <c r="I1338" s="8" t="s">
        <v>68</v>
      </c>
      <c r="J1338" s="8" t="s">
        <v>75</v>
      </c>
      <c r="K1338" s="8" t="s">
        <v>95</v>
      </c>
      <c r="L1338" s="8" t="s">
        <v>82</v>
      </c>
      <c r="M1338" s="8">
        <v>1</v>
      </c>
      <c r="N1338" s="10">
        <v>24984.03</v>
      </c>
      <c r="O1338" s="11">
        <v>0.05</v>
      </c>
      <c r="P1338" s="10">
        <v>23734.83</v>
      </c>
      <c r="Q1338" s="10">
        <v>18273.310000000001</v>
      </c>
      <c r="R1338" s="10">
        <v>5461.52</v>
      </c>
      <c r="S1338" s="8" t="s">
        <v>83</v>
      </c>
      <c r="T1338" s="8" t="s">
        <v>34</v>
      </c>
      <c r="U1338" s="8">
        <v>4</v>
      </c>
      <c r="V1338" s="8" t="s">
        <v>116</v>
      </c>
    </row>
    <row r="1339" spans="1:22" x14ac:dyDescent="0.3">
      <c r="A1339" s="12" t="s">
        <v>2172</v>
      </c>
      <c r="B1339" s="13">
        <v>45688</v>
      </c>
      <c r="C1339" s="12" t="s">
        <v>86</v>
      </c>
      <c r="D1339" s="12" t="s">
        <v>87</v>
      </c>
      <c r="E1339" s="12" t="s">
        <v>59</v>
      </c>
      <c r="F1339" s="12" t="s">
        <v>734</v>
      </c>
      <c r="G1339" s="12" t="s">
        <v>41</v>
      </c>
      <c r="H1339" s="12" t="s">
        <v>94</v>
      </c>
      <c r="I1339" s="12" t="s">
        <v>68</v>
      </c>
      <c r="J1339" s="12" t="s">
        <v>30</v>
      </c>
      <c r="K1339" s="12" t="s">
        <v>144</v>
      </c>
      <c r="L1339" s="12" t="s">
        <v>103</v>
      </c>
      <c r="M1339" s="12">
        <v>3</v>
      </c>
      <c r="N1339" s="14">
        <v>2555.04</v>
      </c>
      <c r="O1339" s="15">
        <v>0.25</v>
      </c>
      <c r="P1339" s="14">
        <v>5748.84</v>
      </c>
      <c r="Q1339" s="14">
        <v>4458.22</v>
      </c>
      <c r="R1339" s="14">
        <v>1290.6199999999999</v>
      </c>
      <c r="S1339" s="12" t="s">
        <v>63</v>
      </c>
      <c r="T1339" s="12" t="s">
        <v>111</v>
      </c>
      <c r="U1339" s="12">
        <v>5</v>
      </c>
      <c r="V1339" s="12" t="s">
        <v>84</v>
      </c>
    </row>
    <row r="1340" spans="1:22" x14ac:dyDescent="0.3">
      <c r="A1340" s="8" t="s">
        <v>2173</v>
      </c>
      <c r="B1340" s="9">
        <v>45909</v>
      </c>
      <c r="C1340" s="8" t="s">
        <v>131</v>
      </c>
      <c r="D1340" s="8" t="s">
        <v>132</v>
      </c>
      <c r="E1340" s="8" t="s">
        <v>25</v>
      </c>
      <c r="F1340" s="8" t="s">
        <v>2174</v>
      </c>
      <c r="G1340" s="8" t="s">
        <v>41</v>
      </c>
      <c r="H1340" s="8" t="s">
        <v>42</v>
      </c>
      <c r="I1340" s="8" t="s">
        <v>29</v>
      </c>
      <c r="J1340" s="8" t="s">
        <v>101</v>
      </c>
      <c r="K1340" s="8" t="s">
        <v>102</v>
      </c>
      <c r="L1340" s="8" t="s">
        <v>103</v>
      </c>
      <c r="M1340" s="8">
        <v>1</v>
      </c>
      <c r="N1340" s="10">
        <v>714.26</v>
      </c>
      <c r="O1340" s="11">
        <v>0.2</v>
      </c>
      <c r="P1340" s="10">
        <v>571.41</v>
      </c>
      <c r="Q1340" s="10">
        <v>237.89</v>
      </c>
      <c r="R1340" s="10">
        <v>333.52</v>
      </c>
      <c r="S1340" s="8" t="s">
        <v>83</v>
      </c>
      <c r="T1340" s="8" t="s">
        <v>78</v>
      </c>
      <c r="U1340" s="8">
        <v>3</v>
      </c>
      <c r="V1340" s="8" t="s">
        <v>116</v>
      </c>
    </row>
    <row r="1341" spans="1:22" x14ac:dyDescent="0.3">
      <c r="A1341" s="12" t="s">
        <v>2175</v>
      </c>
      <c r="B1341" s="13">
        <v>45916</v>
      </c>
      <c r="C1341" s="12" t="s">
        <v>98</v>
      </c>
      <c r="D1341" s="12" t="s">
        <v>99</v>
      </c>
      <c r="E1341" s="12" t="s">
        <v>25</v>
      </c>
      <c r="F1341" s="12" t="s">
        <v>554</v>
      </c>
      <c r="G1341" s="12" t="s">
        <v>41</v>
      </c>
      <c r="H1341" s="12" t="s">
        <v>28</v>
      </c>
      <c r="I1341" s="12" t="s">
        <v>29</v>
      </c>
      <c r="J1341" s="12" t="s">
        <v>75</v>
      </c>
      <c r="K1341" s="12" t="s">
        <v>154</v>
      </c>
      <c r="L1341" s="12" t="s">
        <v>45</v>
      </c>
      <c r="M1341" s="12">
        <v>4</v>
      </c>
      <c r="N1341" s="14">
        <v>1961.67</v>
      </c>
      <c r="O1341" s="15">
        <v>0</v>
      </c>
      <c r="P1341" s="14">
        <v>7846.68</v>
      </c>
      <c r="Q1341" s="14">
        <v>4339.1000000000004</v>
      </c>
      <c r="R1341" s="14">
        <v>3507.58</v>
      </c>
      <c r="S1341" s="12" t="s">
        <v>46</v>
      </c>
      <c r="T1341" s="12" t="s">
        <v>111</v>
      </c>
      <c r="U1341" s="12">
        <v>4</v>
      </c>
      <c r="V1341" s="12" t="s">
        <v>116</v>
      </c>
    </row>
    <row r="1342" spans="1:22" x14ac:dyDescent="0.3">
      <c r="A1342" s="8" t="s">
        <v>2176</v>
      </c>
      <c r="B1342" s="9">
        <v>45908</v>
      </c>
      <c r="C1342" s="8" t="s">
        <v>23</v>
      </c>
      <c r="D1342" s="8" t="s">
        <v>24</v>
      </c>
      <c r="E1342" s="8" t="s">
        <v>25</v>
      </c>
      <c r="F1342" s="8" t="s">
        <v>1525</v>
      </c>
      <c r="G1342" s="8" t="s">
        <v>27</v>
      </c>
      <c r="H1342" s="8" t="s">
        <v>81</v>
      </c>
      <c r="I1342" s="8" t="s">
        <v>68</v>
      </c>
      <c r="J1342" s="8" t="s">
        <v>69</v>
      </c>
      <c r="K1342" s="8" t="s">
        <v>70</v>
      </c>
      <c r="L1342" s="8" t="s">
        <v>91</v>
      </c>
      <c r="M1342" s="8">
        <v>1</v>
      </c>
      <c r="N1342" s="10">
        <v>928.27</v>
      </c>
      <c r="O1342" s="11">
        <v>0.05</v>
      </c>
      <c r="P1342" s="10">
        <v>881.86</v>
      </c>
      <c r="Q1342" s="10">
        <v>431.55</v>
      </c>
      <c r="R1342" s="10">
        <v>450.31</v>
      </c>
      <c r="S1342" s="8" t="s">
        <v>46</v>
      </c>
      <c r="T1342" s="8" t="s">
        <v>71</v>
      </c>
      <c r="U1342" s="8">
        <v>3</v>
      </c>
      <c r="V1342" s="8" t="s">
        <v>116</v>
      </c>
    </row>
    <row r="1343" spans="1:22" x14ac:dyDescent="0.3">
      <c r="A1343" s="12" t="s">
        <v>2177</v>
      </c>
      <c r="B1343" s="13">
        <v>45711</v>
      </c>
      <c r="C1343" s="12" t="s">
        <v>86</v>
      </c>
      <c r="D1343" s="12" t="s">
        <v>87</v>
      </c>
      <c r="E1343" s="12" t="s">
        <v>59</v>
      </c>
      <c r="F1343" s="12" t="s">
        <v>856</v>
      </c>
      <c r="G1343" s="12" t="s">
        <v>27</v>
      </c>
      <c r="H1343" s="12" t="s">
        <v>42</v>
      </c>
      <c r="I1343" s="12" t="s">
        <v>68</v>
      </c>
      <c r="J1343" s="12" t="s">
        <v>101</v>
      </c>
      <c r="K1343" s="12" t="s">
        <v>110</v>
      </c>
      <c r="L1343" s="12" t="s">
        <v>103</v>
      </c>
      <c r="M1343" s="12">
        <v>3</v>
      </c>
      <c r="N1343" s="14">
        <v>5067.2700000000004</v>
      </c>
      <c r="O1343" s="15">
        <v>0.3</v>
      </c>
      <c r="P1343" s="14">
        <v>10641.27</v>
      </c>
      <c r="Q1343" s="14">
        <v>9750.2199999999993</v>
      </c>
      <c r="R1343" s="14">
        <v>891.05</v>
      </c>
      <c r="S1343" s="12" t="s">
        <v>33</v>
      </c>
      <c r="T1343" s="12" t="s">
        <v>34</v>
      </c>
      <c r="U1343" s="12">
        <v>4</v>
      </c>
      <c r="V1343" s="12" t="s">
        <v>105</v>
      </c>
    </row>
    <row r="1344" spans="1:22" x14ac:dyDescent="0.3">
      <c r="A1344" s="8" t="s">
        <v>2178</v>
      </c>
      <c r="B1344" s="9">
        <v>45666</v>
      </c>
      <c r="C1344" s="8" t="s">
        <v>98</v>
      </c>
      <c r="D1344" s="8" t="s">
        <v>99</v>
      </c>
      <c r="E1344" s="8" t="s">
        <v>25</v>
      </c>
      <c r="F1344" s="8" t="s">
        <v>2102</v>
      </c>
      <c r="G1344" s="8" t="s">
        <v>27</v>
      </c>
      <c r="H1344" s="8" t="s">
        <v>42</v>
      </c>
      <c r="I1344" s="8" t="s">
        <v>61</v>
      </c>
      <c r="J1344" s="8" t="s">
        <v>89</v>
      </c>
      <c r="K1344" s="8" t="s">
        <v>151</v>
      </c>
      <c r="L1344" s="8" t="s">
        <v>82</v>
      </c>
      <c r="M1344" s="8">
        <v>2</v>
      </c>
      <c r="N1344" s="10">
        <v>1043.8</v>
      </c>
      <c r="O1344" s="11">
        <v>0.3</v>
      </c>
      <c r="P1344" s="10">
        <v>1461.32</v>
      </c>
      <c r="Q1344" s="10">
        <v>1004.8</v>
      </c>
      <c r="R1344" s="10">
        <v>456.52</v>
      </c>
      <c r="S1344" s="8" t="s">
        <v>33</v>
      </c>
      <c r="T1344" s="8" t="s">
        <v>156</v>
      </c>
      <c r="U1344" s="8">
        <v>5</v>
      </c>
      <c r="V1344" s="8" t="s">
        <v>84</v>
      </c>
    </row>
    <row r="1345" spans="1:22" x14ac:dyDescent="0.3">
      <c r="A1345" s="12" t="s">
        <v>2179</v>
      </c>
      <c r="B1345" s="13">
        <v>45985</v>
      </c>
      <c r="C1345" s="12" t="s">
        <v>57</v>
      </c>
      <c r="D1345" s="12" t="s">
        <v>58</v>
      </c>
      <c r="E1345" s="12" t="s">
        <v>59</v>
      </c>
      <c r="F1345" s="12" t="s">
        <v>760</v>
      </c>
      <c r="G1345" s="12" t="s">
        <v>41</v>
      </c>
      <c r="H1345" s="12" t="s">
        <v>42</v>
      </c>
      <c r="I1345" s="12" t="s">
        <v>29</v>
      </c>
      <c r="J1345" s="12" t="s">
        <v>75</v>
      </c>
      <c r="K1345" s="12" t="s">
        <v>76</v>
      </c>
      <c r="L1345" s="12" t="s">
        <v>82</v>
      </c>
      <c r="M1345" s="12">
        <v>2</v>
      </c>
      <c r="N1345" s="14">
        <v>797.99</v>
      </c>
      <c r="O1345" s="15">
        <v>0.1</v>
      </c>
      <c r="P1345" s="14">
        <v>1436.38</v>
      </c>
      <c r="Q1345" s="14">
        <v>711.01</v>
      </c>
      <c r="R1345" s="14">
        <v>725.37</v>
      </c>
      <c r="S1345" s="12" t="s">
        <v>33</v>
      </c>
      <c r="T1345" s="12" t="s">
        <v>147</v>
      </c>
      <c r="U1345" s="12">
        <v>5</v>
      </c>
      <c r="V1345" s="12" t="s">
        <v>65</v>
      </c>
    </row>
    <row r="1346" spans="1:22" x14ac:dyDescent="0.3">
      <c r="A1346" s="8" t="s">
        <v>2180</v>
      </c>
      <c r="B1346" s="9">
        <v>45869</v>
      </c>
      <c r="C1346" s="8" t="s">
        <v>107</v>
      </c>
      <c r="D1346" s="8" t="s">
        <v>108</v>
      </c>
      <c r="E1346" s="8" t="s">
        <v>39</v>
      </c>
      <c r="F1346" s="8" t="s">
        <v>2181</v>
      </c>
      <c r="G1346" s="8" t="s">
        <v>27</v>
      </c>
      <c r="H1346" s="8" t="s">
        <v>81</v>
      </c>
      <c r="I1346" s="8" t="s">
        <v>68</v>
      </c>
      <c r="J1346" s="8" t="s">
        <v>69</v>
      </c>
      <c r="K1346" s="8" t="s">
        <v>70</v>
      </c>
      <c r="L1346" s="8" t="s">
        <v>103</v>
      </c>
      <c r="M1346" s="8">
        <v>3</v>
      </c>
      <c r="N1346" s="10">
        <v>895.82</v>
      </c>
      <c r="O1346" s="11">
        <v>0.25</v>
      </c>
      <c r="P1346" s="10">
        <v>2015.6</v>
      </c>
      <c r="Q1346" s="10">
        <v>1297.6500000000001</v>
      </c>
      <c r="R1346" s="10">
        <v>717.95</v>
      </c>
      <c r="S1346" s="8" t="s">
        <v>33</v>
      </c>
      <c r="T1346" s="8" t="s">
        <v>34</v>
      </c>
      <c r="U1346" s="8">
        <v>4</v>
      </c>
      <c r="V1346" s="8" t="s">
        <v>120</v>
      </c>
    </row>
    <row r="1347" spans="1:22" x14ac:dyDescent="0.3">
      <c r="A1347" s="12" t="s">
        <v>2182</v>
      </c>
      <c r="B1347" s="13">
        <v>45884</v>
      </c>
      <c r="C1347" s="12" t="s">
        <v>131</v>
      </c>
      <c r="D1347" s="12" t="s">
        <v>132</v>
      </c>
      <c r="E1347" s="12" t="s">
        <v>25</v>
      </c>
      <c r="F1347" s="12" t="s">
        <v>2183</v>
      </c>
      <c r="G1347" s="12" t="s">
        <v>41</v>
      </c>
      <c r="H1347" s="12" t="s">
        <v>28</v>
      </c>
      <c r="I1347" s="12" t="s">
        <v>61</v>
      </c>
      <c r="J1347" s="12" t="s">
        <v>75</v>
      </c>
      <c r="K1347" s="12" t="s">
        <v>76</v>
      </c>
      <c r="L1347" s="12" t="s">
        <v>45</v>
      </c>
      <c r="M1347" s="12">
        <v>3</v>
      </c>
      <c r="N1347" s="14">
        <v>833.17</v>
      </c>
      <c r="O1347" s="15">
        <v>0.1</v>
      </c>
      <c r="P1347" s="14">
        <v>2249.56</v>
      </c>
      <c r="Q1347" s="14">
        <v>1038</v>
      </c>
      <c r="R1347" s="14">
        <v>1211.56</v>
      </c>
      <c r="S1347" s="12" t="s">
        <v>46</v>
      </c>
      <c r="T1347" s="12" t="s">
        <v>71</v>
      </c>
      <c r="U1347" s="12">
        <v>4</v>
      </c>
      <c r="V1347" s="12" t="s">
        <v>72</v>
      </c>
    </row>
    <row r="1348" spans="1:22" x14ac:dyDescent="0.3">
      <c r="A1348" s="8" t="s">
        <v>2184</v>
      </c>
      <c r="B1348" s="9">
        <v>45988</v>
      </c>
      <c r="C1348" s="8" t="s">
        <v>113</v>
      </c>
      <c r="D1348" s="8" t="s">
        <v>114</v>
      </c>
      <c r="E1348" s="8" t="s">
        <v>59</v>
      </c>
      <c r="F1348" s="8" t="s">
        <v>2185</v>
      </c>
      <c r="G1348" s="8" t="s">
        <v>41</v>
      </c>
      <c r="H1348" s="8" t="s">
        <v>94</v>
      </c>
      <c r="I1348" s="8" t="s">
        <v>29</v>
      </c>
      <c r="J1348" s="8" t="s">
        <v>69</v>
      </c>
      <c r="K1348" s="8" t="s">
        <v>137</v>
      </c>
      <c r="L1348" s="8" t="s">
        <v>45</v>
      </c>
      <c r="M1348" s="8">
        <v>4</v>
      </c>
      <c r="N1348" s="10">
        <v>496.28</v>
      </c>
      <c r="O1348" s="11">
        <v>0.1</v>
      </c>
      <c r="P1348" s="10">
        <v>1786.61</v>
      </c>
      <c r="Q1348" s="10">
        <v>906.9</v>
      </c>
      <c r="R1348" s="10">
        <v>879.71</v>
      </c>
      <c r="S1348" s="8" t="s">
        <v>63</v>
      </c>
      <c r="T1348" s="8" t="s">
        <v>111</v>
      </c>
      <c r="U1348" s="8">
        <v>4</v>
      </c>
      <c r="V1348" s="8" t="s">
        <v>65</v>
      </c>
    </row>
    <row r="1349" spans="1:22" x14ac:dyDescent="0.3">
      <c r="A1349" s="12" t="s">
        <v>2186</v>
      </c>
      <c r="B1349" s="13">
        <v>45891</v>
      </c>
      <c r="C1349" s="12" t="s">
        <v>125</v>
      </c>
      <c r="D1349" s="12" t="s">
        <v>126</v>
      </c>
      <c r="E1349" s="12" t="s">
        <v>25</v>
      </c>
      <c r="F1349" s="12" t="s">
        <v>1001</v>
      </c>
      <c r="G1349" s="12" t="s">
        <v>41</v>
      </c>
      <c r="H1349" s="12" t="s">
        <v>42</v>
      </c>
      <c r="I1349" s="12" t="s">
        <v>68</v>
      </c>
      <c r="J1349" s="12" t="s">
        <v>30</v>
      </c>
      <c r="K1349" s="12" t="s">
        <v>62</v>
      </c>
      <c r="L1349" s="12" t="s">
        <v>77</v>
      </c>
      <c r="M1349" s="12">
        <v>3</v>
      </c>
      <c r="N1349" s="14">
        <v>1047.3800000000001</v>
      </c>
      <c r="O1349" s="15">
        <v>0</v>
      </c>
      <c r="P1349" s="14">
        <v>3142.14</v>
      </c>
      <c r="Q1349" s="14">
        <v>1374.1</v>
      </c>
      <c r="R1349" s="14">
        <v>1768.04</v>
      </c>
      <c r="S1349" s="12" t="s">
        <v>46</v>
      </c>
      <c r="T1349" s="12" t="s">
        <v>78</v>
      </c>
      <c r="U1349" s="12">
        <v>5</v>
      </c>
      <c r="V1349" s="12" t="s">
        <v>72</v>
      </c>
    </row>
    <row r="1350" spans="1:22" x14ac:dyDescent="0.3">
      <c r="A1350" s="8" t="s">
        <v>2187</v>
      </c>
      <c r="B1350" s="9">
        <v>45808</v>
      </c>
      <c r="C1350" s="8" t="s">
        <v>113</v>
      </c>
      <c r="D1350" s="8" t="s">
        <v>114</v>
      </c>
      <c r="E1350" s="8" t="s">
        <v>59</v>
      </c>
      <c r="F1350" s="8" t="s">
        <v>660</v>
      </c>
      <c r="G1350" s="8" t="s">
        <v>41</v>
      </c>
      <c r="H1350" s="8" t="s">
        <v>81</v>
      </c>
      <c r="I1350" s="8" t="s">
        <v>61</v>
      </c>
      <c r="J1350" s="8" t="s">
        <v>89</v>
      </c>
      <c r="K1350" s="8" t="s">
        <v>151</v>
      </c>
      <c r="L1350" s="8" t="s">
        <v>82</v>
      </c>
      <c r="M1350" s="8">
        <v>3</v>
      </c>
      <c r="N1350" s="10">
        <v>949.09</v>
      </c>
      <c r="O1350" s="11">
        <v>0.25</v>
      </c>
      <c r="P1350" s="10">
        <v>2135.4499999999998</v>
      </c>
      <c r="Q1350" s="10">
        <v>1467.8</v>
      </c>
      <c r="R1350" s="10">
        <v>667.65</v>
      </c>
      <c r="S1350" s="8" t="s">
        <v>33</v>
      </c>
      <c r="T1350" s="8" t="s">
        <v>156</v>
      </c>
      <c r="U1350" s="8">
        <v>5</v>
      </c>
      <c r="V1350" s="8" t="s">
        <v>134</v>
      </c>
    </row>
    <row r="1351" spans="1:22" x14ac:dyDescent="0.3">
      <c r="A1351" s="12" t="s">
        <v>2188</v>
      </c>
      <c r="B1351" s="13">
        <v>45799</v>
      </c>
      <c r="C1351" s="12" t="s">
        <v>86</v>
      </c>
      <c r="D1351" s="12" t="s">
        <v>87</v>
      </c>
      <c r="E1351" s="12" t="s">
        <v>59</v>
      </c>
      <c r="F1351" s="12" t="s">
        <v>1042</v>
      </c>
      <c r="G1351" s="12" t="s">
        <v>27</v>
      </c>
      <c r="H1351" s="12" t="s">
        <v>94</v>
      </c>
      <c r="I1351" s="12" t="s">
        <v>68</v>
      </c>
      <c r="J1351" s="12" t="s">
        <v>30</v>
      </c>
      <c r="K1351" s="12" t="s">
        <v>62</v>
      </c>
      <c r="L1351" s="12" t="s">
        <v>32</v>
      </c>
      <c r="M1351" s="12">
        <v>2</v>
      </c>
      <c r="N1351" s="14">
        <v>993.41</v>
      </c>
      <c r="O1351" s="15">
        <v>0.3</v>
      </c>
      <c r="P1351" s="14">
        <v>1390.77</v>
      </c>
      <c r="Q1351" s="14">
        <v>894.57</v>
      </c>
      <c r="R1351" s="14">
        <v>496.2</v>
      </c>
      <c r="S1351" s="12" t="s">
        <v>63</v>
      </c>
      <c r="T1351" s="12" t="s">
        <v>64</v>
      </c>
      <c r="U1351" s="12">
        <v>3</v>
      </c>
      <c r="V1351" s="12" t="s">
        <v>134</v>
      </c>
    </row>
    <row r="1352" spans="1:22" x14ac:dyDescent="0.3">
      <c r="A1352" s="8" t="s">
        <v>2189</v>
      </c>
      <c r="B1352" s="9">
        <v>45828</v>
      </c>
      <c r="C1352" s="8" t="s">
        <v>98</v>
      </c>
      <c r="D1352" s="8" t="s">
        <v>99</v>
      </c>
      <c r="E1352" s="8" t="s">
        <v>25</v>
      </c>
      <c r="F1352" s="8" t="s">
        <v>2190</v>
      </c>
      <c r="G1352" s="8" t="s">
        <v>41</v>
      </c>
      <c r="H1352" s="8" t="s">
        <v>42</v>
      </c>
      <c r="I1352" s="8" t="s">
        <v>61</v>
      </c>
      <c r="J1352" s="8" t="s">
        <v>101</v>
      </c>
      <c r="K1352" s="8" t="s">
        <v>102</v>
      </c>
      <c r="L1352" s="8" t="s">
        <v>77</v>
      </c>
      <c r="M1352" s="8">
        <v>5</v>
      </c>
      <c r="N1352" s="10">
        <v>699.9</v>
      </c>
      <c r="O1352" s="11">
        <v>0.1</v>
      </c>
      <c r="P1352" s="10">
        <v>3149.55</v>
      </c>
      <c r="Q1352" s="10">
        <v>1196.1199999999999</v>
      </c>
      <c r="R1352" s="10">
        <v>1953.43</v>
      </c>
      <c r="S1352" s="8" t="s">
        <v>63</v>
      </c>
      <c r="T1352" s="8" t="s">
        <v>34</v>
      </c>
      <c r="U1352" s="8">
        <v>4</v>
      </c>
      <c r="V1352" s="8" t="s">
        <v>157</v>
      </c>
    </row>
    <row r="1353" spans="1:22" x14ac:dyDescent="0.3">
      <c r="A1353" s="12" t="s">
        <v>2191</v>
      </c>
      <c r="B1353" s="13">
        <v>46020</v>
      </c>
      <c r="C1353" s="12" t="s">
        <v>48</v>
      </c>
      <c r="D1353" s="12" t="s">
        <v>49</v>
      </c>
      <c r="E1353" s="12" t="s">
        <v>39</v>
      </c>
      <c r="F1353" s="12" t="s">
        <v>1391</v>
      </c>
      <c r="G1353" s="12" t="s">
        <v>41</v>
      </c>
      <c r="H1353" s="12" t="s">
        <v>94</v>
      </c>
      <c r="I1353" s="12" t="s">
        <v>29</v>
      </c>
      <c r="J1353" s="12" t="s">
        <v>89</v>
      </c>
      <c r="K1353" s="12" t="s">
        <v>90</v>
      </c>
      <c r="L1353" s="12" t="s">
        <v>45</v>
      </c>
      <c r="M1353" s="12">
        <v>5</v>
      </c>
      <c r="N1353" s="14">
        <v>3332.32</v>
      </c>
      <c r="O1353" s="15">
        <v>0.2</v>
      </c>
      <c r="P1353" s="14">
        <v>13329.28</v>
      </c>
      <c r="Q1353" s="14">
        <v>10549.95</v>
      </c>
      <c r="R1353" s="14">
        <v>2779.33</v>
      </c>
      <c r="S1353" s="12" t="s">
        <v>46</v>
      </c>
      <c r="T1353" s="12" t="s">
        <v>54</v>
      </c>
      <c r="U1353" s="12">
        <v>3</v>
      </c>
      <c r="V1353" s="12" t="s">
        <v>35</v>
      </c>
    </row>
    <row r="1354" spans="1:22" x14ac:dyDescent="0.3">
      <c r="A1354" s="8" t="s">
        <v>2192</v>
      </c>
      <c r="B1354" s="9">
        <v>45672</v>
      </c>
      <c r="C1354" s="8" t="s">
        <v>37</v>
      </c>
      <c r="D1354" s="8" t="s">
        <v>38</v>
      </c>
      <c r="E1354" s="8" t="s">
        <v>39</v>
      </c>
      <c r="F1354" s="8" t="s">
        <v>2193</v>
      </c>
      <c r="G1354" s="8" t="s">
        <v>27</v>
      </c>
      <c r="H1354" s="8" t="s">
        <v>94</v>
      </c>
      <c r="I1354" s="8" t="s">
        <v>61</v>
      </c>
      <c r="J1354" s="8" t="s">
        <v>101</v>
      </c>
      <c r="K1354" s="8" t="s">
        <v>102</v>
      </c>
      <c r="L1354" s="8" t="s">
        <v>32</v>
      </c>
      <c r="M1354" s="8">
        <v>5</v>
      </c>
      <c r="N1354" s="10">
        <v>686.94</v>
      </c>
      <c r="O1354" s="11">
        <v>0.3</v>
      </c>
      <c r="P1354" s="10">
        <v>2404.29</v>
      </c>
      <c r="Q1354" s="10">
        <v>1265.83</v>
      </c>
      <c r="R1354" s="10">
        <v>1138.46</v>
      </c>
      <c r="S1354" s="8" t="s">
        <v>46</v>
      </c>
      <c r="T1354" s="8" t="s">
        <v>119</v>
      </c>
      <c r="U1354" s="8">
        <v>4</v>
      </c>
      <c r="V1354" s="8" t="s">
        <v>84</v>
      </c>
    </row>
    <row r="1355" spans="1:22" x14ac:dyDescent="0.3">
      <c r="A1355" s="12" t="s">
        <v>2194</v>
      </c>
      <c r="B1355" s="13">
        <v>45893</v>
      </c>
      <c r="C1355" s="12" t="s">
        <v>113</v>
      </c>
      <c r="D1355" s="12" t="s">
        <v>114</v>
      </c>
      <c r="E1355" s="12" t="s">
        <v>59</v>
      </c>
      <c r="F1355" s="12" t="s">
        <v>2195</v>
      </c>
      <c r="G1355" s="12" t="s">
        <v>27</v>
      </c>
      <c r="H1355" s="12" t="s">
        <v>94</v>
      </c>
      <c r="I1355" s="12" t="s">
        <v>61</v>
      </c>
      <c r="J1355" s="12" t="s">
        <v>101</v>
      </c>
      <c r="K1355" s="12" t="s">
        <v>217</v>
      </c>
      <c r="L1355" s="12" t="s">
        <v>52</v>
      </c>
      <c r="M1355" s="12">
        <v>1</v>
      </c>
      <c r="N1355" s="14">
        <v>2966.32</v>
      </c>
      <c r="O1355" s="15">
        <v>0.2</v>
      </c>
      <c r="P1355" s="14">
        <v>2373.06</v>
      </c>
      <c r="Q1355" s="14">
        <v>1697.9</v>
      </c>
      <c r="R1355" s="14">
        <v>675.16</v>
      </c>
      <c r="S1355" s="12" t="s">
        <v>63</v>
      </c>
      <c r="T1355" s="12" t="s">
        <v>104</v>
      </c>
      <c r="U1355" s="12">
        <v>5</v>
      </c>
      <c r="V1355" s="12" t="s">
        <v>72</v>
      </c>
    </row>
    <row r="1356" spans="1:22" x14ac:dyDescent="0.3">
      <c r="A1356" s="8" t="s">
        <v>2196</v>
      </c>
      <c r="B1356" s="9">
        <v>46003</v>
      </c>
      <c r="C1356" s="8" t="s">
        <v>37</v>
      </c>
      <c r="D1356" s="8" t="s">
        <v>38</v>
      </c>
      <c r="E1356" s="8" t="s">
        <v>39</v>
      </c>
      <c r="F1356" s="8" t="s">
        <v>2197</v>
      </c>
      <c r="G1356" s="8" t="s">
        <v>41</v>
      </c>
      <c r="H1356" s="8" t="s">
        <v>94</v>
      </c>
      <c r="I1356" s="8" t="s">
        <v>29</v>
      </c>
      <c r="J1356" s="8" t="s">
        <v>69</v>
      </c>
      <c r="K1356" s="8" t="s">
        <v>70</v>
      </c>
      <c r="L1356" s="8" t="s">
        <v>103</v>
      </c>
      <c r="M1356" s="8">
        <v>3</v>
      </c>
      <c r="N1356" s="10">
        <v>895.83</v>
      </c>
      <c r="O1356" s="11">
        <v>0.2</v>
      </c>
      <c r="P1356" s="10">
        <v>2149.9899999999998</v>
      </c>
      <c r="Q1356" s="10">
        <v>1417.01</v>
      </c>
      <c r="R1356" s="10">
        <v>732.98</v>
      </c>
      <c r="S1356" s="8" t="s">
        <v>83</v>
      </c>
      <c r="T1356" s="8" t="s">
        <v>34</v>
      </c>
      <c r="U1356" s="8">
        <v>3</v>
      </c>
      <c r="V1356" s="8" t="s">
        <v>35</v>
      </c>
    </row>
    <row r="1357" spans="1:22" x14ac:dyDescent="0.3">
      <c r="A1357" s="12" t="s">
        <v>2198</v>
      </c>
      <c r="B1357" s="13">
        <v>45728</v>
      </c>
      <c r="C1357" s="12" t="s">
        <v>113</v>
      </c>
      <c r="D1357" s="12" t="s">
        <v>114</v>
      </c>
      <c r="E1357" s="12" t="s">
        <v>59</v>
      </c>
      <c r="F1357" s="12" t="s">
        <v>2199</v>
      </c>
      <c r="G1357" s="12" t="s">
        <v>27</v>
      </c>
      <c r="H1357" s="12" t="s">
        <v>42</v>
      </c>
      <c r="I1357" s="12" t="s">
        <v>29</v>
      </c>
      <c r="J1357" s="12" t="s">
        <v>89</v>
      </c>
      <c r="K1357" s="12" t="s">
        <v>90</v>
      </c>
      <c r="L1357" s="12" t="s">
        <v>32</v>
      </c>
      <c r="M1357" s="12">
        <v>2</v>
      </c>
      <c r="N1357" s="14">
        <v>3371.37</v>
      </c>
      <c r="O1357" s="15">
        <v>0.1</v>
      </c>
      <c r="P1357" s="14">
        <v>6068.47</v>
      </c>
      <c r="Q1357" s="14">
        <v>4332.01</v>
      </c>
      <c r="R1357" s="14">
        <v>1736.46</v>
      </c>
      <c r="S1357" s="12" t="s">
        <v>53</v>
      </c>
      <c r="T1357" s="12" t="s">
        <v>147</v>
      </c>
      <c r="U1357" s="12">
        <v>4</v>
      </c>
      <c r="V1357" s="12" t="s">
        <v>55</v>
      </c>
    </row>
    <row r="1358" spans="1:22" x14ac:dyDescent="0.3">
      <c r="A1358" s="8" t="s">
        <v>2200</v>
      </c>
      <c r="B1358" s="9">
        <v>46006</v>
      </c>
      <c r="C1358" s="8" t="s">
        <v>57</v>
      </c>
      <c r="D1358" s="8" t="s">
        <v>58</v>
      </c>
      <c r="E1358" s="8" t="s">
        <v>59</v>
      </c>
      <c r="F1358" s="8" t="s">
        <v>1071</v>
      </c>
      <c r="G1358" s="8" t="s">
        <v>27</v>
      </c>
      <c r="H1358" s="8" t="s">
        <v>28</v>
      </c>
      <c r="I1358" s="8" t="s">
        <v>61</v>
      </c>
      <c r="J1358" s="8" t="s">
        <v>43</v>
      </c>
      <c r="K1358" s="8" t="s">
        <v>162</v>
      </c>
      <c r="L1358" s="8" t="s">
        <v>175</v>
      </c>
      <c r="M1358" s="8">
        <v>1</v>
      </c>
      <c r="N1358" s="10">
        <v>858.66</v>
      </c>
      <c r="O1358" s="11">
        <v>0</v>
      </c>
      <c r="P1358" s="10">
        <v>858.66</v>
      </c>
      <c r="Q1358" s="10">
        <v>391.29</v>
      </c>
      <c r="R1358" s="10">
        <v>467.37</v>
      </c>
      <c r="S1358" s="8" t="s">
        <v>63</v>
      </c>
      <c r="T1358" s="8" t="s">
        <v>78</v>
      </c>
      <c r="U1358" s="8">
        <v>5</v>
      </c>
      <c r="V1358" s="8" t="s">
        <v>35</v>
      </c>
    </row>
    <row r="1359" spans="1:22" x14ac:dyDescent="0.3">
      <c r="A1359" s="12" t="s">
        <v>2201</v>
      </c>
      <c r="B1359" s="13">
        <v>45698</v>
      </c>
      <c r="C1359" s="12" t="s">
        <v>107</v>
      </c>
      <c r="D1359" s="12" t="s">
        <v>108</v>
      </c>
      <c r="E1359" s="12" t="s">
        <v>39</v>
      </c>
      <c r="F1359" s="12" t="s">
        <v>1061</v>
      </c>
      <c r="G1359" s="12" t="s">
        <v>41</v>
      </c>
      <c r="H1359" s="12" t="s">
        <v>42</v>
      </c>
      <c r="I1359" s="12" t="s">
        <v>29</v>
      </c>
      <c r="J1359" s="12" t="s">
        <v>43</v>
      </c>
      <c r="K1359" s="12" t="s">
        <v>44</v>
      </c>
      <c r="L1359" s="12" t="s">
        <v>103</v>
      </c>
      <c r="M1359" s="12">
        <v>5</v>
      </c>
      <c r="N1359" s="14">
        <v>607.57000000000005</v>
      </c>
      <c r="O1359" s="15">
        <v>0</v>
      </c>
      <c r="P1359" s="14">
        <v>3037.85</v>
      </c>
      <c r="Q1359" s="14">
        <v>1327.31</v>
      </c>
      <c r="R1359" s="14">
        <v>1710.54</v>
      </c>
      <c r="S1359" s="12" t="s">
        <v>53</v>
      </c>
      <c r="T1359" s="12" t="s">
        <v>64</v>
      </c>
      <c r="U1359" s="12">
        <v>5</v>
      </c>
      <c r="V1359" s="12" t="s">
        <v>105</v>
      </c>
    </row>
    <row r="1360" spans="1:22" x14ac:dyDescent="0.3">
      <c r="A1360" s="8" t="s">
        <v>2202</v>
      </c>
      <c r="B1360" s="9">
        <v>45721</v>
      </c>
      <c r="C1360" s="8" t="s">
        <v>98</v>
      </c>
      <c r="D1360" s="8" t="s">
        <v>99</v>
      </c>
      <c r="E1360" s="8" t="s">
        <v>25</v>
      </c>
      <c r="F1360" s="8" t="s">
        <v>2203</v>
      </c>
      <c r="G1360" s="8" t="s">
        <v>27</v>
      </c>
      <c r="H1360" s="8" t="s">
        <v>94</v>
      </c>
      <c r="I1360" s="8" t="s">
        <v>68</v>
      </c>
      <c r="J1360" s="8" t="s">
        <v>43</v>
      </c>
      <c r="K1360" s="8" t="s">
        <v>162</v>
      </c>
      <c r="L1360" s="8" t="s">
        <v>103</v>
      </c>
      <c r="M1360" s="8">
        <v>3</v>
      </c>
      <c r="N1360" s="10">
        <v>942.71</v>
      </c>
      <c r="O1360" s="11">
        <v>0.2</v>
      </c>
      <c r="P1360" s="10">
        <v>2262.5</v>
      </c>
      <c r="Q1360" s="10">
        <v>1176.49</v>
      </c>
      <c r="R1360" s="10">
        <v>1086.01</v>
      </c>
      <c r="S1360" s="8" t="s">
        <v>83</v>
      </c>
      <c r="T1360" s="8" t="s">
        <v>111</v>
      </c>
      <c r="U1360" s="8">
        <v>5</v>
      </c>
      <c r="V1360" s="8" t="s">
        <v>55</v>
      </c>
    </row>
    <row r="1361" spans="1:22" x14ac:dyDescent="0.3">
      <c r="A1361" s="12" t="s">
        <v>2204</v>
      </c>
      <c r="B1361" s="13">
        <v>45768</v>
      </c>
      <c r="C1361" s="12" t="s">
        <v>107</v>
      </c>
      <c r="D1361" s="12" t="s">
        <v>108</v>
      </c>
      <c r="E1361" s="12" t="s">
        <v>39</v>
      </c>
      <c r="F1361" s="12" t="s">
        <v>2205</v>
      </c>
      <c r="G1361" s="12" t="s">
        <v>41</v>
      </c>
      <c r="H1361" s="12" t="s">
        <v>81</v>
      </c>
      <c r="I1361" s="12" t="s">
        <v>29</v>
      </c>
      <c r="J1361" s="12" t="s">
        <v>43</v>
      </c>
      <c r="K1361" s="12" t="s">
        <v>44</v>
      </c>
      <c r="L1361" s="12" t="s">
        <v>82</v>
      </c>
      <c r="M1361" s="12">
        <v>1</v>
      </c>
      <c r="N1361" s="14">
        <v>593.11</v>
      </c>
      <c r="O1361" s="15">
        <v>0.2</v>
      </c>
      <c r="P1361" s="14">
        <v>474.49</v>
      </c>
      <c r="Q1361" s="14">
        <v>257.20999999999998</v>
      </c>
      <c r="R1361" s="14">
        <v>217.28</v>
      </c>
      <c r="S1361" s="12" t="s">
        <v>83</v>
      </c>
      <c r="T1361" s="12" t="s">
        <v>156</v>
      </c>
      <c r="U1361" s="12">
        <v>4</v>
      </c>
      <c r="V1361" s="12" t="s">
        <v>96</v>
      </c>
    </row>
    <row r="1362" spans="1:22" x14ac:dyDescent="0.3">
      <c r="A1362" s="8" t="s">
        <v>2206</v>
      </c>
      <c r="B1362" s="9">
        <v>45971</v>
      </c>
      <c r="C1362" s="8" t="s">
        <v>125</v>
      </c>
      <c r="D1362" s="8" t="s">
        <v>126</v>
      </c>
      <c r="E1362" s="8" t="s">
        <v>25</v>
      </c>
      <c r="F1362" s="8" t="s">
        <v>1473</v>
      </c>
      <c r="G1362" s="8" t="s">
        <v>27</v>
      </c>
      <c r="H1362" s="8" t="s">
        <v>81</v>
      </c>
      <c r="I1362" s="8" t="s">
        <v>61</v>
      </c>
      <c r="J1362" s="8" t="s">
        <v>101</v>
      </c>
      <c r="K1362" s="8" t="s">
        <v>217</v>
      </c>
      <c r="L1362" s="8" t="s">
        <v>52</v>
      </c>
      <c r="M1362" s="8">
        <v>3</v>
      </c>
      <c r="N1362" s="10">
        <v>3148.1</v>
      </c>
      <c r="O1362" s="11">
        <v>0.15</v>
      </c>
      <c r="P1362" s="10">
        <v>8027.65</v>
      </c>
      <c r="Q1362" s="10">
        <v>4950.54</v>
      </c>
      <c r="R1362" s="10">
        <v>3077.11</v>
      </c>
      <c r="S1362" s="8" t="s">
        <v>63</v>
      </c>
      <c r="T1362" s="8" t="s">
        <v>78</v>
      </c>
      <c r="U1362" s="8">
        <v>4</v>
      </c>
      <c r="V1362" s="8" t="s">
        <v>65</v>
      </c>
    </row>
    <row r="1363" spans="1:22" x14ac:dyDescent="0.3">
      <c r="A1363" s="12" t="s">
        <v>2207</v>
      </c>
      <c r="B1363" s="13">
        <v>45660</v>
      </c>
      <c r="C1363" s="12" t="s">
        <v>125</v>
      </c>
      <c r="D1363" s="12" t="s">
        <v>126</v>
      </c>
      <c r="E1363" s="12" t="s">
        <v>25</v>
      </c>
      <c r="F1363" s="12" t="s">
        <v>1533</v>
      </c>
      <c r="G1363" s="12" t="s">
        <v>27</v>
      </c>
      <c r="H1363" s="12" t="s">
        <v>81</v>
      </c>
      <c r="I1363" s="12" t="s">
        <v>61</v>
      </c>
      <c r="J1363" s="12" t="s">
        <v>43</v>
      </c>
      <c r="K1363" s="12" t="s">
        <v>44</v>
      </c>
      <c r="L1363" s="12" t="s">
        <v>77</v>
      </c>
      <c r="M1363" s="12">
        <v>3</v>
      </c>
      <c r="N1363" s="14">
        <v>593.97</v>
      </c>
      <c r="O1363" s="15">
        <v>0.1</v>
      </c>
      <c r="P1363" s="14">
        <v>1603.72</v>
      </c>
      <c r="Q1363" s="14">
        <v>754.85</v>
      </c>
      <c r="R1363" s="14">
        <v>848.87</v>
      </c>
      <c r="S1363" s="12" t="s">
        <v>46</v>
      </c>
      <c r="T1363" s="12" t="s">
        <v>78</v>
      </c>
      <c r="U1363" s="12">
        <v>3</v>
      </c>
      <c r="V1363" s="12" t="s">
        <v>84</v>
      </c>
    </row>
    <row r="1364" spans="1:22" x14ac:dyDescent="0.3">
      <c r="A1364" s="8" t="s">
        <v>2208</v>
      </c>
      <c r="B1364" s="9">
        <v>45954</v>
      </c>
      <c r="C1364" s="8" t="s">
        <v>48</v>
      </c>
      <c r="D1364" s="8" t="s">
        <v>49</v>
      </c>
      <c r="E1364" s="8" t="s">
        <v>39</v>
      </c>
      <c r="F1364" s="8" t="s">
        <v>302</v>
      </c>
      <c r="G1364" s="8" t="s">
        <v>27</v>
      </c>
      <c r="H1364" s="8" t="s">
        <v>28</v>
      </c>
      <c r="I1364" s="8" t="s">
        <v>61</v>
      </c>
      <c r="J1364" s="8" t="s">
        <v>43</v>
      </c>
      <c r="K1364" s="8" t="s">
        <v>51</v>
      </c>
      <c r="L1364" s="8" t="s">
        <v>103</v>
      </c>
      <c r="M1364" s="8">
        <v>1</v>
      </c>
      <c r="N1364" s="10">
        <v>1554.85</v>
      </c>
      <c r="O1364" s="11">
        <v>0.15</v>
      </c>
      <c r="P1364" s="10">
        <v>1321.62</v>
      </c>
      <c r="Q1364" s="10">
        <v>720.04</v>
      </c>
      <c r="R1364" s="10">
        <v>601.58000000000004</v>
      </c>
      <c r="S1364" s="8" t="s">
        <v>53</v>
      </c>
      <c r="T1364" s="8" t="s">
        <v>78</v>
      </c>
      <c r="U1364" s="8">
        <v>4</v>
      </c>
      <c r="V1364" s="8" t="s">
        <v>123</v>
      </c>
    </row>
    <row r="1365" spans="1:22" x14ac:dyDescent="0.3">
      <c r="A1365" s="12" t="s">
        <v>2209</v>
      </c>
      <c r="B1365" s="13">
        <v>45952</v>
      </c>
      <c r="C1365" s="12" t="s">
        <v>107</v>
      </c>
      <c r="D1365" s="12" t="s">
        <v>108</v>
      </c>
      <c r="E1365" s="12" t="s">
        <v>39</v>
      </c>
      <c r="F1365" s="12" t="s">
        <v>80</v>
      </c>
      <c r="G1365" s="12" t="s">
        <v>27</v>
      </c>
      <c r="H1365" s="12" t="s">
        <v>81</v>
      </c>
      <c r="I1365" s="12" t="s">
        <v>68</v>
      </c>
      <c r="J1365" s="12" t="s">
        <v>43</v>
      </c>
      <c r="K1365" s="12" t="s">
        <v>162</v>
      </c>
      <c r="L1365" s="12" t="s">
        <v>82</v>
      </c>
      <c r="M1365" s="12">
        <v>1</v>
      </c>
      <c r="N1365" s="14">
        <v>879.08</v>
      </c>
      <c r="O1365" s="15">
        <v>0.3</v>
      </c>
      <c r="P1365" s="14">
        <v>615.36</v>
      </c>
      <c r="Q1365" s="14">
        <v>407.67</v>
      </c>
      <c r="R1365" s="14">
        <v>207.69</v>
      </c>
      <c r="S1365" s="12" t="s">
        <v>33</v>
      </c>
      <c r="T1365" s="12" t="s">
        <v>64</v>
      </c>
      <c r="U1365" s="12">
        <v>5</v>
      </c>
      <c r="V1365" s="12" t="s">
        <v>123</v>
      </c>
    </row>
    <row r="1366" spans="1:22" x14ac:dyDescent="0.3">
      <c r="A1366" s="8" t="s">
        <v>2210</v>
      </c>
      <c r="B1366" s="9">
        <v>45731</v>
      </c>
      <c r="C1366" s="8" t="s">
        <v>37</v>
      </c>
      <c r="D1366" s="8" t="s">
        <v>38</v>
      </c>
      <c r="E1366" s="8" t="s">
        <v>39</v>
      </c>
      <c r="F1366" s="8" t="s">
        <v>851</v>
      </c>
      <c r="G1366" s="8" t="s">
        <v>27</v>
      </c>
      <c r="H1366" s="8" t="s">
        <v>28</v>
      </c>
      <c r="I1366" s="8" t="s">
        <v>61</v>
      </c>
      <c r="J1366" s="8" t="s">
        <v>69</v>
      </c>
      <c r="K1366" s="8" t="s">
        <v>137</v>
      </c>
      <c r="L1366" s="8" t="s">
        <v>175</v>
      </c>
      <c r="M1366" s="8">
        <v>2</v>
      </c>
      <c r="N1366" s="10">
        <v>515.21</v>
      </c>
      <c r="O1366" s="11">
        <v>0.3</v>
      </c>
      <c r="P1366" s="10">
        <v>721.29</v>
      </c>
      <c r="Q1366" s="10">
        <v>423.1</v>
      </c>
      <c r="R1366" s="10">
        <v>298.19</v>
      </c>
      <c r="S1366" s="8" t="s">
        <v>33</v>
      </c>
      <c r="T1366" s="8" t="s">
        <v>119</v>
      </c>
      <c r="U1366" s="8">
        <v>3</v>
      </c>
      <c r="V1366" s="8" t="s">
        <v>55</v>
      </c>
    </row>
    <row r="1367" spans="1:22" x14ac:dyDescent="0.3">
      <c r="A1367" s="12" t="s">
        <v>2211</v>
      </c>
      <c r="B1367" s="13">
        <v>45707</v>
      </c>
      <c r="C1367" s="12" t="s">
        <v>48</v>
      </c>
      <c r="D1367" s="12" t="s">
        <v>49</v>
      </c>
      <c r="E1367" s="12" t="s">
        <v>39</v>
      </c>
      <c r="F1367" s="12" t="s">
        <v>358</v>
      </c>
      <c r="G1367" s="12" t="s">
        <v>27</v>
      </c>
      <c r="H1367" s="12" t="s">
        <v>42</v>
      </c>
      <c r="I1367" s="12" t="s">
        <v>61</v>
      </c>
      <c r="J1367" s="12" t="s">
        <v>89</v>
      </c>
      <c r="K1367" s="12" t="s">
        <v>90</v>
      </c>
      <c r="L1367" s="12" t="s">
        <v>77</v>
      </c>
      <c r="M1367" s="12">
        <v>2</v>
      </c>
      <c r="N1367" s="14">
        <v>3652.53</v>
      </c>
      <c r="O1367" s="15">
        <v>0.15</v>
      </c>
      <c r="P1367" s="14">
        <v>6209.3</v>
      </c>
      <c r="Q1367" s="14">
        <v>4009.6</v>
      </c>
      <c r="R1367" s="14">
        <v>2199.6999999999998</v>
      </c>
      <c r="S1367" s="12" t="s">
        <v>33</v>
      </c>
      <c r="T1367" s="12" t="s">
        <v>64</v>
      </c>
      <c r="U1367" s="12">
        <v>4</v>
      </c>
      <c r="V1367" s="12" t="s">
        <v>105</v>
      </c>
    </row>
    <row r="1368" spans="1:22" x14ac:dyDescent="0.3">
      <c r="A1368" s="8" t="s">
        <v>2212</v>
      </c>
      <c r="B1368" s="9">
        <v>45877</v>
      </c>
      <c r="C1368" s="8" t="s">
        <v>57</v>
      </c>
      <c r="D1368" s="8" t="s">
        <v>58</v>
      </c>
      <c r="E1368" s="8" t="s">
        <v>59</v>
      </c>
      <c r="F1368" s="8" t="s">
        <v>2213</v>
      </c>
      <c r="G1368" s="8" t="s">
        <v>41</v>
      </c>
      <c r="H1368" s="8" t="s">
        <v>28</v>
      </c>
      <c r="I1368" s="8" t="s">
        <v>68</v>
      </c>
      <c r="J1368" s="8" t="s">
        <v>30</v>
      </c>
      <c r="K1368" s="8" t="s">
        <v>31</v>
      </c>
      <c r="L1368" s="8" t="s">
        <v>82</v>
      </c>
      <c r="M1368" s="8">
        <v>1</v>
      </c>
      <c r="N1368" s="10">
        <v>4108.87</v>
      </c>
      <c r="O1368" s="11">
        <v>0.05</v>
      </c>
      <c r="P1368" s="10">
        <v>3903.43</v>
      </c>
      <c r="Q1368" s="10">
        <v>2126.6</v>
      </c>
      <c r="R1368" s="10">
        <v>1776.83</v>
      </c>
      <c r="S1368" s="8" t="s">
        <v>46</v>
      </c>
      <c r="T1368" s="8" t="s">
        <v>71</v>
      </c>
      <c r="U1368" s="8">
        <v>3</v>
      </c>
      <c r="V1368" s="8" t="s">
        <v>72</v>
      </c>
    </row>
    <row r="1369" spans="1:22" x14ac:dyDescent="0.3">
      <c r="A1369" s="12" t="s">
        <v>2214</v>
      </c>
      <c r="B1369" s="13">
        <v>45816</v>
      </c>
      <c r="C1369" s="12" t="s">
        <v>86</v>
      </c>
      <c r="D1369" s="12" t="s">
        <v>87</v>
      </c>
      <c r="E1369" s="12" t="s">
        <v>59</v>
      </c>
      <c r="F1369" s="12" t="s">
        <v>816</v>
      </c>
      <c r="G1369" s="12" t="s">
        <v>41</v>
      </c>
      <c r="H1369" s="12" t="s">
        <v>42</v>
      </c>
      <c r="I1369" s="12" t="s">
        <v>29</v>
      </c>
      <c r="J1369" s="12" t="s">
        <v>69</v>
      </c>
      <c r="K1369" s="12" t="s">
        <v>70</v>
      </c>
      <c r="L1369" s="12" t="s">
        <v>77</v>
      </c>
      <c r="M1369" s="12">
        <v>3</v>
      </c>
      <c r="N1369" s="14">
        <v>917.71</v>
      </c>
      <c r="O1369" s="15">
        <v>0.2</v>
      </c>
      <c r="P1369" s="14">
        <v>2202.5</v>
      </c>
      <c r="Q1369" s="14">
        <v>1344.33</v>
      </c>
      <c r="R1369" s="14">
        <v>858.17</v>
      </c>
      <c r="S1369" s="12" t="s">
        <v>83</v>
      </c>
      <c r="T1369" s="12" t="s">
        <v>78</v>
      </c>
      <c r="U1369" s="12">
        <v>3</v>
      </c>
      <c r="V1369" s="12" t="s">
        <v>157</v>
      </c>
    </row>
    <row r="1370" spans="1:22" x14ac:dyDescent="0.3">
      <c r="A1370" s="8" t="s">
        <v>2215</v>
      </c>
      <c r="B1370" s="9">
        <v>45686</v>
      </c>
      <c r="C1370" s="8" t="s">
        <v>48</v>
      </c>
      <c r="D1370" s="8" t="s">
        <v>49</v>
      </c>
      <c r="E1370" s="8" t="s">
        <v>39</v>
      </c>
      <c r="F1370" s="8" t="s">
        <v>2216</v>
      </c>
      <c r="G1370" s="8" t="s">
        <v>27</v>
      </c>
      <c r="H1370" s="8" t="s">
        <v>81</v>
      </c>
      <c r="I1370" s="8" t="s">
        <v>29</v>
      </c>
      <c r="J1370" s="8" t="s">
        <v>75</v>
      </c>
      <c r="K1370" s="8" t="s">
        <v>76</v>
      </c>
      <c r="L1370" s="8" t="s">
        <v>77</v>
      </c>
      <c r="M1370" s="8">
        <v>5</v>
      </c>
      <c r="N1370" s="10">
        <v>823.13</v>
      </c>
      <c r="O1370" s="11">
        <v>0.25</v>
      </c>
      <c r="P1370" s="10">
        <v>3086.74</v>
      </c>
      <c r="Q1370" s="10">
        <v>1815.14</v>
      </c>
      <c r="R1370" s="10">
        <v>1271.5999999999999</v>
      </c>
      <c r="S1370" s="8" t="s">
        <v>83</v>
      </c>
      <c r="T1370" s="8" t="s">
        <v>119</v>
      </c>
      <c r="U1370" s="8">
        <v>3</v>
      </c>
      <c r="V1370" s="8" t="s">
        <v>84</v>
      </c>
    </row>
    <row r="1371" spans="1:22" x14ac:dyDescent="0.3">
      <c r="A1371" s="12" t="s">
        <v>2217</v>
      </c>
      <c r="B1371" s="13">
        <v>45831</v>
      </c>
      <c r="C1371" s="12" t="s">
        <v>37</v>
      </c>
      <c r="D1371" s="12" t="s">
        <v>38</v>
      </c>
      <c r="E1371" s="12" t="s">
        <v>39</v>
      </c>
      <c r="F1371" s="12" t="s">
        <v>2218</v>
      </c>
      <c r="G1371" s="12" t="s">
        <v>27</v>
      </c>
      <c r="H1371" s="12" t="s">
        <v>81</v>
      </c>
      <c r="I1371" s="12" t="s">
        <v>29</v>
      </c>
      <c r="J1371" s="12" t="s">
        <v>69</v>
      </c>
      <c r="K1371" s="12" t="s">
        <v>180</v>
      </c>
      <c r="L1371" s="12" t="s">
        <v>175</v>
      </c>
      <c r="M1371" s="12">
        <v>3</v>
      </c>
      <c r="N1371" s="14">
        <v>1503.13</v>
      </c>
      <c r="O1371" s="15">
        <v>0.05</v>
      </c>
      <c r="P1371" s="14">
        <v>4283.92</v>
      </c>
      <c r="Q1371" s="14">
        <v>2477.4899999999998</v>
      </c>
      <c r="R1371" s="14">
        <v>1806.43</v>
      </c>
      <c r="S1371" s="12" t="s">
        <v>83</v>
      </c>
      <c r="T1371" s="12" t="s">
        <v>119</v>
      </c>
      <c r="U1371" s="12">
        <v>3</v>
      </c>
      <c r="V1371" s="12" t="s">
        <v>157</v>
      </c>
    </row>
    <row r="1372" spans="1:22" x14ac:dyDescent="0.3">
      <c r="A1372" s="8" t="s">
        <v>2219</v>
      </c>
      <c r="B1372" s="9">
        <v>45986</v>
      </c>
      <c r="C1372" s="8" t="s">
        <v>113</v>
      </c>
      <c r="D1372" s="8" t="s">
        <v>114</v>
      </c>
      <c r="E1372" s="8" t="s">
        <v>59</v>
      </c>
      <c r="F1372" s="8" t="s">
        <v>412</v>
      </c>
      <c r="G1372" s="8" t="s">
        <v>41</v>
      </c>
      <c r="H1372" s="8" t="s">
        <v>42</v>
      </c>
      <c r="I1372" s="8" t="s">
        <v>29</v>
      </c>
      <c r="J1372" s="8" t="s">
        <v>89</v>
      </c>
      <c r="K1372" s="8" t="s">
        <v>90</v>
      </c>
      <c r="L1372" s="8" t="s">
        <v>52</v>
      </c>
      <c r="M1372" s="8">
        <v>4</v>
      </c>
      <c r="N1372" s="10">
        <v>3440.09</v>
      </c>
      <c r="O1372" s="11">
        <v>0.2</v>
      </c>
      <c r="P1372" s="10">
        <v>11008.29</v>
      </c>
      <c r="Q1372" s="10">
        <v>8453.9599999999991</v>
      </c>
      <c r="R1372" s="10">
        <v>2554.33</v>
      </c>
      <c r="S1372" s="8" t="s">
        <v>46</v>
      </c>
      <c r="T1372" s="8" t="s">
        <v>78</v>
      </c>
      <c r="U1372" s="8">
        <v>4</v>
      </c>
      <c r="V1372" s="8" t="s">
        <v>65</v>
      </c>
    </row>
    <row r="1373" spans="1:22" x14ac:dyDescent="0.3">
      <c r="A1373" s="12" t="s">
        <v>2220</v>
      </c>
      <c r="B1373" s="13">
        <v>45986</v>
      </c>
      <c r="C1373" s="12" t="s">
        <v>37</v>
      </c>
      <c r="D1373" s="12" t="s">
        <v>38</v>
      </c>
      <c r="E1373" s="12" t="s">
        <v>39</v>
      </c>
      <c r="F1373" s="12" t="s">
        <v>590</v>
      </c>
      <c r="G1373" s="12" t="s">
        <v>41</v>
      </c>
      <c r="H1373" s="12" t="s">
        <v>81</v>
      </c>
      <c r="I1373" s="12" t="s">
        <v>29</v>
      </c>
      <c r="J1373" s="12" t="s">
        <v>89</v>
      </c>
      <c r="K1373" s="12" t="s">
        <v>90</v>
      </c>
      <c r="L1373" s="12" t="s">
        <v>77</v>
      </c>
      <c r="M1373" s="12">
        <v>5</v>
      </c>
      <c r="N1373" s="14">
        <v>3370.01</v>
      </c>
      <c r="O1373" s="15">
        <v>0.2</v>
      </c>
      <c r="P1373" s="14">
        <v>13480.04</v>
      </c>
      <c r="Q1373" s="14">
        <v>10610.45</v>
      </c>
      <c r="R1373" s="14">
        <v>2869.59</v>
      </c>
      <c r="S1373" s="12" t="s">
        <v>33</v>
      </c>
      <c r="T1373" s="12" t="s">
        <v>34</v>
      </c>
      <c r="U1373" s="12">
        <v>3</v>
      </c>
      <c r="V1373" s="12" t="s">
        <v>65</v>
      </c>
    </row>
    <row r="1374" spans="1:22" x14ac:dyDescent="0.3">
      <c r="A1374" s="8" t="s">
        <v>2221</v>
      </c>
      <c r="B1374" s="9">
        <v>45835</v>
      </c>
      <c r="C1374" s="8" t="s">
        <v>107</v>
      </c>
      <c r="D1374" s="8" t="s">
        <v>108</v>
      </c>
      <c r="E1374" s="8" t="s">
        <v>39</v>
      </c>
      <c r="F1374" s="8" t="s">
        <v>329</v>
      </c>
      <c r="G1374" s="8" t="s">
        <v>27</v>
      </c>
      <c r="H1374" s="8" t="s">
        <v>94</v>
      </c>
      <c r="I1374" s="8" t="s">
        <v>61</v>
      </c>
      <c r="J1374" s="8" t="s">
        <v>89</v>
      </c>
      <c r="K1374" s="8" t="s">
        <v>151</v>
      </c>
      <c r="L1374" s="8" t="s">
        <v>103</v>
      </c>
      <c r="M1374" s="8">
        <v>1</v>
      </c>
      <c r="N1374" s="10">
        <v>1026.3599999999999</v>
      </c>
      <c r="O1374" s="11">
        <v>0.05</v>
      </c>
      <c r="P1374" s="10">
        <v>975.04</v>
      </c>
      <c r="Q1374" s="10">
        <v>487.62</v>
      </c>
      <c r="R1374" s="10">
        <v>487.42</v>
      </c>
      <c r="S1374" s="8" t="s">
        <v>83</v>
      </c>
      <c r="T1374" s="8" t="s">
        <v>156</v>
      </c>
      <c r="U1374" s="8">
        <v>5</v>
      </c>
      <c r="V1374" s="8" t="s">
        <v>157</v>
      </c>
    </row>
    <row r="1375" spans="1:22" x14ac:dyDescent="0.3">
      <c r="A1375" s="12" t="s">
        <v>2222</v>
      </c>
      <c r="B1375" s="13">
        <v>45827</v>
      </c>
      <c r="C1375" s="12" t="s">
        <v>113</v>
      </c>
      <c r="D1375" s="12" t="s">
        <v>114</v>
      </c>
      <c r="E1375" s="12" t="s">
        <v>59</v>
      </c>
      <c r="F1375" s="12" t="s">
        <v>1574</v>
      </c>
      <c r="G1375" s="12" t="s">
        <v>41</v>
      </c>
      <c r="H1375" s="12" t="s">
        <v>81</v>
      </c>
      <c r="I1375" s="12" t="s">
        <v>68</v>
      </c>
      <c r="J1375" s="12" t="s">
        <v>30</v>
      </c>
      <c r="K1375" s="12" t="s">
        <v>62</v>
      </c>
      <c r="L1375" s="12" t="s">
        <v>103</v>
      </c>
      <c r="M1375" s="12">
        <v>1</v>
      </c>
      <c r="N1375" s="14">
        <v>976.45</v>
      </c>
      <c r="O1375" s="15">
        <v>0.15</v>
      </c>
      <c r="P1375" s="14">
        <v>829.98</v>
      </c>
      <c r="Q1375" s="14">
        <v>463.93</v>
      </c>
      <c r="R1375" s="14">
        <v>366.05</v>
      </c>
      <c r="S1375" s="12" t="s">
        <v>83</v>
      </c>
      <c r="T1375" s="12" t="s">
        <v>64</v>
      </c>
      <c r="U1375" s="12">
        <v>3</v>
      </c>
      <c r="V1375" s="12" t="s">
        <v>157</v>
      </c>
    </row>
    <row r="1376" spans="1:22" x14ac:dyDescent="0.3">
      <c r="A1376" s="8" t="s">
        <v>2223</v>
      </c>
      <c r="B1376" s="9">
        <v>45816</v>
      </c>
      <c r="C1376" s="8" t="s">
        <v>23</v>
      </c>
      <c r="D1376" s="8" t="s">
        <v>24</v>
      </c>
      <c r="E1376" s="8" t="s">
        <v>25</v>
      </c>
      <c r="F1376" s="8" t="s">
        <v>2224</v>
      </c>
      <c r="G1376" s="8" t="s">
        <v>27</v>
      </c>
      <c r="H1376" s="8" t="s">
        <v>42</v>
      </c>
      <c r="I1376" s="8" t="s">
        <v>61</v>
      </c>
      <c r="J1376" s="8" t="s">
        <v>75</v>
      </c>
      <c r="K1376" s="8" t="s">
        <v>76</v>
      </c>
      <c r="L1376" s="8" t="s">
        <v>103</v>
      </c>
      <c r="M1376" s="8">
        <v>5</v>
      </c>
      <c r="N1376" s="10">
        <v>771.65</v>
      </c>
      <c r="O1376" s="11">
        <v>0.3</v>
      </c>
      <c r="P1376" s="10">
        <v>2700.77</v>
      </c>
      <c r="Q1376" s="10">
        <v>1670.33</v>
      </c>
      <c r="R1376" s="10">
        <v>1030.44</v>
      </c>
      <c r="S1376" s="8" t="s">
        <v>33</v>
      </c>
      <c r="T1376" s="8" t="s">
        <v>147</v>
      </c>
      <c r="U1376" s="8">
        <v>4</v>
      </c>
      <c r="V1376" s="8" t="s">
        <v>157</v>
      </c>
    </row>
    <row r="1377" spans="1:22" x14ac:dyDescent="0.3">
      <c r="A1377" s="12" t="s">
        <v>2225</v>
      </c>
      <c r="B1377" s="13">
        <v>45933</v>
      </c>
      <c r="C1377" s="12" t="s">
        <v>98</v>
      </c>
      <c r="D1377" s="12" t="s">
        <v>99</v>
      </c>
      <c r="E1377" s="12" t="s">
        <v>25</v>
      </c>
      <c r="F1377" s="12" t="s">
        <v>626</v>
      </c>
      <c r="G1377" s="12" t="s">
        <v>27</v>
      </c>
      <c r="H1377" s="12" t="s">
        <v>94</v>
      </c>
      <c r="I1377" s="12" t="s">
        <v>61</v>
      </c>
      <c r="J1377" s="12" t="s">
        <v>69</v>
      </c>
      <c r="K1377" s="12" t="s">
        <v>137</v>
      </c>
      <c r="L1377" s="12" t="s">
        <v>103</v>
      </c>
      <c r="M1377" s="12">
        <v>1</v>
      </c>
      <c r="N1377" s="14">
        <v>523.85</v>
      </c>
      <c r="O1377" s="15">
        <v>0.2</v>
      </c>
      <c r="P1377" s="14">
        <v>419.08</v>
      </c>
      <c r="Q1377" s="14">
        <v>214.28</v>
      </c>
      <c r="R1377" s="14">
        <v>204.8</v>
      </c>
      <c r="S1377" s="12" t="s">
        <v>83</v>
      </c>
      <c r="T1377" s="12" t="s">
        <v>119</v>
      </c>
      <c r="U1377" s="12">
        <v>4</v>
      </c>
      <c r="V1377" s="12" t="s">
        <v>123</v>
      </c>
    </row>
    <row r="1378" spans="1:22" x14ac:dyDescent="0.3">
      <c r="A1378" s="8" t="s">
        <v>2226</v>
      </c>
      <c r="B1378" s="9">
        <v>45729</v>
      </c>
      <c r="C1378" s="8" t="s">
        <v>131</v>
      </c>
      <c r="D1378" s="8" t="s">
        <v>132</v>
      </c>
      <c r="E1378" s="8" t="s">
        <v>25</v>
      </c>
      <c r="F1378" s="8" t="s">
        <v>1001</v>
      </c>
      <c r="G1378" s="8" t="s">
        <v>27</v>
      </c>
      <c r="H1378" s="8" t="s">
        <v>28</v>
      </c>
      <c r="I1378" s="8" t="s">
        <v>68</v>
      </c>
      <c r="J1378" s="8" t="s">
        <v>101</v>
      </c>
      <c r="K1378" s="8" t="s">
        <v>110</v>
      </c>
      <c r="L1378" s="8" t="s">
        <v>45</v>
      </c>
      <c r="M1378" s="8">
        <v>5</v>
      </c>
      <c r="N1378" s="10">
        <v>5051.7700000000004</v>
      </c>
      <c r="O1378" s="11">
        <v>0.3</v>
      </c>
      <c r="P1378" s="10">
        <v>17681.189999999999</v>
      </c>
      <c r="Q1378" s="10">
        <v>15757.54</v>
      </c>
      <c r="R1378" s="10">
        <v>1923.65</v>
      </c>
      <c r="S1378" s="8" t="s">
        <v>83</v>
      </c>
      <c r="T1378" s="8" t="s">
        <v>156</v>
      </c>
      <c r="U1378" s="8">
        <v>3</v>
      </c>
      <c r="V1378" s="8" t="s">
        <v>55</v>
      </c>
    </row>
    <row r="1379" spans="1:22" x14ac:dyDescent="0.3">
      <c r="A1379" s="12" t="s">
        <v>2227</v>
      </c>
      <c r="B1379" s="13">
        <v>45660</v>
      </c>
      <c r="C1379" s="12" t="s">
        <v>98</v>
      </c>
      <c r="D1379" s="12" t="s">
        <v>99</v>
      </c>
      <c r="E1379" s="12" t="s">
        <v>25</v>
      </c>
      <c r="F1379" s="12" t="s">
        <v>1559</v>
      </c>
      <c r="G1379" s="12" t="s">
        <v>27</v>
      </c>
      <c r="H1379" s="12" t="s">
        <v>28</v>
      </c>
      <c r="I1379" s="12" t="s">
        <v>29</v>
      </c>
      <c r="J1379" s="12" t="s">
        <v>30</v>
      </c>
      <c r="K1379" s="12" t="s">
        <v>62</v>
      </c>
      <c r="L1379" s="12" t="s">
        <v>82</v>
      </c>
      <c r="M1379" s="12">
        <v>4</v>
      </c>
      <c r="N1379" s="14">
        <v>950.33</v>
      </c>
      <c r="O1379" s="15">
        <v>0.15</v>
      </c>
      <c r="P1379" s="14">
        <v>3231.12</v>
      </c>
      <c r="Q1379" s="14">
        <v>1875.8</v>
      </c>
      <c r="R1379" s="14">
        <v>1355.32</v>
      </c>
      <c r="S1379" s="12" t="s">
        <v>83</v>
      </c>
      <c r="T1379" s="12" t="s">
        <v>54</v>
      </c>
      <c r="U1379" s="12">
        <v>4</v>
      </c>
      <c r="V1379" s="12" t="s">
        <v>84</v>
      </c>
    </row>
    <row r="1380" spans="1:22" x14ac:dyDescent="0.3">
      <c r="A1380" s="8" t="s">
        <v>2228</v>
      </c>
      <c r="B1380" s="9">
        <v>45820</v>
      </c>
      <c r="C1380" s="8" t="s">
        <v>125</v>
      </c>
      <c r="D1380" s="8" t="s">
        <v>126</v>
      </c>
      <c r="E1380" s="8" t="s">
        <v>25</v>
      </c>
      <c r="F1380" s="8" t="s">
        <v>900</v>
      </c>
      <c r="G1380" s="8" t="s">
        <v>41</v>
      </c>
      <c r="H1380" s="8" t="s">
        <v>81</v>
      </c>
      <c r="I1380" s="8" t="s">
        <v>68</v>
      </c>
      <c r="J1380" s="8" t="s">
        <v>75</v>
      </c>
      <c r="K1380" s="8" t="s">
        <v>76</v>
      </c>
      <c r="L1380" s="8" t="s">
        <v>77</v>
      </c>
      <c r="M1380" s="8">
        <v>1</v>
      </c>
      <c r="N1380" s="10">
        <v>779.32</v>
      </c>
      <c r="O1380" s="11">
        <v>0.25</v>
      </c>
      <c r="P1380" s="10">
        <v>584.49</v>
      </c>
      <c r="Q1380" s="10">
        <v>359.56</v>
      </c>
      <c r="R1380" s="10">
        <v>224.93</v>
      </c>
      <c r="S1380" s="8" t="s">
        <v>33</v>
      </c>
      <c r="T1380" s="8" t="s">
        <v>64</v>
      </c>
      <c r="U1380" s="8">
        <v>4</v>
      </c>
      <c r="V1380" s="8" t="s">
        <v>157</v>
      </c>
    </row>
    <row r="1381" spans="1:22" x14ac:dyDescent="0.3">
      <c r="A1381" s="12" t="s">
        <v>2229</v>
      </c>
      <c r="B1381" s="13">
        <v>45787</v>
      </c>
      <c r="C1381" s="12" t="s">
        <v>113</v>
      </c>
      <c r="D1381" s="12" t="s">
        <v>114</v>
      </c>
      <c r="E1381" s="12" t="s">
        <v>59</v>
      </c>
      <c r="F1381" s="12" t="s">
        <v>446</v>
      </c>
      <c r="G1381" s="12" t="s">
        <v>27</v>
      </c>
      <c r="H1381" s="12" t="s">
        <v>42</v>
      </c>
      <c r="I1381" s="12" t="s">
        <v>61</v>
      </c>
      <c r="J1381" s="12" t="s">
        <v>43</v>
      </c>
      <c r="K1381" s="12" t="s">
        <v>44</v>
      </c>
      <c r="L1381" s="12" t="s">
        <v>103</v>
      </c>
      <c r="M1381" s="12">
        <v>4</v>
      </c>
      <c r="N1381" s="14">
        <v>611.46</v>
      </c>
      <c r="O1381" s="15">
        <v>0.15</v>
      </c>
      <c r="P1381" s="14">
        <v>2078.96</v>
      </c>
      <c r="Q1381" s="14">
        <v>1083.29</v>
      </c>
      <c r="R1381" s="14">
        <v>995.67</v>
      </c>
      <c r="S1381" s="12" t="s">
        <v>53</v>
      </c>
      <c r="T1381" s="12" t="s">
        <v>147</v>
      </c>
      <c r="U1381" s="12">
        <v>5</v>
      </c>
      <c r="V1381" s="12" t="s">
        <v>134</v>
      </c>
    </row>
    <row r="1382" spans="1:22" x14ac:dyDescent="0.3">
      <c r="A1382" s="8" t="s">
        <v>2230</v>
      </c>
      <c r="B1382" s="9">
        <v>45869</v>
      </c>
      <c r="C1382" s="8" t="s">
        <v>98</v>
      </c>
      <c r="D1382" s="8" t="s">
        <v>99</v>
      </c>
      <c r="E1382" s="8" t="s">
        <v>25</v>
      </c>
      <c r="F1382" s="8" t="s">
        <v>1813</v>
      </c>
      <c r="G1382" s="8" t="s">
        <v>41</v>
      </c>
      <c r="H1382" s="8" t="s">
        <v>28</v>
      </c>
      <c r="I1382" s="8" t="s">
        <v>68</v>
      </c>
      <c r="J1382" s="8" t="s">
        <v>89</v>
      </c>
      <c r="K1382" s="8" t="s">
        <v>90</v>
      </c>
      <c r="L1382" s="8" t="s">
        <v>175</v>
      </c>
      <c r="M1382" s="8">
        <v>4</v>
      </c>
      <c r="N1382" s="10">
        <v>3431.86</v>
      </c>
      <c r="O1382" s="11">
        <v>0.15</v>
      </c>
      <c r="P1382" s="10">
        <v>11668.32</v>
      </c>
      <c r="Q1382" s="10">
        <v>8081.8</v>
      </c>
      <c r="R1382" s="10">
        <v>3586.52</v>
      </c>
      <c r="S1382" s="8" t="s">
        <v>53</v>
      </c>
      <c r="T1382" s="8" t="s">
        <v>71</v>
      </c>
      <c r="U1382" s="8">
        <v>4</v>
      </c>
      <c r="V1382" s="8" t="s">
        <v>120</v>
      </c>
    </row>
    <row r="1383" spans="1:22" x14ac:dyDescent="0.3">
      <c r="A1383" s="12" t="s">
        <v>2231</v>
      </c>
      <c r="B1383" s="13">
        <v>45671</v>
      </c>
      <c r="C1383" s="12" t="s">
        <v>23</v>
      </c>
      <c r="D1383" s="12" t="s">
        <v>24</v>
      </c>
      <c r="E1383" s="12" t="s">
        <v>25</v>
      </c>
      <c r="F1383" s="12" t="s">
        <v>1601</v>
      </c>
      <c r="G1383" s="12" t="s">
        <v>41</v>
      </c>
      <c r="H1383" s="12" t="s">
        <v>94</v>
      </c>
      <c r="I1383" s="12" t="s">
        <v>61</v>
      </c>
      <c r="J1383" s="12" t="s">
        <v>75</v>
      </c>
      <c r="K1383" s="12" t="s">
        <v>154</v>
      </c>
      <c r="L1383" s="12" t="s">
        <v>52</v>
      </c>
      <c r="M1383" s="12">
        <v>1</v>
      </c>
      <c r="N1383" s="14">
        <v>2090.0300000000002</v>
      </c>
      <c r="O1383" s="15">
        <v>0.25</v>
      </c>
      <c r="P1383" s="14">
        <v>1567.52</v>
      </c>
      <c r="Q1383" s="14">
        <v>1061</v>
      </c>
      <c r="R1383" s="14">
        <v>506.52</v>
      </c>
      <c r="S1383" s="12" t="s">
        <v>63</v>
      </c>
      <c r="T1383" s="12" t="s">
        <v>119</v>
      </c>
      <c r="U1383" s="12">
        <v>3</v>
      </c>
      <c r="V1383" s="12" t="s">
        <v>84</v>
      </c>
    </row>
    <row r="1384" spans="1:22" x14ac:dyDescent="0.3">
      <c r="A1384" s="8" t="s">
        <v>2232</v>
      </c>
      <c r="B1384" s="9">
        <v>45836</v>
      </c>
      <c r="C1384" s="8" t="s">
        <v>107</v>
      </c>
      <c r="D1384" s="8" t="s">
        <v>108</v>
      </c>
      <c r="E1384" s="8" t="s">
        <v>39</v>
      </c>
      <c r="F1384" s="8" t="s">
        <v>703</v>
      </c>
      <c r="G1384" s="8" t="s">
        <v>41</v>
      </c>
      <c r="H1384" s="8" t="s">
        <v>28</v>
      </c>
      <c r="I1384" s="8" t="s">
        <v>61</v>
      </c>
      <c r="J1384" s="8" t="s">
        <v>75</v>
      </c>
      <c r="K1384" s="8" t="s">
        <v>76</v>
      </c>
      <c r="L1384" s="8" t="s">
        <v>45</v>
      </c>
      <c r="M1384" s="8">
        <v>1</v>
      </c>
      <c r="N1384" s="10">
        <v>821.37</v>
      </c>
      <c r="O1384" s="11">
        <v>0.15</v>
      </c>
      <c r="P1384" s="10">
        <v>698.16</v>
      </c>
      <c r="Q1384" s="10">
        <v>355.01</v>
      </c>
      <c r="R1384" s="10">
        <v>343.15</v>
      </c>
      <c r="S1384" s="8" t="s">
        <v>33</v>
      </c>
      <c r="T1384" s="8" t="s">
        <v>147</v>
      </c>
      <c r="U1384" s="8">
        <v>3</v>
      </c>
      <c r="V1384" s="8" t="s">
        <v>157</v>
      </c>
    </row>
    <row r="1385" spans="1:22" x14ac:dyDescent="0.3">
      <c r="A1385" s="12" t="s">
        <v>2233</v>
      </c>
      <c r="B1385" s="13">
        <v>45810</v>
      </c>
      <c r="C1385" s="12" t="s">
        <v>125</v>
      </c>
      <c r="D1385" s="12" t="s">
        <v>126</v>
      </c>
      <c r="E1385" s="12" t="s">
        <v>25</v>
      </c>
      <c r="F1385" s="12" t="s">
        <v>560</v>
      </c>
      <c r="G1385" s="12" t="s">
        <v>41</v>
      </c>
      <c r="H1385" s="12" t="s">
        <v>42</v>
      </c>
      <c r="I1385" s="12" t="s">
        <v>61</v>
      </c>
      <c r="J1385" s="12" t="s">
        <v>69</v>
      </c>
      <c r="K1385" s="12" t="s">
        <v>180</v>
      </c>
      <c r="L1385" s="12" t="s">
        <v>32</v>
      </c>
      <c r="M1385" s="12">
        <v>1</v>
      </c>
      <c r="N1385" s="14">
        <v>1505.78</v>
      </c>
      <c r="O1385" s="15">
        <v>0.15</v>
      </c>
      <c r="P1385" s="14">
        <v>1279.9100000000001</v>
      </c>
      <c r="Q1385" s="14">
        <v>857.64</v>
      </c>
      <c r="R1385" s="14">
        <v>422.27</v>
      </c>
      <c r="S1385" s="12" t="s">
        <v>53</v>
      </c>
      <c r="T1385" s="12" t="s">
        <v>71</v>
      </c>
      <c r="U1385" s="12">
        <v>4</v>
      </c>
      <c r="V1385" s="12" t="s">
        <v>157</v>
      </c>
    </row>
    <row r="1386" spans="1:22" x14ac:dyDescent="0.3">
      <c r="A1386" s="8" t="s">
        <v>2234</v>
      </c>
      <c r="B1386" s="9">
        <v>45971</v>
      </c>
      <c r="C1386" s="8" t="s">
        <v>113</v>
      </c>
      <c r="D1386" s="8" t="s">
        <v>114</v>
      </c>
      <c r="E1386" s="8" t="s">
        <v>59</v>
      </c>
      <c r="F1386" s="8" t="s">
        <v>2235</v>
      </c>
      <c r="G1386" s="8" t="s">
        <v>41</v>
      </c>
      <c r="H1386" s="8" t="s">
        <v>28</v>
      </c>
      <c r="I1386" s="8" t="s">
        <v>29</v>
      </c>
      <c r="J1386" s="8" t="s">
        <v>43</v>
      </c>
      <c r="K1386" s="8" t="s">
        <v>44</v>
      </c>
      <c r="L1386" s="8" t="s">
        <v>175</v>
      </c>
      <c r="M1386" s="8">
        <v>4</v>
      </c>
      <c r="N1386" s="10">
        <v>628.24</v>
      </c>
      <c r="O1386" s="11">
        <v>0.25</v>
      </c>
      <c r="P1386" s="10">
        <v>1884.72</v>
      </c>
      <c r="Q1386" s="10">
        <v>1046.31</v>
      </c>
      <c r="R1386" s="10">
        <v>838.41</v>
      </c>
      <c r="S1386" s="8" t="s">
        <v>46</v>
      </c>
      <c r="T1386" s="8" t="s">
        <v>156</v>
      </c>
      <c r="U1386" s="8">
        <v>3</v>
      </c>
      <c r="V1386" s="8" t="s">
        <v>65</v>
      </c>
    </row>
    <row r="1387" spans="1:22" x14ac:dyDescent="0.3">
      <c r="A1387" s="12" t="s">
        <v>2236</v>
      </c>
      <c r="B1387" s="13">
        <v>45747</v>
      </c>
      <c r="C1387" s="12" t="s">
        <v>37</v>
      </c>
      <c r="D1387" s="12" t="s">
        <v>38</v>
      </c>
      <c r="E1387" s="12" t="s">
        <v>39</v>
      </c>
      <c r="F1387" s="12" t="s">
        <v>957</v>
      </c>
      <c r="G1387" s="12" t="s">
        <v>41</v>
      </c>
      <c r="H1387" s="12" t="s">
        <v>28</v>
      </c>
      <c r="I1387" s="12" t="s">
        <v>61</v>
      </c>
      <c r="J1387" s="12" t="s">
        <v>43</v>
      </c>
      <c r="K1387" s="12" t="s">
        <v>44</v>
      </c>
      <c r="L1387" s="12" t="s">
        <v>52</v>
      </c>
      <c r="M1387" s="12">
        <v>2</v>
      </c>
      <c r="N1387" s="14">
        <v>597.51</v>
      </c>
      <c r="O1387" s="15">
        <v>0.25</v>
      </c>
      <c r="P1387" s="14">
        <v>896.26</v>
      </c>
      <c r="Q1387" s="14">
        <v>499.7</v>
      </c>
      <c r="R1387" s="14">
        <v>396.56</v>
      </c>
      <c r="S1387" s="12" t="s">
        <v>83</v>
      </c>
      <c r="T1387" s="12" t="s">
        <v>64</v>
      </c>
      <c r="U1387" s="12">
        <v>5</v>
      </c>
      <c r="V1387" s="12" t="s">
        <v>55</v>
      </c>
    </row>
    <row r="1388" spans="1:22" x14ac:dyDescent="0.3">
      <c r="A1388" s="8" t="s">
        <v>2237</v>
      </c>
      <c r="B1388" s="9">
        <v>45886</v>
      </c>
      <c r="C1388" s="8" t="s">
        <v>98</v>
      </c>
      <c r="D1388" s="8" t="s">
        <v>99</v>
      </c>
      <c r="E1388" s="8" t="s">
        <v>25</v>
      </c>
      <c r="F1388" s="8" t="s">
        <v>2238</v>
      </c>
      <c r="G1388" s="8" t="s">
        <v>41</v>
      </c>
      <c r="H1388" s="8" t="s">
        <v>42</v>
      </c>
      <c r="I1388" s="8" t="s">
        <v>29</v>
      </c>
      <c r="J1388" s="8" t="s">
        <v>75</v>
      </c>
      <c r="K1388" s="8" t="s">
        <v>154</v>
      </c>
      <c r="L1388" s="8" t="s">
        <v>77</v>
      </c>
      <c r="M1388" s="8">
        <v>5</v>
      </c>
      <c r="N1388" s="10">
        <v>1990.63</v>
      </c>
      <c r="O1388" s="11">
        <v>0.05</v>
      </c>
      <c r="P1388" s="10">
        <v>9455.49</v>
      </c>
      <c r="Q1388" s="10">
        <v>5556.51</v>
      </c>
      <c r="R1388" s="10">
        <v>3898.98</v>
      </c>
      <c r="S1388" s="8" t="s">
        <v>33</v>
      </c>
      <c r="T1388" s="8" t="s">
        <v>156</v>
      </c>
      <c r="U1388" s="8">
        <v>4</v>
      </c>
      <c r="V1388" s="8" t="s">
        <v>72</v>
      </c>
    </row>
    <row r="1389" spans="1:22" x14ac:dyDescent="0.3">
      <c r="A1389" s="12" t="s">
        <v>2239</v>
      </c>
      <c r="B1389" s="13">
        <v>45794</v>
      </c>
      <c r="C1389" s="12" t="s">
        <v>98</v>
      </c>
      <c r="D1389" s="12" t="s">
        <v>99</v>
      </c>
      <c r="E1389" s="12" t="s">
        <v>25</v>
      </c>
      <c r="F1389" s="12" t="s">
        <v>193</v>
      </c>
      <c r="G1389" s="12" t="s">
        <v>27</v>
      </c>
      <c r="H1389" s="12" t="s">
        <v>42</v>
      </c>
      <c r="I1389" s="12" t="s">
        <v>61</v>
      </c>
      <c r="J1389" s="12" t="s">
        <v>101</v>
      </c>
      <c r="K1389" s="12" t="s">
        <v>217</v>
      </c>
      <c r="L1389" s="12" t="s">
        <v>91</v>
      </c>
      <c r="M1389" s="12">
        <v>3</v>
      </c>
      <c r="N1389" s="14">
        <v>2910.42</v>
      </c>
      <c r="O1389" s="15">
        <v>0.15</v>
      </c>
      <c r="P1389" s="14">
        <v>7421.57</v>
      </c>
      <c r="Q1389" s="14">
        <v>5070.9799999999996</v>
      </c>
      <c r="R1389" s="14">
        <v>2350.59</v>
      </c>
      <c r="S1389" s="12" t="s">
        <v>53</v>
      </c>
      <c r="T1389" s="12" t="s">
        <v>54</v>
      </c>
      <c r="U1389" s="12">
        <v>5</v>
      </c>
      <c r="V1389" s="12" t="s">
        <v>134</v>
      </c>
    </row>
    <row r="1390" spans="1:22" x14ac:dyDescent="0.3">
      <c r="A1390" s="8" t="s">
        <v>2240</v>
      </c>
      <c r="B1390" s="9">
        <v>46018</v>
      </c>
      <c r="C1390" s="8" t="s">
        <v>57</v>
      </c>
      <c r="D1390" s="8" t="s">
        <v>58</v>
      </c>
      <c r="E1390" s="8" t="s">
        <v>59</v>
      </c>
      <c r="F1390" s="8" t="s">
        <v>2044</v>
      </c>
      <c r="G1390" s="8" t="s">
        <v>27</v>
      </c>
      <c r="H1390" s="8" t="s">
        <v>42</v>
      </c>
      <c r="I1390" s="8" t="s">
        <v>68</v>
      </c>
      <c r="J1390" s="8" t="s">
        <v>30</v>
      </c>
      <c r="K1390" s="8" t="s">
        <v>144</v>
      </c>
      <c r="L1390" s="8" t="s">
        <v>91</v>
      </c>
      <c r="M1390" s="8">
        <v>1</v>
      </c>
      <c r="N1390" s="10">
        <v>2446.04</v>
      </c>
      <c r="O1390" s="11">
        <v>0</v>
      </c>
      <c r="P1390" s="10">
        <v>2446.04</v>
      </c>
      <c r="Q1390" s="10">
        <v>1519.26</v>
      </c>
      <c r="R1390" s="10">
        <v>926.78</v>
      </c>
      <c r="S1390" s="8" t="s">
        <v>63</v>
      </c>
      <c r="T1390" s="8" t="s">
        <v>78</v>
      </c>
      <c r="U1390" s="8">
        <v>5</v>
      </c>
      <c r="V1390" s="8" t="s">
        <v>35</v>
      </c>
    </row>
    <row r="1391" spans="1:22" x14ac:dyDescent="0.3">
      <c r="A1391" s="12" t="s">
        <v>2241</v>
      </c>
      <c r="B1391" s="13">
        <v>46008</v>
      </c>
      <c r="C1391" s="12" t="s">
        <v>131</v>
      </c>
      <c r="D1391" s="12" t="s">
        <v>132</v>
      </c>
      <c r="E1391" s="12" t="s">
        <v>25</v>
      </c>
      <c r="F1391" s="12" t="s">
        <v>383</v>
      </c>
      <c r="G1391" s="12" t="s">
        <v>41</v>
      </c>
      <c r="H1391" s="12" t="s">
        <v>28</v>
      </c>
      <c r="I1391" s="12" t="s">
        <v>29</v>
      </c>
      <c r="J1391" s="12" t="s">
        <v>101</v>
      </c>
      <c r="K1391" s="12" t="s">
        <v>110</v>
      </c>
      <c r="L1391" s="12" t="s">
        <v>175</v>
      </c>
      <c r="M1391" s="12">
        <v>3</v>
      </c>
      <c r="N1391" s="14">
        <v>4956.74</v>
      </c>
      <c r="O1391" s="15">
        <v>0.25</v>
      </c>
      <c r="P1391" s="14">
        <v>11152.66</v>
      </c>
      <c r="Q1391" s="14">
        <v>9746.6</v>
      </c>
      <c r="R1391" s="14">
        <v>1406.06</v>
      </c>
      <c r="S1391" s="12" t="s">
        <v>63</v>
      </c>
      <c r="T1391" s="12" t="s">
        <v>104</v>
      </c>
      <c r="U1391" s="12">
        <v>4</v>
      </c>
      <c r="V1391" s="12" t="s">
        <v>35</v>
      </c>
    </row>
    <row r="1392" spans="1:22" x14ac:dyDescent="0.3">
      <c r="A1392" s="8" t="s">
        <v>2242</v>
      </c>
      <c r="B1392" s="9">
        <v>45977</v>
      </c>
      <c r="C1392" s="8" t="s">
        <v>107</v>
      </c>
      <c r="D1392" s="8" t="s">
        <v>108</v>
      </c>
      <c r="E1392" s="8" t="s">
        <v>39</v>
      </c>
      <c r="F1392" s="8" t="s">
        <v>2112</v>
      </c>
      <c r="G1392" s="8" t="s">
        <v>27</v>
      </c>
      <c r="H1392" s="8" t="s">
        <v>28</v>
      </c>
      <c r="I1392" s="8" t="s">
        <v>68</v>
      </c>
      <c r="J1392" s="8" t="s">
        <v>89</v>
      </c>
      <c r="K1392" s="8" t="s">
        <v>151</v>
      </c>
      <c r="L1392" s="8" t="s">
        <v>91</v>
      </c>
      <c r="M1392" s="8">
        <v>3</v>
      </c>
      <c r="N1392" s="10">
        <v>960.22</v>
      </c>
      <c r="O1392" s="11">
        <v>0</v>
      </c>
      <c r="P1392" s="10">
        <v>2880.66</v>
      </c>
      <c r="Q1392" s="10">
        <v>1469.71</v>
      </c>
      <c r="R1392" s="10">
        <v>1410.95</v>
      </c>
      <c r="S1392" s="8" t="s">
        <v>63</v>
      </c>
      <c r="T1392" s="8" t="s">
        <v>54</v>
      </c>
      <c r="U1392" s="8">
        <v>5</v>
      </c>
      <c r="V1392" s="8" t="s">
        <v>65</v>
      </c>
    </row>
    <row r="1393" spans="1:22" x14ac:dyDescent="0.3">
      <c r="A1393" s="12" t="s">
        <v>2243</v>
      </c>
      <c r="B1393" s="13">
        <v>45945</v>
      </c>
      <c r="C1393" s="12" t="s">
        <v>23</v>
      </c>
      <c r="D1393" s="12" t="s">
        <v>24</v>
      </c>
      <c r="E1393" s="12" t="s">
        <v>25</v>
      </c>
      <c r="F1393" s="12" t="s">
        <v>2244</v>
      </c>
      <c r="G1393" s="12" t="s">
        <v>41</v>
      </c>
      <c r="H1393" s="12" t="s">
        <v>42</v>
      </c>
      <c r="I1393" s="12" t="s">
        <v>68</v>
      </c>
      <c r="J1393" s="12" t="s">
        <v>30</v>
      </c>
      <c r="K1393" s="12" t="s">
        <v>31</v>
      </c>
      <c r="L1393" s="12" t="s">
        <v>77</v>
      </c>
      <c r="M1393" s="12">
        <v>2</v>
      </c>
      <c r="N1393" s="14">
        <v>3966.27</v>
      </c>
      <c r="O1393" s="15">
        <v>0</v>
      </c>
      <c r="P1393" s="14">
        <v>7932.54</v>
      </c>
      <c r="Q1393" s="14">
        <v>4420.46</v>
      </c>
      <c r="R1393" s="14">
        <v>3512.08</v>
      </c>
      <c r="S1393" s="12" t="s">
        <v>33</v>
      </c>
      <c r="T1393" s="12" t="s">
        <v>147</v>
      </c>
      <c r="U1393" s="12">
        <v>4</v>
      </c>
      <c r="V1393" s="12" t="s">
        <v>123</v>
      </c>
    </row>
    <row r="1394" spans="1:22" x14ac:dyDescent="0.3">
      <c r="A1394" s="8" t="s">
        <v>2245</v>
      </c>
      <c r="B1394" s="9">
        <v>45661</v>
      </c>
      <c r="C1394" s="8" t="s">
        <v>86</v>
      </c>
      <c r="D1394" s="8" t="s">
        <v>87</v>
      </c>
      <c r="E1394" s="8" t="s">
        <v>59</v>
      </c>
      <c r="F1394" s="8" t="s">
        <v>2246</v>
      </c>
      <c r="G1394" s="8" t="s">
        <v>41</v>
      </c>
      <c r="H1394" s="8" t="s">
        <v>94</v>
      </c>
      <c r="I1394" s="8" t="s">
        <v>68</v>
      </c>
      <c r="J1394" s="8" t="s">
        <v>75</v>
      </c>
      <c r="K1394" s="8" t="s">
        <v>76</v>
      </c>
      <c r="L1394" s="8" t="s">
        <v>77</v>
      </c>
      <c r="M1394" s="8">
        <v>1</v>
      </c>
      <c r="N1394" s="10">
        <v>788.93</v>
      </c>
      <c r="O1394" s="11">
        <v>0.1</v>
      </c>
      <c r="P1394" s="10">
        <v>710.04</v>
      </c>
      <c r="Q1394" s="10">
        <v>334.55</v>
      </c>
      <c r="R1394" s="10">
        <v>375.49</v>
      </c>
      <c r="S1394" s="8" t="s">
        <v>53</v>
      </c>
      <c r="T1394" s="8" t="s">
        <v>54</v>
      </c>
      <c r="U1394" s="8">
        <v>3</v>
      </c>
      <c r="V1394" s="8" t="s">
        <v>84</v>
      </c>
    </row>
    <row r="1395" spans="1:22" x14ac:dyDescent="0.3">
      <c r="A1395" s="12" t="s">
        <v>2247</v>
      </c>
      <c r="B1395" s="13">
        <v>45886</v>
      </c>
      <c r="C1395" s="12" t="s">
        <v>48</v>
      </c>
      <c r="D1395" s="12" t="s">
        <v>49</v>
      </c>
      <c r="E1395" s="12" t="s">
        <v>39</v>
      </c>
      <c r="F1395" s="12" t="s">
        <v>1854</v>
      </c>
      <c r="G1395" s="12" t="s">
        <v>27</v>
      </c>
      <c r="H1395" s="12" t="s">
        <v>81</v>
      </c>
      <c r="I1395" s="12" t="s">
        <v>68</v>
      </c>
      <c r="J1395" s="12" t="s">
        <v>75</v>
      </c>
      <c r="K1395" s="12" t="s">
        <v>154</v>
      </c>
      <c r="L1395" s="12" t="s">
        <v>175</v>
      </c>
      <c r="M1395" s="12">
        <v>3</v>
      </c>
      <c r="N1395" s="14">
        <v>1953.44</v>
      </c>
      <c r="O1395" s="15">
        <v>0</v>
      </c>
      <c r="P1395" s="14">
        <v>5860.32</v>
      </c>
      <c r="Q1395" s="14">
        <v>3315.07</v>
      </c>
      <c r="R1395" s="14">
        <v>2545.25</v>
      </c>
      <c r="S1395" s="12" t="s">
        <v>53</v>
      </c>
      <c r="T1395" s="12" t="s">
        <v>156</v>
      </c>
      <c r="U1395" s="12">
        <v>4</v>
      </c>
      <c r="V1395" s="12" t="s">
        <v>72</v>
      </c>
    </row>
    <row r="1396" spans="1:22" x14ac:dyDescent="0.3">
      <c r="A1396" s="8" t="s">
        <v>2248</v>
      </c>
      <c r="B1396" s="9">
        <v>45953</v>
      </c>
      <c r="C1396" s="8" t="s">
        <v>107</v>
      </c>
      <c r="D1396" s="8" t="s">
        <v>108</v>
      </c>
      <c r="E1396" s="8" t="s">
        <v>39</v>
      </c>
      <c r="F1396" s="8" t="s">
        <v>972</v>
      </c>
      <c r="G1396" s="8" t="s">
        <v>27</v>
      </c>
      <c r="H1396" s="8" t="s">
        <v>28</v>
      </c>
      <c r="I1396" s="8" t="s">
        <v>61</v>
      </c>
      <c r="J1396" s="8" t="s">
        <v>69</v>
      </c>
      <c r="K1396" s="8" t="s">
        <v>180</v>
      </c>
      <c r="L1396" s="8" t="s">
        <v>32</v>
      </c>
      <c r="M1396" s="8">
        <v>4</v>
      </c>
      <c r="N1396" s="10">
        <v>1515.38</v>
      </c>
      <c r="O1396" s="11">
        <v>0</v>
      </c>
      <c r="P1396" s="10">
        <v>6061.52</v>
      </c>
      <c r="Q1396" s="10">
        <v>3449.96</v>
      </c>
      <c r="R1396" s="10">
        <v>2611.56</v>
      </c>
      <c r="S1396" s="8" t="s">
        <v>46</v>
      </c>
      <c r="T1396" s="8" t="s">
        <v>34</v>
      </c>
      <c r="U1396" s="8">
        <v>3</v>
      </c>
      <c r="V1396" s="8" t="s">
        <v>123</v>
      </c>
    </row>
    <row r="1397" spans="1:22" x14ac:dyDescent="0.3">
      <c r="A1397" s="12" t="s">
        <v>2249</v>
      </c>
      <c r="B1397" s="13">
        <v>45834</v>
      </c>
      <c r="C1397" s="12" t="s">
        <v>48</v>
      </c>
      <c r="D1397" s="12" t="s">
        <v>49</v>
      </c>
      <c r="E1397" s="12" t="s">
        <v>39</v>
      </c>
      <c r="F1397" s="12" t="s">
        <v>2250</v>
      </c>
      <c r="G1397" s="12" t="s">
        <v>41</v>
      </c>
      <c r="H1397" s="12" t="s">
        <v>28</v>
      </c>
      <c r="I1397" s="12" t="s">
        <v>29</v>
      </c>
      <c r="J1397" s="12" t="s">
        <v>30</v>
      </c>
      <c r="K1397" s="12" t="s">
        <v>62</v>
      </c>
      <c r="L1397" s="12" t="s">
        <v>45</v>
      </c>
      <c r="M1397" s="12">
        <v>5</v>
      </c>
      <c r="N1397" s="14">
        <v>1048.6300000000001</v>
      </c>
      <c r="O1397" s="15">
        <v>0.1</v>
      </c>
      <c r="P1397" s="14">
        <v>4718.84</v>
      </c>
      <c r="Q1397" s="14">
        <v>2331.34</v>
      </c>
      <c r="R1397" s="14">
        <v>2387.5</v>
      </c>
      <c r="S1397" s="12" t="s">
        <v>46</v>
      </c>
      <c r="T1397" s="12" t="s">
        <v>104</v>
      </c>
      <c r="U1397" s="12">
        <v>5</v>
      </c>
      <c r="V1397" s="12" t="s">
        <v>157</v>
      </c>
    </row>
    <row r="1398" spans="1:22" x14ac:dyDescent="0.3">
      <c r="A1398" s="8" t="s">
        <v>2251</v>
      </c>
      <c r="B1398" s="9">
        <v>45984</v>
      </c>
      <c r="C1398" s="8" t="s">
        <v>131</v>
      </c>
      <c r="D1398" s="8" t="s">
        <v>132</v>
      </c>
      <c r="E1398" s="8" t="s">
        <v>25</v>
      </c>
      <c r="F1398" s="8" t="s">
        <v>1405</v>
      </c>
      <c r="G1398" s="8" t="s">
        <v>41</v>
      </c>
      <c r="H1398" s="8" t="s">
        <v>42</v>
      </c>
      <c r="I1398" s="8" t="s">
        <v>29</v>
      </c>
      <c r="J1398" s="8" t="s">
        <v>30</v>
      </c>
      <c r="K1398" s="8" t="s">
        <v>144</v>
      </c>
      <c r="L1398" s="8" t="s">
        <v>175</v>
      </c>
      <c r="M1398" s="8">
        <v>2</v>
      </c>
      <c r="N1398" s="10">
        <v>2374.16</v>
      </c>
      <c r="O1398" s="11">
        <v>0.1</v>
      </c>
      <c r="P1398" s="10">
        <v>4273.49</v>
      </c>
      <c r="Q1398" s="10">
        <v>2885.3</v>
      </c>
      <c r="R1398" s="10">
        <v>1388.19</v>
      </c>
      <c r="S1398" s="8" t="s">
        <v>83</v>
      </c>
      <c r="T1398" s="8" t="s">
        <v>119</v>
      </c>
      <c r="U1398" s="8">
        <v>5</v>
      </c>
      <c r="V1398" s="8" t="s">
        <v>65</v>
      </c>
    </row>
    <row r="1399" spans="1:22" x14ac:dyDescent="0.3">
      <c r="A1399" s="12" t="s">
        <v>2252</v>
      </c>
      <c r="B1399" s="13">
        <v>45826</v>
      </c>
      <c r="C1399" s="12" t="s">
        <v>107</v>
      </c>
      <c r="D1399" s="12" t="s">
        <v>108</v>
      </c>
      <c r="E1399" s="12" t="s">
        <v>39</v>
      </c>
      <c r="F1399" s="12" t="s">
        <v>437</v>
      </c>
      <c r="G1399" s="12" t="s">
        <v>41</v>
      </c>
      <c r="H1399" s="12" t="s">
        <v>42</v>
      </c>
      <c r="I1399" s="12" t="s">
        <v>29</v>
      </c>
      <c r="J1399" s="12" t="s">
        <v>89</v>
      </c>
      <c r="K1399" s="12" t="s">
        <v>90</v>
      </c>
      <c r="L1399" s="12" t="s">
        <v>32</v>
      </c>
      <c r="M1399" s="12">
        <v>4</v>
      </c>
      <c r="N1399" s="14">
        <v>3642.45</v>
      </c>
      <c r="O1399" s="15">
        <v>0.2</v>
      </c>
      <c r="P1399" s="14">
        <v>11655.84</v>
      </c>
      <c r="Q1399" s="14">
        <v>8415.39</v>
      </c>
      <c r="R1399" s="14">
        <v>3240.45</v>
      </c>
      <c r="S1399" s="12" t="s">
        <v>63</v>
      </c>
      <c r="T1399" s="12" t="s">
        <v>54</v>
      </c>
      <c r="U1399" s="12">
        <v>4</v>
      </c>
      <c r="V1399" s="12" t="s">
        <v>157</v>
      </c>
    </row>
    <row r="1400" spans="1:22" x14ac:dyDescent="0.3">
      <c r="A1400" s="8" t="s">
        <v>2253</v>
      </c>
      <c r="B1400" s="9">
        <v>45961</v>
      </c>
      <c r="C1400" s="8" t="s">
        <v>113</v>
      </c>
      <c r="D1400" s="8" t="s">
        <v>114</v>
      </c>
      <c r="E1400" s="8" t="s">
        <v>59</v>
      </c>
      <c r="F1400" s="8" t="s">
        <v>1400</v>
      </c>
      <c r="G1400" s="8" t="s">
        <v>41</v>
      </c>
      <c r="H1400" s="8" t="s">
        <v>81</v>
      </c>
      <c r="I1400" s="8" t="s">
        <v>29</v>
      </c>
      <c r="J1400" s="8" t="s">
        <v>89</v>
      </c>
      <c r="K1400" s="8" t="s">
        <v>151</v>
      </c>
      <c r="L1400" s="8" t="s">
        <v>91</v>
      </c>
      <c r="M1400" s="8">
        <v>5</v>
      </c>
      <c r="N1400" s="10">
        <v>1001.01</v>
      </c>
      <c r="O1400" s="11">
        <v>0.25</v>
      </c>
      <c r="P1400" s="10">
        <v>3753.79</v>
      </c>
      <c r="Q1400" s="10">
        <v>2501.83</v>
      </c>
      <c r="R1400" s="10">
        <v>1251.96</v>
      </c>
      <c r="S1400" s="8" t="s">
        <v>53</v>
      </c>
      <c r="T1400" s="8" t="s">
        <v>34</v>
      </c>
      <c r="U1400" s="8">
        <v>3</v>
      </c>
      <c r="V1400" s="8" t="s">
        <v>123</v>
      </c>
    </row>
    <row r="1401" spans="1:22" x14ac:dyDescent="0.3">
      <c r="A1401" s="12" t="s">
        <v>2254</v>
      </c>
      <c r="B1401" s="13">
        <v>45729</v>
      </c>
      <c r="C1401" s="12" t="s">
        <v>107</v>
      </c>
      <c r="D1401" s="12" t="s">
        <v>108</v>
      </c>
      <c r="E1401" s="12" t="s">
        <v>39</v>
      </c>
      <c r="F1401" s="12" t="s">
        <v>394</v>
      </c>
      <c r="G1401" s="12" t="s">
        <v>41</v>
      </c>
      <c r="H1401" s="12" t="s">
        <v>28</v>
      </c>
      <c r="I1401" s="12" t="s">
        <v>68</v>
      </c>
      <c r="J1401" s="12" t="s">
        <v>75</v>
      </c>
      <c r="K1401" s="12" t="s">
        <v>95</v>
      </c>
      <c r="L1401" s="12" t="s">
        <v>91</v>
      </c>
      <c r="M1401" s="12">
        <v>5</v>
      </c>
      <c r="N1401" s="14">
        <v>26184.55</v>
      </c>
      <c r="O1401" s="15">
        <v>0.1</v>
      </c>
      <c r="P1401" s="14">
        <v>117830.48</v>
      </c>
      <c r="Q1401" s="14">
        <v>86346.53</v>
      </c>
      <c r="R1401" s="14">
        <v>31483.95</v>
      </c>
      <c r="S1401" s="12" t="s">
        <v>53</v>
      </c>
      <c r="T1401" s="12" t="s">
        <v>64</v>
      </c>
      <c r="U1401" s="12">
        <v>3</v>
      </c>
      <c r="V1401" s="12" t="s">
        <v>55</v>
      </c>
    </row>
    <row r="1402" spans="1:22" x14ac:dyDescent="0.3">
      <c r="A1402" s="8" t="s">
        <v>2255</v>
      </c>
      <c r="B1402" s="9">
        <v>45933</v>
      </c>
      <c r="C1402" s="8" t="s">
        <v>107</v>
      </c>
      <c r="D1402" s="8" t="s">
        <v>108</v>
      </c>
      <c r="E1402" s="8" t="s">
        <v>39</v>
      </c>
      <c r="F1402" s="8" t="s">
        <v>1590</v>
      </c>
      <c r="G1402" s="8" t="s">
        <v>27</v>
      </c>
      <c r="H1402" s="8" t="s">
        <v>81</v>
      </c>
      <c r="I1402" s="8" t="s">
        <v>29</v>
      </c>
      <c r="J1402" s="8" t="s">
        <v>75</v>
      </c>
      <c r="K1402" s="8" t="s">
        <v>95</v>
      </c>
      <c r="L1402" s="8" t="s">
        <v>175</v>
      </c>
      <c r="M1402" s="8">
        <v>5</v>
      </c>
      <c r="N1402" s="10">
        <v>26235.24</v>
      </c>
      <c r="O1402" s="11">
        <v>0.2</v>
      </c>
      <c r="P1402" s="10">
        <v>104940.96</v>
      </c>
      <c r="Q1402" s="10">
        <v>90187.81</v>
      </c>
      <c r="R1402" s="10">
        <v>14753.15</v>
      </c>
      <c r="S1402" s="8" t="s">
        <v>83</v>
      </c>
      <c r="T1402" s="8" t="s">
        <v>54</v>
      </c>
      <c r="U1402" s="8">
        <v>4</v>
      </c>
      <c r="V1402" s="8" t="s">
        <v>123</v>
      </c>
    </row>
    <row r="1403" spans="1:22" x14ac:dyDescent="0.3">
      <c r="A1403" s="12" t="s">
        <v>2256</v>
      </c>
      <c r="B1403" s="13">
        <v>45992</v>
      </c>
      <c r="C1403" s="12" t="s">
        <v>107</v>
      </c>
      <c r="D1403" s="12" t="s">
        <v>108</v>
      </c>
      <c r="E1403" s="12" t="s">
        <v>39</v>
      </c>
      <c r="F1403" s="12" t="s">
        <v>2257</v>
      </c>
      <c r="G1403" s="12" t="s">
        <v>41</v>
      </c>
      <c r="H1403" s="12" t="s">
        <v>28</v>
      </c>
      <c r="I1403" s="12" t="s">
        <v>29</v>
      </c>
      <c r="J1403" s="12" t="s">
        <v>43</v>
      </c>
      <c r="K1403" s="12" t="s">
        <v>162</v>
      </c>
      <c r="L1403" s="12" t="s">
        <v>175</v>
      </c>
      <c r="M1403" s="12">
        <v>1</v>
      </c>
      <c r="N1403" s="14">
        <v>901.28</v>
      </c>
      <c r="O1403" s="15">
        <v>0.1</v>
      </c>
      <c r="P1403" s="14">
        <v>811.15</v>
      </c>
      <c r="Q1403" s="14">
        <v>412.32</v>
      </c>
      <c r="R1403" s="14">
        <v>398.83</v>
      </c>
      <c r="S1403" s="12" t="s">
        <v>53</v>
      </c>
      <c r="T1403" s="12" t="s">
        <v>156</v>
      </c>
      <c r="U1403" s="12">
        <v>5</v>
      </c>
      <c r="V1403" s="12" t="s">
        <v>35</v>
      </c>
    </row>
    <row r="1404" spans="1:22" x14ac:dyDescent="0.3">
      <c r="A1404" s="8" t="s">
        <v>2258</v>
      </c>
      <c r="B1404" s="9">
        <v>45721</v>
      </c>
      <c r="C1404" s="8" t="s">
        <v>23</v>
      </c>
      <c r="D1404" s="8" t="s">
        <v>24</v>
      </c>
      <c r="E1404" s="8" t="s">
        <v>25</v>
      </c>
      <c r="F1404" s="8" t="s">
        <v>1886</v>
      </c>
      <c r="G1404" s="8" t="s">
        <v>27</v>
      </c>
      <c r="H1404" s="8" t="s">
        <v>81</v>
      </c>
      <c r="I1404" s="8" t="s">
        <v>61</v>
      </c>
      <c r="J1404" s="8" t="s">
        <v>101</v>
      </c>
      <c r="K1404" s="8" t="s">
        <v>102</v>
      </c>
      <c r="L1404" s="8" t="s">
        <v>45</v>
      </c>
      <c r="M1404" s="8">
        <v>4</v>
      </c>
      <c r="N1404" s="10">
        <v>710.31</v>
      </c>
      <c r="O1404" s="11">
        <v>0.15</v>
      </c>
      <c r="P1404" s="10">
        <v>2415.0500000000002</v>
      </c>
      <c r="Q1404" s="10">
        <v>953.77</v>
      </c>
      <c r="R1404" s="10">
        <v>1461.28</v>
      </c>
      <c r="S1404" s="8" t="s">
        <v>53</v>
      </c>
      <c r="T1404" s="8" t="s">
        <v>71</v>
      </c>
      <c r="U1404" s="8">
        <v>3</v>
      </c>
      <c r="V1404" s="8" t="s">
        <v>55</v>
      </c>
    </row>
    <row r="1405" spans="1:22" x14ac:dyDescent="0.3">
      <c r="A1405" s="12" t="s">
        <v>2259</v>
      </c>
      <c r="B1405" s="13">
        <v>45760</v>
      </c>
      <c r="C1405" s="12" t="s">
        <v>131</v>
      </c>
      <c r="D1405" s="12" t="s">
        <v>132</v>
      </c>
      <c r="E1405" s="12" t="s">
        <v>25</v>
      </c>
      <c r="F1405" s="12" t="s">
        <v>622</v>
      </c>
      <c r="G1405" s="12" t="s">
        <v>27</v>
      </c>
      <c r="H1405" s="12" t="s">
        <v>81</v>
      </c>
      <c r="I1405" s="12" t="s">
        <v>61</v>
      </c>
      <c r="J1405" s="12" t="s">
        <v>75</v>
      </c>
      <c r="K1405" s="12" t="s">
        <v>95</v>
      </c>
      <c r="L1405" s="12" t="s">
        <v>103</v>
      </c>
      <c r="M1405" s="12">
        <v>3</v>
      </c>
      <c r="N1405" s="14">
        <v>25938.65</v>
      </c>
      <c r="O1405" s="15">
        <v>0.3</v>
      </c>
      <c r="P1405" s="14">
        <v>54471.17</v>
      </c>
      <c r="Q1405" s="14">
        <v>52434.09</v>
      </c>
      <c r="R1405" s="14">
        <v>2037.08</v>
      </c>
      <c r="S1405" s="12" t="s">
        <v>53</v>
      </c>
      <c r="T1405" s="12" t="s">
        <v>111</v>
      </c>
      <c r="U1405" s="12">
        <v>4</v>
      </c>
      <c r="V1405" s="12" t="s">
        <v>96</v>
      </c>
    </row>
    <row r="1406" spans="1:22" x14ac:dyDescent="0.3">
      <c r="A1406" s="8" t="s">
        <v>2260</v>
      </c>
      <c r="B1406" s="9">
        <v>45713</v>
      </c>
      <c r="C1406" s="8" t="s">
        <v>37</v>
      </c>
      <c r="D1406" s="8" t="s">
        <v>38</v>
      </c>
      <c r="E1406" s="8" t="s">
        <v>39</v>
      </c>
      <c r="F1406" s="8" t="s">
        <v>2261</v>
      </c>
      <c r="G1406" s="8" t="s">
        <v>41</v>
      </c>
      <c r="H1406" s="8" t="s">
        <v>94</v>
      </c>
      <c r="I1406" s="8" t="s">
        <v>61</v>
      </c>
      <c r="J1406" s="8" t="s">
        <v>43</v>
      </c>
      <c r="K1406" s="8" t="s">
        <v>51</v>
      </c>
      <c r="L1406" s="8" t="s">
        <v>103</v>
      </c>
      <c r="M1406" s="8">
        <v>2</v>
      </c>
      <c r="N1406" s="10">
        <v>1536.62</v>
      </c>
      <c r="O1406" s="11">
        <v>0</v>
      </c>
      <c r="P1406" s="10">
        <v>3073.24</v>
      </c>
      <c r="Q1406" s="10">
        <v>1354.89</v>
      </c>
      <c r="R1406" s="10">
        <v>1718.35</v>
      </c>
      <c r="S1406" s="8" t="s">
        <v>83</v>
      </c>
      <c r="T1406" s="8" t="s">
        <v>54</v>
      </c>
      <c r="U1406" s="8">
        <v>4</v>
      </c>
      <c r="V1406" s="8" t="s">
        <v>105</v>
      </c>
    </row>
    <row r="1407" spans="1:22" x14ac:dyDescent="0.3">
      <c r="A1407" s="12" t="s">
        <v>2262</v>
      </c>
      <c r="B1407" s="13">
        <v>45792</v>
      </c>
      <c r="C1407" s="12" t="s">
        <v>125</v>
      </c>
      <c r="D1407" s="12" t="s">
        <v>126</v>
      </c>
      <c r="E1407" s="12" t="s">
        <v>25</v>
      </c>
      <c r="F1407" s="12" t="s">
        <v>1232</v>
      </c>
      <c r="G1407" s="12" t="s">
        <v>27</v>
      </c>
      <c r="H1407" s="12" t="s">
        <v>81</v>
      </c>
      <c r="I1407" s="12" t="s">
        <v>29</v>
      </c>
      <c r="J1407" s="12" t="s">
        <v>30</v>
      </c>
      <c r="K1407" s="12" t="s">
        <v>62</v>
      </c>
      <c r="L1407" s="12" t="s">
        <v>82</v>
      </c>
      <c r="M1407" s="12">
        <v>1</v>
      </c>
      <c r="N1407" s="14">
        <v>1043.6400000000001</v>
      </c>
      <c r="O1407" s="15">
        <v>0.15</v>
      </c>
      <c r="P1407" s="14">
        <v>887.09</v>
      </c>
      <c r="Q1407" s="14">
        <v>462.85</v>
      </c>
      <c r="R1407" s="14">
        <v>424.24</v>
      </c>
      <c r="S1407" s="12" t="s">
        <v>63</v>
      </c>
      <c r="T1407" s="12" t="s">
        <v>54</v>
      </c>
      <c r="U1407" s="12">
        <v>3</v>
      </c>
      <c r="V1407" s="12" t="s">
        <v>134</v>
      </c>
    </row>
    <row r="1408" spans="1:22" x14ac:dyDescent="0.3">
      <c r="A1408" s="8" t="s">
        <v>2263</v>
      </c>
      <c r="B1408" s="9">
        <v>45671</v>
      </c>
      <c r="C1408" s="8" t="s">
        <v>23</v>
      </c>
      <c r="D1408" s="8" t="s">
        <v>24</v>
      </c>
      <c r="E1408" s="8" t="s">
        <v>25</v>
      </c>
      <c r="F1408" s="8" t="s">
        <v>466</v>
      </c>
      <c r="G1408" s="8" t="s">
        <v>27</v>
      </c>
      <c r="H1408" s="8" t="s">
        <v>42</v>
      </c>
      <c r="I1408" s="8" t="s">
        <v>68</v>
      </c>
      <c r="J1408" s="8" t="s">
        <v>89</v>
      </c>
      <c r="K1408" s="8" t="s">
        <v>151</v>
      </c>
      <c r="L1408" s="8" t="s">
        <v>45</v>
      </c>
      <c r="M1408" s="8">
        <v>2</v>
      </c>
      <c r="N1408" s="10">
        <v>1031.3900000000001</v>
      </c>
      <c r="O1408" s="11">
        <v>0.05</v>
      </c>
      <c r="P1408" s="10">
        <v>1959.64</v>
      </c>
      <c r="Q1408" s="10">
        <v>977.89</v>
      </c>
      <c r="R1408" s="10">
        <v>981.75</v>
      </c>
      <c r="S1408" s="8" t="s">
        <v>63</v>
      </c>
      <c r="T1408" s="8" t="s">
        <v>147</v>
      </c>
      <c r="U1408" s="8">
        <v>3</v>
      </c>
      <c r="V1408" s="8" t="s">
        <v>84</v>
      </c>
    </row>
    <row r="1409" spans="1:22" x14ac:dyDescent="0.3">
      <c r="A1409" s="12" t="s">
        <v>2264</v>
      </c>
      <c r="B1409" s="13">
        <v>45694</v>
      </c>
      <c r="C1409" s="12" t="s">
        <v>125</v>
      </c>
      <c r="D1409" s="12" t="s">
        <v>126</v>
      </c>
      <c r="E1409" s="12" t="s">
        <v>25</v>
      </c>
      <c r="F1409" s="12" t="s">
        <v>684</v>
      </c>
      <c r="G1409" s="12" t="s">
        <v>41</v>
      </c>
      <c r="H1409" s="12" t="s">
        <v>28</v>
      </c>
      <c r="I1409" s="12" t="s">
        <v>29</v>
      </c>
      <c r="J1409" s="12" t="s">
        <v>69</v>
      </c>
      <c r="K1409" s="12" t="s">
        <v>180</v>
      </c>
      <c r="L1409" s="12" t="s">
        <v>103</v>
      </c>
      <c r="M1409" s="12">
        <v>4</v>
      </c>
      <c r="N1409" s="14">
        <v>1492.3</v>
      </c>
      <c r="O1409" s="15">
        <v>0.3</v>
      </c>
      <c r="P1409" s="14">
        <v>4178.4399999999996</v>
      </c>
      <c r="Q1409" s="14">
        <v>3343.42</v>
      </c>
      <c r="R1409" s="14">
        <v>835.02</v>
      </c>
      <c r="S1409" s="12" t="s">
        <v>53</v>
      </c>
      <c r="T1409" s="12" t="s">
        <v>156</v>
      </c>
      <c r="U1409" s="12">
        <v>4</v>
      </c>
      <c r="V1409" s="12" t="s">
        <v>105</v>
      </c>
    </row>
    <row r="1410" spans="1:22" x14ac:dyDescent="0.3">
      <c r="A1410" s="8" t="s">
        <v>2265</v>
      </c>
      <c r="B1410" s="9">
        <v>45822</v>
      </c>
      <c r="C1410" s="8" t="s">
        <v>113</v>
      </c>
      <c r="D1410" s="8" t="s">
        <v>114</v>
      </c>
      <c r="E1410" s="8" t="s">
        <v>59</v>
      </c>
      <c r="F1410" s="8" t="s">
        <v>2250</v>
      </c>
      <c r="G1410" s="8" t="s">
        <v>27</v>
      </c>
      <c r="H1410" s="8" t="s">
        <v>94</v>
      </c>
      <c r="I1410" s="8" t="s">
        <v>68</v>
      </c>
      <c r="J1410" s="8" t="s">
        <v>30</v>
      </c>
      <c r="K1410" s="8" t="s">
        <v>144</v>
      </c>
      <c r="L1410" s="8" t="s">
        <v>91</v>
      </c>
      <c r="M1410" s="8">
        <v>3</v>
      </c>
      <c r="N1410" s="10">
        <v>2574.8200000000002</v>
      </c>
      <c r="O1410" s="11">
        <v>0.3</v>
      </c>
      <c r="P1410" s="10">
        <v>5407.12</v>
      </c>
      <c r="Q1410" s="10">
        <v>4284.55</v>
      </c>
      <c r="R1410" s="10">
        <v>1122.57</v>
      </c>
      <c r="S1410" s="8" t="s">
        <v>33</v>
      </c>
      <c r="T1410" s="8" t="s">
        <v>34</v>
      </c>
      <c r="U1410" s="8">
        <v>5</v>
      </c>
      <c r="V1410" s="8" t="s">
        <v>157</v>
      </c>
    </row>
    <row r="1411" spans="1:22" x14ac:dyDescent="0.3">
      <c r="A1411" s="12" t="s">
        <v>2266</v>
      </c>
      <c r="B1411" s="13">
        <v>45763</v>
      </c>
      <c r="C1411" s="12" t="s">
        <v>113</v>
      </c>
      <c r="D1411" s="12" t="s">
        <v>114</v>
      </c>
      <c r="E1411" s="12" t="s">
        <v>59</v>
      </c>
      <c r="F1411" s="12" t="s">
        <v>2267</v>
      </c>
      <c r="G1411" s="12" t="s">
        <v>41</v>
      </c>
      <c r="H1411" s="12" t="s">
        <v>42</v>
      </c>
      <c r="I1411" s="12" t="s">
        <v>29</v>
      </c>
      <c r="J1411" s="12" t="s">
        <v>75</v>
      </c>
      <c r="K1411" s="12" t="s">
        <v>95</v>
      </c>
      <c r="L1411" s="12" t="s">
        <v>77</v>
      </c>
      <c r="M1411" s="12">
        <v>3</v>
      </c>
      <c r="N1411" s="14">
        <v>24860.78</v>
      </c>
      <c r="O1411" s="15">
        <v>0.3</v>
      </c>
      <c r="P1411" s="14">
        <v>52207.64</v>
      </c>
      <c r="Q1411" s="14">
        <v>53974.66</v>
      </c>
      <c r="R1411" s="14">
        <v>-1767.02</v>
      </c>
      <c r="S1411" s="12" t="s">
        <v>33</v>
      </c>
      <c r="T1411" s="12" t="s">
        <v>156</v>
      </c>
      <c r="U1411" s="12">
        <v>5</v>
      </c>
      <c r="V1411" s="12" t="s">
        <v>96</v>
      </c>
    </row>
    <row r="1412" spans="1:22" x14ac:dyDescent="0.3">
      <c r="A1412" s="8" t="s">
        <v>2268</v>
      </c>
      <c r="B1412" s="9">
        <v>45753</v>
      </c>
      <c r="C1412" s="8" t="s">
        <v>48</v>
      </c>
      <c r="D1412" s="8" t="s">
        <v>49</v>
      </c>
      <c r="E1412" s="8" t="s">
        <v>39</v>
      </c>
      <c r="F1412" s="8" t="s">
        <v>1360</v>
      </c>
      <c r="G1412" s="8" t="s">
        <v>27</v>
      </c>
      <c r="H1412" s="8" t="s">
        <v>28</v>
      </c>
      <c r="I1412" s="8" t="s">
        <v>61</v>
      </c>
      <c r="J1412" s="8" t="s">
        <v>89</v>
      </c>
      <c r="K1412" s="8" t="s">
        <v>89</v>
      </c>
      <c r="L1412" s="8" t="s">
        <v>77</v>
      </c>
      <c r="M1412" s="8">
        <v>5</v>
      </c>
      <c r="N1412" s="10">
        <v>1344.59</v>
      </c>
      <c r="O1412" s="11">
        <v>0.3</v>
      </c>
      <c r="P1412" s="10">
        <v>4706.0600000000004</v>
      </c>
      <c r="Q1412" s="10">
        <v>3432.76</v>
      </c>
      <c r="R1412" s="10">
        <v>1273.3</v>
      </c>
      <c r="S1412" s="8" t="s">
        <v>53</v>
      </c>
      <c r="T1412" s="8" t="s">
        <v>54</v>
      </c>
      <c r="U1412" s="8">
        <v>4</v>
      </c>
      <c r="V1412" s="8" t="s">
        <v>96</v>
      </c>
    </row>
    <row r="1413" spans="1:22" x14ac:dyDescent="0.3">
      <c r="A1413" s="12" t="s">
        <v>2269</v>
      </c>
      <c r="B1413" s="13">
        <v>45661</v>
      </c>
      <c r="C1413" s="12" t="s">
        <v>125</v>
      </c>
      <c r="D1413" s="12" t="s">
        <v>126</v>
      </c>
      <c r="E1413" s="12" t="s">
        <v>25</v>
      </c>
      <c r="F1413" s="12" t="s">
        <v>370</v>
      </c>
      <c r="G1413" s="12" t="s">
        <v>27</v>
      </c>
      <c r="H1413" s="12" t="s">
        <v>81</v>
      </c>
      <c r="I1413" s="12" t="s">
        <v>61</v>
      </c>
      <c r="J1413" s="12" t="s">
        <v>75</v>
      </c>
      <c r="K1413" s="12" t="s">
        <v>76</v>
      </c>
      <c r="L1413" s="12" t="s">
        <v>91</v>
      </c>
      <c r="M1413" s="12">
        <v>3</v>
      </c>
      <c r="N1413" s="14">
        <v>826.87</v>
      </c>
      <c r="O1413" s="15">
        <v>0.25</v>
      </c>
      <c r="P1413" s="14">
        <v>1860.46</v>
      </c>
      <c r="Q1413" s="14">
        <v>1047.02</v>
      </c>
      <c r="R1413" s="14">
        <v>813.44</v>
      </c>
      <c r="S1413" s="12" t="s">
        <v>33</v>
      </c>
      <c r="T1413" s="12" t="s">
        <v>54</v>
      </c>
      <c r="U1413" s="12">
        <v>4</v>
      </c>
      <c r="V1413" s="12" t="s">
        <v>84</v>
      </c>
    </row>
    <row r="1414" spans="1:22" x14ac:dyDescent="0.3">
      <c r="A1414" s="8" t="s">
        <v>2270</v>
      </c>
      <c r="B1414" s="9">
        <v>45742</v>
      </c>
      <c r="C1414" s="8" t="s">
        <v>107</v>
      </c>
      <c r="D1414" s="8" t="s">
        <v>108</v>
      </c>
      <c r="E1414" s="8" t="s">
        <v>39</v>
      </c>
      <c r="F1414" s="8" t="s">
        <v>985</v>
      </c>
      <c r="G1414" s="8" t="s">
        <v>41</v>
      </c>
      <c r="H1414" s="8" t="s">
        <v>81</v>
      </c>
      <c r="I1414" s="8" t="s">
        <v>29</v>
      </c>
      <c r="J1414" s="8" t="s">
        <v>43</v>
      </c>
      <c r="K1414" s="8" t="s">
        <v>44</v>
      </c>
      <c r="L1414" s="8" t="s">
        <v>175</v>
      </c>
      <c r="M1414" s="8">
        <v>5</v>
      </c>
      <c r="N1414" s="10">
        <v>575.70000000000005</v>
      </c>
      <c r="O1414" s="11">
        <v>0.3</v>
      </c>
      <c r="P1414" s="10">
        <v>2014.95</v>
      </c>
      <c r="Q1414" s="10">
        <v>1335.66</v>
      </c>
      <c r="R1414" s="10">
        <v>679.29</v>
      </c>
      <c r="S1414" s="8" t="s">
        <v>83</v>
      </c>
      <c r="T1414" s="8" t="s">
        <v>104</v>
      </c>
      <c r="U1414" s="8">
        <v>3</v>
      </c>
      <c r="V1414" s="8" t="s">
        <v>55</v>
      </c>
    </row>
    <row r="1415" spans="1:22" x14ac:dyDescent="0.3">
      <c r="A1415" s="12" t="s">
        <v>2271</v>
      </c>
      <c r="B1415" s="13">
        <v>45785</v>
      </c>
      <c r="C1415" s="12" t="s">
        <v>125</v>
      </c>
      <c r="D1415" s="12" t="s">
        <v>126</v>
      </c>
      <c r="E1415" s="12" t="s">
        <v>25</v>
      </c>
      <c r="F1415" s="12" t="s">
        <v>2272</v>
      </c>
      <c r="G1415" s="12" t="s">
        <v>27</v>
      </c>
      <c r="H1415" s="12" t="s">
        <v>42</v>
      </c>
      <c r="I1415" s="12" t="s">
        <v>61</v>
      </c>
      <c r="J1415" s="12" t="s">
        <v>75</v>
      </c>
      <c r="K1415" s="12" t="s">
        <v>154</v>
      </c>
      <c r="L1415" s="12" t="s">
        <v>175</v>
      </c>
      <c r="M1415" s="12">
        <v>2</v>
      </c>
      <c r="N1415" s="14">
        <v>1908.76</v>
      </c>
      <c r="O1415" s="15">
        <v>0.25</v>
      </c>
      <c r="P1415" s="14">
        <v>2863.14</v>
      </c>
      <c r="Q1415" s="14">
        <v>2122.15</v>
      </c>
      <c r="R1415" s="14">
        <v>740.99</v>
      </c>
      <c r="S1415" s="12" t="s">
        <v>83</v>
      </c>
      <c r="T1415" s="12" t="s">
        <v>119</v>
      </c>
      <c r="U1415" s="12">
        <v>5</v>
      </c>
      <c r="V1415" s="12" t="s">
        <v>134</v>
      </c>
    </row>
    <row r="1416" spans="1:22" x14ac:dyDescent="0.3">
      <c r="A1416" s="8" t="s">
        <v>2273</v>
      </c>
      <c r="B1416" s="9">
        <v>45877</v>
      </c>
      <c r="C1416" s="8" t="s">
        <v>86</v>
      </c>
      <c r="D1416" s="8" t="s">
        <v>87</v>
      </c>
      <c r="E1416" s="8" t="s">
        <v>59</v>
      </c>
      <c r="F1416" s="8" t="s">
        <v>1314</v>
      </c>
      <c r="G1416" s="8" t="s">
        <v>41</v>
      </c>
      <c r="H1416" s="8" t="s">
        <v>94</v>
      </c>
      <c r="I1416" s="8" t="s">
        <v>61</v>
      </c>
      <c r="J1416" s="8" t="s">
        <v>69</v>
      </c>
      <c r="K1416" s="8" t="s">
        <v>70</v>
      </c>
      <c r="L1416" s="8" t="s">
        <v>175</v>
      </c>
      <c r="M1416" s="8">
        <v>2</v>
      </c>
      <c r="N1416" s="10">
        <v>922.99</v>
      </c>
      <c r="O1416" s="11">
        <v>0.25</v>
      </c>
      <c r="P1416" s="10">
        <v>1384.49</v>
      </c>
      <c r="Q1416" s="10">
        <v>921.93</v>
      </c>
      <c r="R1416" s="10">
        <v>462.56</v>
      </c>
      <c r="S1416" s="8" t="s">
        <v>46</v>
      </c>
      <c r="T1416" s="8" t="s">
        <v>111</v>
      </c>
      <c r="U1416" s="8">
        <v>3</v>
      </c>
      <c r="V1416" s="8" t="s">
        <v>72</v>
      </c>
    </row>
    <row r="1417" spans="1:22" x14ac:dyDescent="0.3">
      <c r="A1417" s="12" t="s">
        <v>2274</v>
      </c>
      <c r="B1417" s="13">
        <v>45947</v>
      </c>
      <c r="C1417" s="12" t="s">
        <v>57</v>
      </c>
      <c r="D1417" s="12" t="s">
        <v>58</v>
      </c>
      <c r="E1417" s="12" t="s">
        <v>59</v>
      </c>
      <c r="F1417" s="12" t="s">
        <v>468</v>
      </c>
      <c r="G1417" s="12" t="s">
        <v>41</v>
      </c>
      <c r="H1417" s="12" t="s">
        <v>42</v>
      </c>
      <c r="I1417" s="12" t="s">
        <v>68</v>
      </c>
      <c r="J1417" s="12" t="s">
        <v>89</v>
      </c>
      <c r="K1417" s="12" t="s">
        <v>151</v>
      </c>
      <c r="L1417" s="12" t="s">
        <v>103</v>
      </c>
      <c r="M1417" s="12">
        <v>3</v>
      </c>
      <c r="N1417" s="14">
        <v>973.45</v>
      </c>
      <c r="O1417" s="15">
        <v>0.3</v>
      </c>
      <c r="P1417" s="14">
        <v>2044.25</v>
      </c>
      <c r="Q1417" s="14">
        <v>1466.57</v>
      </c>
      <c r="R1417" s="14">
        <v>577.67999999999995</v>
      </c>
      <c r="S1417" s="12" t="s">
        <v>33</v>
      </c>
      <c r="T1417" s="12" t="s">
        <v>156</v>
      </c>
      <c r="U1417" s="12">
        <v>5</v>
      </c>
      <c r="V1417" s="12" t="s">
        <v>123</v>
      </c>
    </row>
    <row r="1418" spans="1:22" x14ac:dyDescent="0.3">
      <c r="A1418" s="8" t="s">
        <v>2275</v>
      </c>
      <c r="B1418" s="9">
        <v>45866</v>
      </c>
      <c r="C1418" s="8" t="s">
        <v>131</v>
      </c>
      <c r="D1418" s="8" t="s">
        <v>132</v>
      </c>
      <c r="E1418" s="8" t="s">
        <v>25</v>
      </c>
      <c r="F1418" s="8" t="s">
        <v>2276</v>
      </c>
      <c r="G1418" s="8" t="s">
        <v>27</v>
      </c>
      <c r="H1418" s="8" t="s">
        <v>42</v>
      </c>
      <c r="I1418" s="8" t="s">
        <v>29</v>
      </c>
      <c r="J1418" s="8" t="s">
        <v>69</v>
      </c>
      <c r="K1418" s="8" t="s">
        <v>70</v>
      </c>
      <c r="L1418" s="8" t="s">
        <v>77</v>
      </c>
      <c r="M1418" s="8">
        <v>1</v>
      </c>
      <c r="N1418" s="10">
        <v>897.96</v>
      </c>
      <c r="O1418" s="11">
        <v>0.3</v>
      </c>
      <c r="P1418" s="10">
        <v>628.57000000000005</v>
      </c>
      <c r="Q1418" s="10">
        <v>466.01</v>
      </c>
      <c r="R1418" s="10">
        <v>162.56</v>
      </c>
      <c r="S1418" s="8" t="s">
        <v>53</v>
      </c>
      <c r="T1418" s="8" t="s">
        <v>111</v>
      </c>
      <c r="U1418" s="8">
        <v>4</v>
      </c>
      <c r="V1418" s="8" t="s">
        <v>120</v>
      </c>
    </row>
    <row r="1419" spans="1:22" x14ac:dyDescent="0.3">
      <c r="A1419" s="12" t="s">
        <v>2277</v>
      </c>
      <c r="B1419" s="13">
        <v>45791</v>
      </c>
      <c r="C1419" s="12" t="s">
        <v>131</v>
      </c>
      <c r="D1419" s="12" t="s">
        <v>132</v>
      </c>
      <c r="E1419" s="12" t="s">
        <v>25</v>
      </c>
      <c r="F1419" s="12" t="s">
        <v>1525</v>
      </c>
      <c r="G1419" s="12" t="s">
        <v>27</v>
      </c>
      <c r="H1419" s="12" t="s">
        <v>42</v>
      </c>
      <c r="I1419" s="12" t="s">
        <v>61</v>
      </c>
      <c r="J1419" s="12" t="s">
        <v>69</v>
      </c>
      <c r="K1419" s="12" t="s">
        <v>180</v>
      </c>
      <c r="L1419" s="12" t="s">
        <v>82</v>
      </c>
      <c r="M1419" s="12">
        <v>3</v>
      </c>
      <c r="N1419" s="14">
        <v>1464.04</v>
      </c>
      <c r="O1419" s="15">
        <v>0.3</v>
      </c>
      <c r="P1419" s="14">
        <v>3074.48</v>
      </c>
      <c r="Q1419" s="14">
        <v>2430.11</v>
      </c>
      <c r="R1419" s="14">
        <v>644.37</v>
      </c>
      <c r="S1419" s="12" t="s">
        <v>46</v>
      </c>
      <c r="T1419" s="12" t="s">
        <v>64</v>
      </c>
      <c r="U1419" s="12">
        <v>4</v>
      </c>
      <c r="V1419" s="12" t="s">
        <v>134</v>
      </c>
    </row>
    <row r="1420" spans="1:22" x14ac:dyDescent="0.3">
      <c r="A1420" s="8" t="s">
        <v>2278</v>
      </c>
      <c r="B1420" s="9">
        <v>45899</v>
      </c>
      <c r="C1420" s="8" t="s">
        <v>57</v>
      </c>
      <c r="D1420" s="8" t="s">
        <v>58</v>
      </c>
      <c r="E1420" s="8" t="s">
        <v>59</v>
      </c>
      <c r="F1420" s="8" t="s">
        <v>1294</v>
      </c>
      <c r="G1420" s="8" t="s">
        <v>27</v>
      </c>
      <c r="H1420" s="8" t="s">
        <v>42</v>
      </c>
      <c r="I1420" s="8" t="s">
        <v>61</v>
      </c>
      <c r="J1420" s="8" t="s">
        <v>69</v>
      </c>
      <c r="K1420" s="8" t="s">
        <v>180</v>
      </c>
      <c r="L1420" s="8" t="s">
        <v>45</v>
      </c>
      <c r="M1420" s="8">
        <v>3</v>
      </c>
      <c r="N1420" s="10">
        <v>1459.5</v>
      </c>
      <c r="O1420" s="11">
        <v>0.3</v>
      </c>
      <c r="P1420" s="10">
        <v>3064.95</v>
      </c>
      <c r="Q1420" s="10">
        <v>2541.54</v>
      </c>
      <c r="R1420" s="10">
        <v>523.41</v>
      </c>
      <c r="S1420" s="8" t="s">
        <v>33</v>
      </c>
      <c r="T1420" s="8" t="s">
        <v>111</v>
      </c>
      <c r="U1420" s="8">
        <v>4</v>
      </c>
      <c r="V1420" s="8" t="s">
        <v>72</v>
      </c>
    </row>
    <row r="1421" spans="1:22" x14ac:dyDescent="0.3">
      <c r="A1421" s="12" t="s">
        <v>2279</v>
      </c>
      <c r="B1421" s="13">
        <v>45712</v>
      </c>
      <c r="C1421" s="12" t="s">
        <v>57</v>
      </c>
      <c r="D1421" s="12" t="s">
        <v>58</v>
      </c>
      <c r="E1421" s="12" t="s">
        <v>59</v>
      </c>
      <c r="F1421" s="12" t="s">
        <v>1596</v>
      </c>
      <c r="G1421" s="12" t="s">
        <v>27</v>
      </c>
      <c r="H1421" s="12" t="s">
        <v>28</v>
      </c>
      <c r="I1421" s="12" t="s">
        <v>61</v>
      </c>
      <c r="J1421" s="12" t="s">
        <v>30</v>
      </c>
      <c r="K1421" s="12" t="s">
        <v>62</v>
      </c>
      <c r="L1421" s="12" t="s">
        <v>32</v>
      </c>
      <c r="M1421" s="12">
        <v>5</v>
      </c>
      <c r="N1421" s="14">
        <v>1015.98</v>
      </c>
      <c r="O1421" s="15">
        <v>0.2</v>
      </c>
      <c r="P1421" s="14">
        <v>4063.92</v>
      </c>
      <c r="Q1421" s="14">
        <v>2291.08</v>
      </c>
      <c r="R1421" s="14">
        <v>1772.84</v>
      </c>
      <c r="S1421" s="12" t="s">
        <v>33</v>
      </c>
      <c r="T1421" s="12" t="s">
        <v>64</v>
      </c>
      <c r="U1421" s="12">
        <v>5</v>
      </c>
      <c r="V1421" s="12" t="s">
        <v>105</v>
      </c>
    </row>
    <row r="1422" spans="1:22" x14ac:dyDescent="0.3">
      <c r="A1422" s="8" t="s">
        <v>2280</v>
      </c>
      <c r="B1422" s="9">
        <v>45946</v>
      </c>
      <c r="C1422" s="8" t="s">
        <v>113</v>
      </c>
      <c r="D1422" s="8" t="s">
        <v>114</v>
      </c>
      <c r="E1422" s="8" t="s">
        <v>59</v>
      </c>
      <c r="F1422" s="8" t="s">
        <v>401</v>
      </c>
      <c r="G1422" s="8" t="s">
        <v>27</v>
      </c>
      <c r="H1422" s="8" t="s">
        <v>94</v>
      </c>
      <c r="I1422" s="8" t="s">
        <v>68</v>
      </c>
      <c r="J1422" s="8" t="s">
        <v>89</v>
      </c>
      <c r="K1422" s="8" t="s">
        <v>151</v>
      </c>
      <c r="L1422" s="8" t="s">
        <v>175</v>
      </c>
      <c r="M1422" s="8">
        <v>4</v>
      </c>
      <c r="N1422" s="10">
        <v>968.81</v>
      </c>
      <c r="O1422" s="11">
        <v>0.25</v>
      </c>
      <c r="P1422" s="10">
        <v>2906.43</v>
      </c>
      <c r="Q1422" s="10">
        <v>1999.75</v>
      </c>
      <c r="R1422" s="10">
        <v>906.68</v>
      </c>
      <c r="S1422" s="8" t="s">
        <v>63</v>
      </c>
      <c r="T1422" s="8" t="s">
        <v>156</v>
      </c>
      <c r="U1422" s="8">
        <v>3</v>
      </c>
      <c r="V1422" s="8" t="s">
        <v>123</v>
      </c>
    </row>
    <row r="1423" spans="1:22" x14ac:dyDescent="0.3">
      <c r="A1423" s="12" t="s">
        <v>2281</v>
      </c>
      <c r="B1423" s="13">
        <v>45820</v>
      </c>
      <c r="C1423" s="12" t="s">
        <v>48</v>
      </c>
      <c r="D1423" s="12" t="s">
        <v>49</v>
      </c>
      <c r="E1423" s="12" t="s">
        <v>39</v>
      </c>
      <c r="F1423" s="12" t="s">
        <v>161</v>
      </c>
      <c r="G1423" s="12" t="s">
        <v>41</v>
      </c>
      <c r="H1423" s="12" t="s">
        <v>81</v>
      </c>
      <c r="I1423" s="12" t="s">
        <v>29</v>
      </c>
      <c r="J1423" s="12" t="s">
        <v>30</v>
      </c>
      <c r="K1423" s="12" t="s">
        <v>62</v>
      </c>
      <c r="L1423" s="12" t="s">
        <v>32</v>
      </c>
      <c r="M1423" s="12">
        <v>3</v>
      </c>
      <c r="N1423" s="14">
        <v>992.29</v>
      </c>
      <c r="O1423" s="15">
        <v>0.3</v>
      </c>
      <c r="P1423" s="14">
        <v>2083.81</v>
      </c>
      <c r="Q1423" s="14">
        <v>1348.8</v>
      </c>
      <c r="R1423" s="14">
        <v>735.01</v>
      </c>
      <c r="S1423" s="12" t="s">
        <v>53</v>
      </c>
      <c r="T1423" s="12" t="s">
        <v>156</v>
      </c>
      <c r="U1423" s="12">
        <v>4</v>
      </c>
      <c r="V1423" s="12" t="s">
        <v>157</v>
      </c>
    </row>
    <row r="1424" spans="1:22" x14ac:dyDescent="0.3">
      <c r="A1424" s="8" t="s">
        <v>2282</v>
      </c>
      <c r="B1424" s="9">
        <v>45688</v>
      </c>
      <c r="C1424" s="8" t="s">
        <v>125</v>
      </c>
      <c r="D1424" s="8" t="s">
        <v>126</v>
      </c>
      <c r="E1424" s="8" t="s">
        <v>25</v>
      </c>
      <c r="F1424" s="8" t="s">
        <v>1184</v>
      </c>
      <c r="G1424" s="8" t="s">
        <v>41</v>
      </c>
      <c r="H1424" s="8" t="s">
        <v>28</v>
      </c>
      <c r="I1424" s="8" t="s">
        <v>29</v>
      </c>
      <c r="J1424" s="8" t="s">
        <v>89</v>
      </c>
      <c r="K1424" s="8" t="s">
        <v>89</v>
      </c>
      <c r="L1424" s="8" t="s">
        <v>91</v>
      </c>
      <c r="M1424" s="8">
        <v>4</v>
      </c>
      <c r="N1424" s="10">
        <v>1277.51</v>
      </c>
      <c r="O1424" s="11">
        <v>0.2</v>
      </c>
      <c r="P1424" s="10">
        <v>4088.03</v>
      </c>
      <c r="Q1424" s="10">
        <v>2800.15</v>
      </c>
      <c r="R1424" s="10">
        <v>1287.8800000000001</v>
      </c>
      <c r="S1424" s="8" t="s">
        <v>33</v>
      </c>
      <c r="T1424" s="8" t="s">
        <v>34</v>
      </c>
      <c r="U1424" s="8">
        <v>4</v>
      </c>
      <c r="V1424" s="8" t="s">
        <v>84</v>
      </c>
    </row>
    <row r="1425" spans="1:22" x14ac:dyDescent="0.3">
      <c r="A1425" s="12" t="s">
        <v>2283</v>
      </c>
      <c r="B1425" s="13">
        <v>45997</v>
      </c>
      <c r="C1425" s="12" t="s">
        <v>125</v>
      </c>
      <c r="D1425" s="12" t="s">
        <v>126</v>
      </c>
      <c r="E1425" s="12" t="s">
        <v>25</v>
      </c>
      <c r="F1425" s="12" t="s">
        <v>2161</v>
      </c>
      <c r="G1425" s="12" t="s">
        <v>41</v>
      </c>
      <c r="H1425" s="12" t="s">
        <v>81</v>
      </c>
      <c r="I1425" s="12" t="s">
        <v>29</v>
      </c>
      <c r="J1425" s="12" t="s">
        <v>101</v>
      </c>
      <c r="K1425" s="12" t="s">
        <v>102</v>
      </c>
      <c r="L1425" s="12" t="s">
        <v>52</v>
      </c>
      <c r="M1425" s="12">
        <v>5</v>
      </c>
      <c r="N1425" s="14">
        <v>718.48</v>
      </c>
      <c r="O1425" s="15">
        <v>0.25</v>
      </c>
      <c r="P1425" s="14">
        <v>2694.3</v>
      </c>
      <c r="Q1425" s="14">
        <v>1221.3</v>
      </c>
      <c r="R1425" s="14">
        <v>1473</v>
      </c>
      <c r="S1425" s="12" t="s">
        <v>53</v>
      </c>
      <c r="T1425" s="12" t="s">
        <v>156</v>
      </c>
      <c r="U1425" s="12">
        <v>4</v>
      </c>
      <c r="V1425" s="12" t="s">
        <v>35</v>
      </c>
    </row>
    <row r="1426" spans="1:22" x14ac:dyDescent="0.3">
      <c r="A1426" s="8" t="s">
        <v>2284</v>
      </c>
      <c r="B1426" s="9">
        <v>45743</v>
      </c>
      <c r="C1426" s="8" t="s">
        <v>107</v>
      </c>
      <c r="D1426" s="8" t="s">
        <v>108</v>
      </c>
      <c r="E1426" s="8" t="s">
        <v>39</v>
      </c>
      <c r="F1426" s="8" t="s">
        <v>656</v>
      </c>
      <c r="G1426" s="8" t="s">
        <v>27</v>
      </c>
      <c r="H1426" s="8" t="s">
        <v>81</v>
      </c>
      <c r="I1426" s="8" t="s">
        <v>29</v>
      </c>
      <c r="J1426" s="8" t="s">
        <v>69</v>
      </c>
      <c r="K1426" s="8" t="s">
        <v>137</v>
      </c>
      <c r="L1426" s="8" t="s">
        <v>32</v>
      </c>
      <c r="M1426" s="8">
        <v>2</v>
      </c>
      <c r="N1426" s="10">
        <v>484.34</v>
      </c>
      <c r="O1426" s="11">
        <v>0.05</v>
      </c>
      <c r="P1426" s="10">
        <v>920.25</v>
      </c>
      <c r="Q1426" s="10">
        <v>457.66</v>
      </c>
      <c r="R1426" s="10">
        <v>462.59</v>
      </c>
      <c r="S1426" s="8" t="s">
        <v>63</v>
      </c>
      <c r="T1426" s="8" t="s">
        <v>104</v>
      </c>
      <c r="U1426" s="8">
        <v>4</v>
      </c>
      <c r="V1426" s="8" t="s">
        <v>55</v>
      </c>
    </row>
    <row r="1427" spans="1:22" x14ac:dyDescent="0.3">
      <c r="A1427" s="12" t="s">
        <v>2285</v>
      </c>
      <c r="B1427" s="13">
        <v>45772</v>
      </c>
      <c r="C1427" s="12" t="s">
        <v>98</v>
      </c>
      <c r="D1427" s="12" t="s">
        <v>99</v>
      </c>
      <c r="E1427" s="12" t="s">
        <v>25</v>
      </c>
      <c r="F1427" s="12" t="s">
        <v>2286</v>
      </c>
      <c r="G1427" s="12" t="s">
        <v>41</v>
      </c>
      <c r="H1427" s="12" t="s">
        <v>81</v>
      </c>
      <c r="I1427" s="12" t="s">
        <v>29</v>
      </c>
      <c r="J1427" s="12" t="s">
        <v>89</v>
      </c>
      <c r="K1427" s="12" t="s">
        <v>90</v>
      </c>
      <c r="L1427" s="12" t="s">
        <v>45</v>
      </c>
      <c r="M1427" s="12">
        <v>4</v>
      </c>
      <c r="N1427" s="14">
        <v>3388.22</v>
      </c>
      <c r="O1427" s="15">
        <v>0.1</v>
      </c>
      <c r="P1427" s="14">
        <v>12197.59</v>
      </c>
      <c r="Q1427" s="14">
        <v>8269.35</v>
      </c>
      <c r="R1427" s="14">
        <v>3928.24</v>
      </c>
      <c r="S1427" s="12" t="s">
        <v>63</v>
      </c>
      <c r="T1427" s="12" t="s">
        <v>71</v>
      </c>
      <c r="U1427" s="12">
        <v>3</v>
      </c>
      <c r="V1427" s="12" t="s">
        <v>96</v>
      </c>
    </row>
    <row r="1428" spans="1:22" x14ac:dyDescent="0.3">
      <c r="A1428" s="8" t="s">
        <v>2287</v>
      </c>
      <c r="B1428" s="9">
        <v>45740</v>
      </c>
      <c r="C1428" s="8" t="s">
        <v>131</v>
      </c>
      <c r="D1428" s="8" t="s">
        <v>132</v>
      </c>
      <c r="E1428" s="8" t="s">
        <v>25</v>
      </c>
      <c r="F1428" s="8" t="s">
        <v>629</v>
      </c>
      <c r="G1428" s="8" t="s">
        <v>41</v>
      </c>
      <c r="H1428" s="8" t="s">
        <v>81</v>
      </c>
      <c r="I1428" s="8" t="s">
        <v>68</v>
      </c>
      <c r="J1428" s="8" t="s">
        <v>101</v>
      </c>
      <c r="K1428" s="8" t="s">
        <v>217</v>
      </c>
      <c r="L1428" s="8" t="s">
        <v>77</v>
      </c>
      <c r="M1428" s="8">
        <v>3</v>
      </c>
      <c r="N1428" s="10">
        <v>3010.96</v>
      </c>
      <c r="O1428" s="11">
        <v>0.25</v>
      </c>
      <c r="P1428" s="10">
        <v>6774.66</v>
      </c>
      <c r="Q1428" s="10">
        <v>4958.79</v>
      </c>
      <c r="R1428" s="10">
        <v>1815.87</v>
      </c>
      <c r="S1428" s="8" t="s">
        <v>53</v>
      </c>
      <c r="T1428" s="8" t="s">
        <v>71</v>
      </c>
      <c r="U1428" s="8">
        <v>5</v>
      </c>
      <c r="V1428" s="8" t="s">
        <v>55</v>
      </c>
    </row>
    <row r="1429" spans="1:22" x14ac:dyDescent="0.3">
      <c r="A1429" s="12" t="s">
        <v>2288</v>
      </c>
      <c r="B1429" s="13">
        <v>45896</v>
      </c>
      <c r="C1429" s="12" t="s">
        <v>86</v>
      </c>
      <c r="D1429" s="12" t="s">
        <v>87</v>
      </c>
      <c r="E1429" s="12" t="s">
        <v>59</v>
      </c>
      <c r="F1429" s="12" t="s">
        <v>2289</v>
      </c>
      <c r="G1429" s="12" t="s">
        <v>27</v>
      </c>
      <c r="H1429" s="12" t="s">
        <v>81</v>
      </c>
      <c r="I1429" s="12" t="s">
        <v>61</v>
      </c>
      <c r="J1429" s="12" t="s">
        <v>101</v>
      </c>
      <c r="K1429" s="12" t="s">
        <v>102</v>
      </c>
      <c r="L1429" s="12" t="s">
        <v>175</v>
      </c>
      <c r="M1429" s="12">
        <v>4</v>
      </c>
      <c r="N1429" s="14">
        <v>668.23</v>
      </c>
      <c r="O1429" s="15">
        <v>0.15</v>
      </c>
      <c r="P1429" s="14">
        <v>2271.98</v>
      </c>
      <c r="Q1429" s="14">
        <v>1021.88</v>
      </c>
      <c r="R1429" s="14">
        <v>1250.0999999999999</v>
      </c>
      <c r="S1429" s="12" t="s">
        <v>33</v>
      </c>
      <c r="T1429" s="12" t="s">
        <v>156</v>
      </c>
      <c r="U1429" s="12">
        <v>4</v>
      </c>
      <c r="V1429" s="12" t="s">
        <v>72</v>
      </c>
    </row>
    <row r="1430" spans="1:22" x14ac:dyDescent="0.3">
      <c r="A1430" s="8" t="s">
        <v>2290</v>
      </c>
      <c r="B1430" s="9">
        <v>45713</v>
      </c>
      <c r="C1430" s="8" t="s">
        <v>125</v>
      </c>
      <c r="D1430" s="8" t="s">
        <v>126</v>
      </c>
      <c r="E1430" s="8" t="s">
        <v>25</v>
      </c>
      <c r="F1430" s="8" t="s">
        <v>2140</v>
      </c>
      <c r="G1430" s="8" t="s">
        <v>27</v>
      </c>
      <c r="H1430" s="8" t="s">
        <v>42</v>
      </c>
      <c r="I1430" s="8" t="s">
        <v>29</v>
      </c>
      <c r="J1430" s="8" t="s">
        <v>89</v>
      </c>
      <c r="K1430" s="8" t="s">
        <v>90</v>
      </c>
      <c r="L1430" s="8" t="s">
        <v>91</v>
      </c>
      <c r="M1430" s="8">
        <v>2</v>
      </c>
      <c r="N1430" s="10">
        <v>3483.77</v>
      </c>
      <c r="O1430" s="11">
        <v>0.15</v>
      </c>
      <c r="P1430" s="10">
        <v>5922.41</v>
      </c>
      <c r="Q1430" s="10">
        <v>4033.68</v>
      </c>
      <c r="R1430" s="10">
        <v>1888.73</v>
      </c>
      <c r="S1430" s="8" t="s">
        <v>83</v>
      </c>
      <c r="T1430" s="8" t="s">
        <v>78</v>
      </c>
      <c r="U1430" s="8">
        <v>3</v>
      </c>
      <c r="V1430" s="8" t="s">
        <v>105</v>
      </c>
    </row>
    <row r="1431" spans="1:22" x14ac:dyDescent="0.3">
      <c r="A1431" s="12" t="s">
        <v>2291</v>
      </c>
      <c r="B1431" s="13">
        <v>45831</v>
      </c>
      <c r="C1431" s="12" t="s">
        <v>131</v>
      </c>
      <c r="D1431" s="12" t="s">
        <v>132</v>
      </c>
      <c r="E1431" s="12" t="s">
        <v>25</v>
      </c>
      <c r="F1431" s="12" t="s">
        <v>938</v>
      </c>
      <c r="G1431" s="12" t="s">
        <v>27</v>
      </c>
      <c r="H1431" s="12" t="s">
        <v>81</v>
      </c>
      <c r="I1431" s="12" t="s">
        <v>61</v>
      </c>
      <c r="J1431" s="12" t="s">
        <v>101</v>
      </c>
      <c r="K1431" s="12" t="s">
        <v>102</v>
      </c>
      <c r="L1431" s="12" t="s">
        <v>52</v>
      </c>
      <c r="M1431" s="12">
        <v>1</v>
      </c>
      <c r="N1431" s="14">
        <v>673.83</v>
      </c>
      <c r="O1431" s="15">
        <v>0.05</v>
      </c>
      <c r="P1431" s="14">
        <v>640.14</v>
      </c>
      <c r="Q1431" s="14">
        <v>254.19</v>
      </c>
      <c r="R1431" s="14">
        <v>385.95</v>
      </c>
      <c r="S1431" s="12" t="s">
        <v>33</v>
      </c>
      <c r="T1431" s="12" t="s">
        <v>71</v>
      </c>
      <c r="U1431" s="12">
        <v>3</v>
      </c>
      <c r="V1431" s="12" t="s">
        <v>157</v>
      </c>
    </row>
    <row r="1432" spans="1:22" x14ac:dyDescent="0.3">
      <c r="A1432" s="8" t="s">
        <v>2292</v>
      </c>
      <c r="B1432" s="9">
        <v>45809</v>
      </c>
      <c r="C1432" s="8" t="s">
        <v>23</v>
      </c>
      <c r="D1432" s="8" t="s">
        <v>24</v>
      </c>
      <c r="E1432" s="8" t="s">
        <v>25</v>
      </c>
      <c r="F1432" s="8" t="s">
        <v>1281</v>
      </c>
      <c r="G1432" s="8" t="s">
        <v>27</v>
      </c>
      <c r="H1432" s="8" t="s">
        <v>94</v>
      </c>
      <c r="I1432" s="8" t="s">
        <v>61</v>
      </c>
      <c r="J1432" s="8" t="s">
        <v>75</v>
      </c>
      <c r="K1432" s="8" t="s">
        <v>154</v>
      </c>
      <c r="L1432" s="8" t="s">
        <v>91</v>
      </c>
      <c r="M1432" s="8">
        <v>3</v>
      </c>
      <c r="N1432" s="10">
        <v>2090.42</v>
      </c>
      <c r="O1432" s="11">
        <v>0.25</v>
      </c>
      <c r="P1432" s="10">
        <v>4703.4399999999996</v>
      </c>
      <c r="Q1432" s="10">
        <v>3186.13</v>
      </c>
      <c r="R1432" s="10">
        <v>1517.31</v>
      </c>
      <c r="S1432" s="8" t="s">
        <v>83</v>
      </c>
      <c r="T1432" s="8" t="s">
        <v>64</v>
      </c>
      <c r="U1432" s="8">
        <v>4</v>
      </c>
      <c r="V1432" s="8" t="s">
        <v>157</v>
      </c>
    </row>
    <row r="1433" spans="1:22" x14ac:dyDescent="0.3">
      <c r="A1433" s="12" t="s">
        <v>2293</v>
      </c>
      <c r="B1433" s="13">
        <v>45776</v>
      </c>
      <c r="C1433" s="12" t="s">
        <v>37</v>
      </c>
      <c r="D1433" s="12" t="s">
        <v>38</v>
      </c>
      <c r="E1433" s="12" t="s">
        <v>39</v>
      </c>
      <c r="F1433" s="12" t="s">
        <v>766</v>
      </c>
      <c r="G1433" s="12" t="s">
        <v>27</v>
      </c>
      <c r="H1433" s="12" t="s">
        <v>81</v>
      </c>
      <c r="I1433" s="12" t="s">
        <v>61</v>
      </c>
      <c r="J1433" s="12" t="s">
        <v>69</v>
      </c>
      <c r="K1433" s="12" t="s">
        <v>70</v>
      </c>
      <c r="L1433" s="12" t="s">
        <v>45</v>
      </c>
      <c r="M1433" s="12">
        <v>3</v>
      </c>
      <c r="N1433" s="14">
        <v>894.06</v>
      </c>
      <c r="O1433" s="15">
        <v>0.25</v>
      </c>
      <c r="P1433" s="14">
        <v>2011.63</v>
      </c>
      <c r="Q1433" s="14">
        <v>1327.42</v>
      </c>
      <c r="R1433" s="14">
        <v>684.21</v>
      </c>
      <c r="S1433" s="12" t="s">
        <v>83</v>
      </c>
      <c r="T1433" s="12" t="s">
        <v>104</v>
      </c>
      <c r="U1433" s="12">
        <v>4</v>
      </c>
      <c r="V1433" s="12" t="s">
        <v>96</v>
      </c>
    </row>
    <row r="1434" spans="1:22" x14ac:dyDescent="0.3">
      <c r="A1434" s="8" t="s">
        <v>2294</v>
      </c>
      <c r="B1434" s="9">
        <v>45855</v>
      </c>
      <c r="C1434" s="8" t="s">
        <v>131</v>
      </c>
      <c r="D1434" s="8" t="s">
        <v>132</v>
      </c>
      <c r="E1434" s="8" t="s">
        <v>25</v>
      </c>
      <c r="F1434" s="8" t="s">
        <v>843</v>
      </c>
      <c r="G1434" s="8" t="s">
        <v>41</v>
      </c>
      <c r="H1434" s="8" t="s">
        <v>42</v>
      </c>
      <c r="I1434" s="8" t="s">
        <v>68</v>
      </c>
      <c r="J1434" s="8" t="s">
        <v>43</v>
      </c>
      <c r="K1434" s="8" t="s">
        <v>51</v>
      </c>
      <c r="L1434" s="8" t="s">
        <v>91</v>
      </c>
      <c r="M1434" s="8">
        <v>1</v>
      </c>
      <c r="N1434" s="10">
        <v>1446.82</v>
      </c>
      <c r="O1434" s="11">
        <v>0.2</v>
      </c>
      <c r="P1434" s="10">
        <v>1157.46</v>
      </c>
      <c r="Q1434" s="10">
        <v>724.87</v>
      </c>
      <c r="R1434" s="10">
        <v>432.59</v>
      </c>
      <c r="S1434" s="8" t="s">
        <v>53</v>
      </c>
      <c r="T1434" s="8" t="s">
        <v>156</v>
      </c>
      <c r="U1434" s="8">
        <v>3</v>
      </c>
      <c r="V1434" s="8" t="s">
        <v>120</v>
      </c>
    </row>
    <row r="1435" spans="1:22" x14ac:dyDescent="0.3">
      <c r="A1435" s="12" t="s">
        <v>2295</v>
      </c>
      <c r="B1435" s="13">
        <v>45859</v>
      </c>
      <c r="C1435" s="12" t="s">
        <v>125</v>
      </c>
      <c r="D1435" s="12" t="s">
        <v>126</v>
      </c>
      <c r="E1435" s="12" t="s">
        <v>25</v>
      </c>
      <c r="F1435" s="12" t="s">
        <v>2296</v>
      </c>
      <c r="G1435" s="12" t="s">
        <v>41</v>
      </c>
      <c r="H1435" s="12" t="s">
        <v>81</v>
      </c>
      <c r="I1435" s="12" t="s">
        <v>61</v>
      </c>
      <c r="J1435" s="12" t="s">
        <v>101</v>
      </c>
      <c r="K1435" s="12" t="s">
        <v>110</v>
      </c>
      <c r="L1435" s="12" t="s">
        <v>175</v>
      </c>
      <c r="M1435" s="12">
        <v>5</v>
      </c>
      <c r="N1435" s="14">
        <v>4996.63</v>
      </c>
      <c r="O1435" s="15">
        <v>0.1</v>
      </c>
      <c r="P1435" s="14">
        <v>22484.84</v>
      </c>
      <c r="Q1435" s="14">
        <v>15522.3</v>
      </c>
      <c r="R1435" s="14">
        <v>6962.54</v>
      </c>
      <c r="S1435" s="12" t="s">
        <v>83</v>
      </c>
      <c r="T1435" s="12" t="s">
        <v>111</v>
      </c>
      <c r="U1435" s="12">
        <v>3</v>
      </c>
      <c r="V1435" s="12" t="s">
        <v>120</v>
      </c>
    </row>
    <row r="1436" spans="1:22" x14ac:dyDescent="0.3">
      <c r="A1436" s="8" t="s">
        <v>2297</v>
      </c>
      <c r="B1436" s="9">
        <v>45799</v>
      </c>
      <c r="C1436" s="8" t="s">
        <v>125</v>
      </c>
      <c r="D1436" s="8" t="s">
        <v>126</v>
      </c>
      <c r="E1436" s="8" t="s">
        <v>25</v>
      </c>
      <c r="F1436" s="8" t="s">
        <v>2298</v>
      </c>
      <c r="G1436" s="8" t="s">
        <v>27</v>
      </c>
      <c r="H1436" s="8" t="s">
        <v>28</v>
      </c>
      <c r="I1436" s="8" t="s">
        <v>29</v>
      </c>
      <c r="J1436" s="8" t="s">
        <v>75</v>
      </c>
      <c r="K1436" s="8" t="s">
        <v>76</v>
      </c>
      <c r="L1436" s="8" t="s">
        <v>91</v>
      </c>
      <c r="M1436" s="8">
        <v>5</v>
      </c>
      <c r="N1436" s="10">
        <v>761.45</v>
      </c>
      <c r="O1436" s="11">
        <v>0.3</v>
      </c>
      <c r="P1436" s="10">
        <v>2665.07</v>
      </c>
      <c r="Q1436" s="10">
        <v>1834.35</v>
      </c>
      <c r="R1436" s="10">
        <v>830.72</v>
      </c>
      <c r="S1436" s="8" t="s">
        <v>53</v>
      </c>
      <c r="T1436" s="8" t="s">
        <v>64</v>
      </c>
      <c r="U1436" s="8">
        <v>4</v>
      </c>
      <c r="V1436" s="8" t="s">
        <v>134</v>
      </c>
    </row>
    <row r="1437" spans="1:22" x14ac:dyDescent="0.3">
      <c r="A1437" s="12" t="s">
        <v>2299</v>
      </c>
      <c r="B1437" s="13">
        <v>45760</v>
      </c>
      <c r="C1437" s="12" t="s">
        <v>125</v>
      </c>
      <c r="D1437" s="12" t="s">
        <v>126</v>
      </c>
      <c r="E1437" s="12" t="s">
        <v>25</v>
      </c>
      <c r="F1437" s="12" t="s">
        <v>1946</v>
      </c>
      <c r="G1437" s="12" t="s">
        <v>27</v>
      </c>
      <c r="H1437" s="12" t="s">
        <v>81</v>
      </c>
      <c r="I1437" s="12" t="s">
        <v>29</v>
      </c>
      <c r="J1437" s="12" t="s">
        <v>89</v>
      </c>
      <c r="K1437" s="12" t="s">
        <v>90</v>
      </c>
      <c r="L1437" s="12" t="s">
        <v>91</v>
      </c>
      <c r="M1437" s="12">
        <v>1</v>
      </c>
      <c r="N1437" s="14">
        <v>3352.44</v>
      </c>
      <c r="O1437" s="15">
        <v>0.3</v>
      </c>
      <c r="P1437" s="14">
        <v>2346.71</v>
      </c>
      <c r="Q1437" s="14">
        <v>2178.65</v>
      </c>
      <c r="R1437" s="14">
        <v>168.06</v>
      </c>
      <c r="S1437" s="12" t="s">
        <v>53</v>
      </c>
      <c r="T1437" s="12" t="s">
        <v>54</v>
      </c>
      <c r="U1437" s="12">
        <v>5</v>
      </c>
      <c r="V1437" s="12" t="s">
        <v>96</v>
      </c>
    </row>
    <row r="1438" spans="1:22" x14ac:dyDescent="0.3">
      <c r="A1438" s="8" t="s">
        <v>2300</v>
      </c>
      <c r="B1438" s="9">
        <v>45698</v>
      </c>
      <c r="C1438" s="8" t="s">
        <v>23</v>
      </c>
      <c r="D1438" s="8" t="s">
        <v>24</v>
      </c>
      <c r="E1438" s="8" t="s">
        <v>25</v>
      </c>
      <c r="F1438" s="8" t="s">
        <v>229</v>
      </c>
      <c r="G1438" s="8" t="s">
        <v>27</v>
      </c>
      <c r="H1438" s="8" t="s">
        <v>81</v>
      </c>
      <c r="I1438" s="8" t="s">
        <v>68</v>
      </c>
      <c r="J1438" s="8" t="s">
        <v>30</v>
      </c>
      <c r="K1438" s="8" t="s">
        <v>31</v>
      </c>
      <c r="L1438" s="8" t="s">
        <v>103</v>
      </c>
      <c r="M1438" s="8">
        <v>2</v>
      </c>
      <c r="N1438" s="10">
        <v>4026.55</v>
      </c>
      <c r="O1438" s="11">
        <v>0</v>
      </c>
      <c r="P1438" s="10">
        <v>8053.1</v>
      </c>
      <c r="Q1438" s="10">
        <v>4565.03</v>
      </c>
      <c r="R1438" s="10">
        <v>3488.07</v>
      </c>
      <c r="S1438" s="8" t="s">
        <v>33</v>
      </c>
      <c r="T1438" s="8" t="s">
        <v>111</v>
      </c>
      <c r="U1438" s="8">
        <v>3</v>
      </c>
      <c r="V1438" s="8" t="s">
        <v>105</v>
      </c>
    </row>
    <row r="1439" spans="1:22" x14ac:dyDescent="0.3">
      <c r="A1439" s="12" t="s">
        <v>2301</v>
      </c>
      <c r="B1439" s="13">
        <v>45970</v>
      </c>
      <c r="C1439" s="12" t="s">
        <v>23</v>
      </c>
      <c r="D1439" s="12" t="s">
        <v>24</v>
      </c>
      <c r="E1439" s="12" t="s">
        <v>25</v>
      </c>
      <c r="F1439" s="12" t="s">
        <v>1302</v>
      </c>
      <c r="G1439" s="12" t="s">
        <v>41</v>
      </c>
      <c r="H1439" s="12" t="s">
        <v>42</v>
      </c>
      <c r="I1439" s="12" t="s">
        <v>29</v>
      </c>
      <c r="J1439" s="12" t="s">
        <v>43</v>
      </c>
      <c r="K1439" s="12" t="s">
        <v>44</v>
      </c>
      <c r="L1439" s="12" t="s">
        <v>82</v>
      </c>
      <c r="M1439" s="12">
        <v>5</v>
      </c>
      <c r="N1439" s="14">
        <v>621.97</v>
      </c>
      <c r="O1439" s="15">
        <v>0</v>
      </c>
      <c r="P1439" s="14">
        <v>3109.85</v>
      </c>
      <c r="Q1439" s="14">
        <v>1316.79</v>
      </c>
      <c r="R1439" s="14">
        <v>1793.06</v>
      </c>
      <c r="S1439" s="12" t="s">
        <v>63</v>
      </c>
      <c r="T1439" s="12" t="s">
        <v>156</v>
      </c>
      <c r="U1439" s="12">
        <v>3</v>
      </c>
      <c r="V1439" s="12" t="s">
        <v>65</v>
      </c>
    </row>
    <row r="1440" spans="1:22" x14ac:dyDescent="0.3">
      <c r="A1440" s="8" t="s">
        <v>2302</v>
      </c>
      <c r="B1440" s="9">
        <v>45743</v>
      </c>
      <c r="C1440" s="8" t="s">
        <v>57</v>
      </c>
      <c r="D1440" s="8" t="s">
        <v>58</v>
      </c>
      <c r="E1440" s="8" t="s">
        <v>59</v>
      </c>
      <c r="F1440" s="8" t="s">
        <v>420</v>
      </c>
      <c r="G1440" s="8" t="s">
        <v>27</v>
      </c>
      <c r="H1440" s="8" t="s">
        <v>42</v>
      </c>
      <c r="I1440" s="8" t="s">
        <v>68</v>
      </c>
      <c r="J1440" s="8" t="s">
        <v>30</v>
      </c>
      <c r="K1440" s="8" t="s">
        <v>31</v>
      </c>
      <c r="L1440" s="8" t="s">
        <v>175</v>
      </c>
      <c r="M1440" s="8">
        <v>3</v>
      </c>
      <c r="N1440" s="10">
        <v>3945.99</v>
      </c>
      <c r="O1440" s="11">
        <v>0.3</v>
      </c>
      <c r="P1440" s="10">
        <v>8286.58</v>
      </c>
      <c r="Q1440" s="10">
        <v>6664.57</v>
      </c>
      <c r="R1440" s="10">
        <v>1622.01</v>
      </c>
      <c r="S1440" s="8" t="s">
        <v>63</v>
      </c>
      <c r="T1440" s="8" t="s">
        <v>147</v>
      </c>
      <c r="U1440" s="8">
        <v>3</v>
      </c>
      <c r="V1440" s="8" t="s">
        <v>55</v>
      </c>
    </row>
    <row r="1441" spans="1:22" x14ac:dyDescent="0.3">
      <c r="A1441" s="12" t="s">
        <v>2303</v>
      </c>
      <c r="B1441" s="13">
        <v>45816</v>
      </c>
      <c r="C1441" s="12" t="s">
        <v>86</v>
      </c>
      <c r="D1441" s="12" t="s">
        <v>87</v>
      </c>
      <c r="E1441" s="12" t="s">
        <v>59</v>
      </c>
      <c r="F1441" s="12" t="s">
        <v>1740</v>
      </c>
      <c r="G1441" s="12" t="s">
        <v>27</v>
      </c>
      <c r="H1441" s="12" t="s">
        <v>94</v>
      </c>
      <c r="I1441" s="12" t="s">
        <v>68</v>
      </c>
      <c r="J1441" s="12" t="s">
        <v>43</v>
      </c>
      <c r="K1441" s="12" t="s">
        <v>44</v>
      </c>
      <c r="L1441" s="12" t="s">
        <v>32</v>
      </c>
      <c r="M1441" s="12">
        <v>1</v>
      </c>
      <c r="N1441" s="14">
        <v>619.95000000000005</v>
      </c>
      <c r="O1441" s="15">
        <v>0.15</v>
      </c>
      <c r="P1441" s="14">
        <v>526.96</v>
      </c>
      <c r="Q1441" s="14">
        <v>269.64999999999998</v>
      </c>
      <c r="R1441" s="14">
        <v>257.31</v>
      </c>
      <c r="S1441" s="12" t="s">
        <v>46</v>
      </c>
      <c r="T1441" s="12" t="s">
        <v>111</v>
      </c>
      <c r="U1441" s="12">
        <v>3</v>
      </c>
      <c r="V1441" s="12" t="s">
        <v>157</v>
      </c>
    </row>
    <row r="1442" spans="1:22" x14ac:dyDescent="0.3">
      <c r="A1442" s="8" t="s">
        <v>2304</v>
      </c>
      <c r="B1442" s="9">
        <v>45998</v>
      </c>
      <c r="C1442" s="8" t="s">
        <v>37</v>
      </c>
      <c r="D1442" s="8" t="s">
        <v>38</v>
      </c>
      <c r="E1442" s="8" t="s">
        <v>39</v>
      </c>
      <c r="F1442" s="8" t="s">
        <v>251</v>
      </c>
      <c r="G1442" s="8" t="s">
        <v>27</v>
      </c>
      <c r="H1442" s="8" t="s">
        <v>42</v>
      </c>
      <c r="I1442" s="8" t="s">
        <v>29</v>
      </c>
      <c r="J1442" s="8" t="s">
        <v>89</v>
      </c>
      <c r="K1442" s="8" t="s">
        <v>90</v>
      </c>
      <c r="L1442" s="8" t="s">
        <v>103</v>
      </c>
      <c r="M1442" s="8">
        <v>3</v>
      </c>
      <c r="N1442" s="10">
        <v>3513.28</v>
      </c>
      <c r="O1442" s="11">
        <v>0.15</v>
      </c>
      <c r="P1442" s="10">
        <v>8958.86</v>
      </c>
      <c r="Q1442" s="10">
        <v>6407.31</v>
      </c>
      <c r="R1442" s="10">
        <v>2551.5500000000002</v>
      </c>
      <c r="S1442" s="8" t="s">
        <v>33</v>
      </c>
      <c r="T1442" s="8" t="s">
        <v>34</v>
      </c>
      <c r="U1442" s="8">
        <v>3</v>
      </c>
      <c r="V1442" s="8" t="s">
        <v>35</v>
      </c>
    </row>
    <row r="1443" spans="1:22" x14ac:dyDescent="0.3">
      <c r="A1443" s="12" t="s">
        <v>2305</v>
      </c>
      <c r="B1443" s="13">
        <v>45847</v>
      </c>
      <c r="C1443" s="12" t="s">
        <v>107</v>
      </c>
      <c r="D1443" s="12" t="s">
        <v>108</v>
      </c>
      <c r="E1443" s="12" t="s">
        <v>39</v>
      </c>
      <c r="F1443" s="12" t="s">
        <v>818</v>
      </c>
      <c r="G1443" s="12" t="s">
        <v>41</v>
      </c>
      <c r="H1443" s="12" t="s">
        <v>42</v>
      </c>
      <c r="I1443" s="12" t="s">
        <v>68</v>
      </c>
      <c r="J1443" s="12" t="s">
        <v>75</v>
      </c>
      <c r="K1443" s="12" t="s">
        <v>154</v>
      </c>
      <c r="L1443" s="12" t="s">
        <v>103</v>
      </c>
      <c r="M1443" s="12">
        <v>5</v>
      </c>
      <c r="N1443" s="14">
        <v>1978.12</v>
      </c>
      <c r="O1443" s="15">
        <v>0.15</v>
      </c>
      <c r="P1443" s="14">
        <v>8407.01</v>
      </c>
      <c r="Q1443" s="14">
        <v>5693.82</v>
      </c>
      <c r="R1443" s="14">
        <v>2713.19</v>
      </c>
      <c r="S1443" s="12" t="s">
        <v>53</v>
      </c>
      <c r="T1443" s="12" t="s">
        <v>156</v>
      </c>
      <c r="U1443" s="12">
        <v>4</v>
      </c>
      <c r="V1443" s="12" t="s">
        <v>120</v>
      </c>
    </row>
    <row r="1444" spans="1:22" x14ac:dyDescent="0.3">
      <c r="A1444" s="8" t="s">
        <v>2306</v>
      </c>
      <c r="B1444" s="9">
        <v>45663</v>
      </c>
      <c r="C1444" s="8" t="s">
        <v>98</v>
      </c>
      <c r="D1444" s="8" t="s">
        <v>99</v>
      </c>
      <c r="E1444" s="8" t="s">
        <v>25</v>
      </c>
      <c r="F1444" s="8" t="s">
        <v>129</v>
      </c>
      <c r="G1444" s="8" t="s">
        <v>41</v>
      </c>
      <c r="H1444" s="8" t="s">
        <v>28</v>
      </c>
      <c r="I1444" s="8" t="s">
        <v>68</v>
      </c>
      <c r="J1444" s="8" t="s">
        <v>75</v>
      </c>
      <c r="K1444" s="8" t="s">
        <v>154</v>
      </c>
      <c r="L1444" s="8" t="s">
        <v>52</v>
      </c>
      <c r="M1444" s="8">
        <v>2</v>
      </c>
      <c r="N1444" s="10">
        <v>1967.29</v>
      </c>
      <c r="O1444" s="11">
        <v>0.3</v>
      </c>
      <c r="P1444" s="10">
        <v>2754.21</v>
      </c>
      <c r="Q1444" s="10">
        <v>2284.71</v>
      </c>
      <c r="R1444" s="10">
        <v>469.5</v>
      </c>
      <c r="S1444" s="8" t="s">
        <v>46</v>
      </c>
      <c r="T1444" s="8" t="s">
        <v>147</v>
      </c>
      <c r="U1444" s="8">
        <v>4</v>
      </c>
      <c r="V1444" s="8" t="s">
        <v>84</v>
      </c>
    </row>
    <row r="1445" spans="1:22" x14ac:dyDescent="0.3">
      <c r="A1445" s="12" t="s">
        <v>2307</v>
      </c>
      <c r="B1445" s="13">
        <v>45688</v>
      </c>
      <c r="C1445" s="12" t="s">
        <v>107</v>
      </c>
      <c r="D1445" s="12" t="s">
        <v>108</v>
      </c>
      <c r="E1445" s="12" t="s">
        <v>39</v>
      </c>
      <c r="F1445" s="12" t="s">
        <v>1246</v>
      </c>
      <c r="G1445" s="12" t="s">
        <v>27</v>
      </c>
      <c r="H1445" s="12" t="s">
        <v>81</v>
      </c>
      <c r="I1445" s="12" t="s">
        <v>68</v>
      </c>
      <c r="J1445" s="12" t="s">
        <v>89</v>
      </c>
      <c r="K1445" s="12" t="s">
        <v>89</v>
      </c>
      <c r="L1445" s="12" t="s">
        <v>45</v>
      </c>
      <c r="M1445" s="12">
        <v>2</v>
      </c>
      <c r="N1445" s="14">
        <v>1240.32</v>
      </c>
      <c r="O1445" s="15">
        <v>0.3</v>
      </c>
      <c r="P1445" s="14">
        <v>1736.45</v>
      </c>
      <c r="Q1445" s="14">
        <v>1370.47</v>
      </c>
      <c r="R1445" s="14">
        <v>365.98</v>
      </c>
      <c r="S1445" s="12" t="s">
        <v>53</v>
      </c>
      <c r="T1445" s="12" t="s">
        <v>156</v>
      </c>
      <c r="U1445" s="12">
        <v>5</v>
      </c>
      <c r="V1445" s="12" t="s">
        <v>84</v>
      </c>
    </row>
    <row r="1446" spans="1:22" x14ac:dyDescent="0.3">
      <c r="A1446" s="8" t="s">
        <v>2308</v>
      </c>
      <c r="B1446" s="9">
        <v>45891</v>
      </c>
      <c r="C1446" s="8" t="s">
        <v>23</v>
      </c>
      <c r="D1446" s="8" t="s">
        <v>24</v>
      </c>
      <c r="E1446" s="8" t="s">
        <v>25</v>
      </c>
      <c r="F1446" s="8" t="s">
        <v>1306</v>
      </c>
      <c r="G1446" s="8" t="s">
        <v>27</v>
      </c>
      <c r="H1446" s="8" t="s">
        <v>81</v>
      </c>
      <c r="I1446" s="8" t="s">
        <v>29</v>
      </c>
      <c r="J1446" s="8" t="s">
        <v>75</v>
      </c>
      <c r="K1446" s="8" t="s">
        <v>76</v>
      </c>
      <c r="L1446" s="8" t="s">
        <v>103</v>
      </c>
      <c r="M1446" s="8">
        <v>3</v>
      </c>
      <c r="N1446" s="10">
        <v>825.55</v>
      </c>
      <c r="O1446" s="11">
        <v>0.05</v>
      </c>
      <c r="P1446" s="10">
        <v>2352.8200000000002</v>
      </c>
      <c r="Q1446" s="10">
        <v>1029.27</v>
      </c>
      <c r="R1446" s="10">
        <v>1323.55</v>
      </c>
      <c r="S1446" s="8" t="s">
        <v>63</v>
      </c>
      <c r="T1446" s="8" t="s">
        <v>104</v>
      </c>
      <c r="U1446" s="8">
        <v>5</v>
      </c>
      <c r="V1446" s="8" t="s">
        <v>72</v>
      </c>
    </row>
    <row r="1447" spans="1:22" x14ac:dyDescent="0.3">
      <c r="A1447" s="12" t="s">
        <v>2309</v>
      </c>
      <c r="B1447" s="13">
        <v>45977</v>
      </c>
      <c r="C1447" s="12" t="s">
        <v>113</v>
      </c>
      <c r="D1447" s="12" t="s">
        <v>114</v>
      </c>
      <c r="E1447" s="12" t="s">
        <v>59</v>
      </c>
      <c r="F1447" s="12" t="s">
        <v>1272</v>
      </c>
      <c r="G1447" s="12" t="s">
        <v>41</v>
      </c>
      <c r="H1447" s="12" t="s">
        <v>42</v>
      </c>
      <c r="I1447" s="12" t="s">
        <v>61</v>
      </c>
      <c r="J1447" s="12" t="s">
        <v>101</v>
      </c>
      <c r="K1447" s="12" t="s">
        <v>110</v>
      </c>
      <c r="L1447" s="12" t="s">
        <v>103</v>
      </c>
      <c r="M1447" s="12">
        <v>3</v>
      </c>
      <c r="N1447" s="14">
        <v>4817.97</v>
      </c>
      <c r="O1447" s="15">
        <v>0.05</v>
      </c>
      <c r="P1447" s="14">
        <v>13731.21</v>
      </c>
      <c r="Q1447" s="14">
        <v>9352.43</v>
      </c>
      <c r="R1447" s="14">
        <v>4378.78</v>
      </c>
      <c r="S1447" s="12" t="s">
        <v>33</v>
      </c>
      <c r="T1447" s="12" t="s">
        <v>34</v>
      </c>
      <c r="U1447" s="12">
        <v>5</v>
      </c>
      <c r="V1447" s="12" t="s">
        <v>65</v>
      </c>
    </row>
    <row r="1448" spans="1:22" x14ac:dyDescent="0.3">
      <c r="A1448" s="8" t="s">
        <v>2310</v>
      </c>
      <c r="B1448" s="9">
        <v>45857</v>
      </c>
      <c r="C1448" s="8" t="s">
        <v>98</v>
      </c>
      <c r="D1448" s="8" t="s">
        <v>99</v>
      </c>
      <c r="E1448" s="8" t="s">
        <v>25</v>
      </c>
      <c r="F1448" s="8" t="s">
        <v>1693</v>
      </c>
      <c r="G1448" s="8" t="s">
        <v>27</v>
      </c>
      <c r="H1448" s="8" t="s">
        <v>42</v>
      </c>
      <c r="I1448" s="8" t="s">
        <v>68</v>
      </c>
      <c r="J1448" s="8" t="s">
        <v>43</v>
      </c>
      <c r="K1448" s="8" t="s">
        <v>44</v>
      </c>
      <c r="L1448" s="8" t="s">
        <v>32</v>
      </c>
      <c r="M1448" s="8">
        <v>4</v>
      </c>
      <c r="N1448" s="10">
        <v>612.57000000000005</v>
      </c>
      <c r="O1448" s="11">
        <v>0.15</v>
      </c>
      <c r="P1448" s="10">
        <v>2082.7399999999998</v>
      </c>
      <c r="Q1448" s="10">
        <v>1078</v>
      </c>
      <c r="R1448" s="10">
        <v>1004.74</v>
      </c>
      <c r="S1448" s="8" t="s">
        <v>53</v>
      </c>
      <c r="T1448" s="8" t="s">
        <v>54</v>
      </c>
      <c r="U1448" s="8">
        <v>3</v>
      </c>
      <c r="V1448" s="8" t="s">
        <v>120</v>
      </c>
    </row>
    <row r="1449" spans="1:22" x14ac:dyDescent="0.3">
      <c r="A1449" s="12" t="s">
        <v>2311</v>
      </c>
      <c r="B1449" s="13">
        <v>45809</v>
      </c>
      <c r="C1449" s="12" t="s">
        <v>37</v>
      </c>
      <c r="D1449" s="12" t="s">
        <v>38</v>
      </c>
      <c r="E1449" s="12" t="s">
        <v>39</v>
      </c>
      <c r="F1449" s="12" t="s">
        <v>374</v>
      </c>
      <c r="G1449" s="12" t="s">
        <v>41</v>
      </c>
      <c r="H1449" s="12" t="s">
        <v>28</v>
      </c>
      <c r="I1449" s="12" t="s">
        <v>29</v>
      </c>
      <c r="J1449" s="12" t="s">
        <v>30</v>
      </c>
      <c r="K1449" s="12" t="s">
        <v>144</v>
      </c>
      <c r="L1449" s="12" t="s">
        <v>175</v>
      </c>
      <c r="M1449" s="12">
        <v>1</v>
      </c>
      <c r="N1449" s="14">
        <v>2514.58</v>
      </c>
      <c r="O1449" s="15">
        <v>0.25</v>
      </c>
      <c r="P1449" s="14">
        <v>1885.93</v>
      </c>
      <c r="Q1449" s="14">
        <v>1449.08</v>
      </c>
      <c r="R1449" s="14">
        <v>436.85</v>
      </c>
      <c r="S1449" s="12" t="s">
        <v>83</v>
      </c>
      <c r="T1449" s="12" t="s">
        <v>119</v>
      </c>
      <c r="U1449" s="12">
        <v>5</v>
      </c>
      <c r="V1449" s="12" t="s">
        <v>157</v>
      </c>
    </row>
    <row r="1450" spans="1:22" x14ac:dyDescent="0.3">
      <c r="A1450" s="8" t="s">
        <v>2312</v>
      </c>
      <c r="B1450" s="9">
        <v>45867</v>
      </c>
      <c r="C1450" s="8" t="s">
        <v>113</v>
      </c>
      <c r="D1450" s="8" t="s">
        <v>114</v>
      </c>
      <c r="E1450" s="8" t="s">
        <v>59</v>
      </c>
      <c r="F1450" s="8" t="s">
        <v>2313</v>
      </c>
      <c r="G1450" s="8" t="s">
        <v>41</v>
      </c>
      <c r="H1450" s="8" t="s">
        <v>42</v>
      </c>
      <c r="I1450" s="8" t="s">
        <v>61</v>
      </c>
      <c r="J1450" s="8" t="s">
        <v>89</v>
      </c>
      <c r="K1450" s="8" t="s">
        <v>89</v>
      </c>
      <c r="L1450" s="8" t="s">
        <v>91</v>
      </c>
      <c r="M1450" s="8">
        <v>3</v>
      </c>
      <c r="N1450" s="10">
        <v>1294.79</v>
      </c>
      <c r="O1450" s="11">
        <v>0.05</v>
      </c>
      <c r="P1450" s="10">
        <v>3690.15</v>
      </c>
      <c r="Q1450" s="10">
        <v>2007.57</v>
      </c>
      <c r="R1450" s="10">
        <v>1682.58</v>
      </c>
      <c r="S1450" s="8" t="s">
        <v>63</v>
      </c>
      <c r="T1450" s="8" t="s">
        <v>54</v>
      </c>
      <c r="U1450" s="8">
        <v>3</v>
      </c>
      <c r="V1450" s="8" t="s">
        <v>120</v>
      </c>
    </row>
    <row r="1451" spans="1:22" x14ac:dyDescent="0.3">
      <c r="A1451" s="12" t="s">
        <v>2314</v>
      </c>
      <c r="B1451" s="13">
        <v>45919</v>
      </c>
      <c r="C1451" s="12" t="s">
        <v>131</v>
      </c>
      <c r="D1451" s="12" t="s">
        <v>132</v>
      </c>
      <c r="E1451" s="12" t="s">
        <v>25</v>
      </c>
      <c r="F1451" s="12" t="s">
        <v>225</v>
      </c>
      <c r="G1451" s="12" t="s">
        <v>27</v>
      </c>
      <c r="H1451" s="12" t="s">
        <v>42</v>
      </c>
      <c r="I1451" s="12" t="s">
        <v>29</v>
      </c>
      <c r="J1451" s="12" t="s">
        <v>69</v>
      </c>
      <c r="K1451" s="12" t="s">
        <v>70</v>
      </c>
      <c r="L1451" s="12" t="s">
        <v>32</v>
      </c>
      <c r="M1451" s="12">
        <v>1</v>
      </c>
      <c r="N1451" s="14">
        <v>881.55</v>
      </c>
      <c r="O1451" s="15">
        <v>0.2</v>
      </c>
      <c r="P1451" s="14">
        <v>705.24</v>
      </c>
      <c r="Q1451" s="14">
        <v>463.13</v>
      </c>
      <c r="R1451" s="14">
        <v>242.11</v>
      </c>
      <c r="S1451" s="12" t="s">
        <v>53</v>
      </c>
      <c r="T1451" s="12" t="s">
        <v>147</v>
      </c>
      <c r="U1451" s="12">
        <v>3</v>
      </c>
      <c r="V1451" s="12" t="s">
        <v>116</v>
      </c>
    </row>
    <row r="1452" spans="1:22" x14ac:dyDescent="0.3">
      <c r="A1452" s="8" t="s">
        <v>2315</v>
      </c>
      <c r="B1452" s="9">
        <v>46018</v>
      </c>
      <c r="C1452" s="8" t="s">
        <v>107</v>
      </c>
      <c r="D1452" s="8" t="s">
        <v>108</v>
      </c>
      <c r="E1452" s="8" t="s">
        <v>39</v>
      </c>
      <c r="F1452" s="8" t="s">
        <v>287</v>
      </c>
      <c r="G1452" s="8" t="s">
        <v>41</v>
      </c>
      <c r="H1452" s="8" t="s">
        <v>81</v>
      </c>
      <c r="I1452" s="8" t="s">
        <v>61</v>
      </c>
      <c r="J1452" s="8" t="s">
        <v>43</v>
      </c>
      <c r="K1452" s="8" t="s">
        <v>44</v>
      </c>
      <c r="L1452" s="8" t="s">
        <v>91</v>
      </c>
      <c r="M1452" s="8">
        <v>1</v>
      </c>
      <c r="N1452" s="10">
        <v>587.70000000000005</v>
      </c>
      <c r="O1452" s="11">
        <v>0.1</v>
      </c>
      <c r="P1452" s="10">
        <v>528.92999999999995</v>
      </c>
      <c r="Q1452" s="10">
        <v>271.16000000000003</v>
      </c>
      <c r="R1452" s="10">
        <v>257.77</v>
      </c>
      <c r="S1452" s="8" t="s">
        <v>83</v>
      </c>
      <c r="T1452" s="8" t="s">
        <v>54</v>
      </c>
      <c r="U1452" s="8">
        <v>4</v>
      </c>
      <c r="V1452" s="8" t="s">
        <v>35</v>
      </c>
    </row>
    <row r="1453" spans="1:22" x14ac:dyDescent="0.3">
      <c r="A1453" s="12" t="s">
        <v>2316</v>
      </c>
      <c r="B1453" s="13">
        <v>45822</v>
      </c>
      <c r="C1453" s="12" t="s">
        <v>98</v>
      </c>
      <c r="D1453" s="12" t="s">
        <v>99</v>
      </c>
      <c r="E1453" s="12" t="s">
        <v>25</v>
      </c>
      <c r="F1453" s="12" t="s">
        <v>2197</v>
      </c>
      <c r="G1453" s="12" t="s">
        <v>27</v>
      </c>
      <c r="H1453" s="12" t="s">
        <v>81</v>
      </c>
      <c r="I1453" s="12" t="s">
        <v>68</v>
      </c>
      <c r="J1453" s="12" t="s">
        <v>75</v>
      </c>
      <c r="K1453" s="12" t="s">
        <v>76</v>
      </c>
      <c r="L1453" s="12" t="s">
        <v>32</v>
      </c>
      <c r="M1453" s="12">
        <v>5</v>
      </c>
      <c r="N1453" s="14">
        <v>819.33</v>
      </c>
      <c r="O1453" s="15">
        <v>0.15</v>
      </c>
      <c r="P1453" s="14">
        <v>3482.15</v>
      </c>
      <c r="Q1453" s="14">
        <v>1779.12</v>
      </c>
      <c r="R1453" s="14">
        <v>1703.03</v>
      </c>
      <c r="S1453" s="12" t="s">
        <v>33</v>
      </c>
      <c r="T1453" s="12" t="s">
        <v>104</v>
      </c>
      <c r="U1453" s="12">
        <v>3</v>
      </c>
      <c r="V1453" s="12" t="s">
        <v>157</v>
      </c>
    </row>
    <row r="1454" spans="1:22" x14ac:dyDescent="0.3">
      <c r="A1454" s="8" t="s">
        <v>2317</v>
      </c>
      <c r="B1454" s="9">
        <v>45981</v>
      </c>
      <c r="C1454" s="8" t="s">
        <v>113</v>
      </c>
      <c r="D1454" s="8" t="s">
        <v>114</v>
      </c>
      <c r="E1454" s="8" t="s">
        <v>59</v>
      </c>
      <c r="F1454" s="8" t="s">
        <v>1504</v>
      </c>
      <c r="G1454" s="8" t="s">
        <v>27</v>
      </c>
      <c r="H1454" s="8" t="s">
        <v>81</v>
      </c>
      <c r="I1454" s="8" t="s">
        <v>61</v>
      </c>
      <c r="J1454" s="8" t="s">
        <v>43</v>
      </c>
      <c r="K1454" s="8" t="s">
        <v>162</v>
      </c>
      <c r="L1454" s="8" t="s">
        <v>32</v>
      </c>
      <c r="M1454" s="8">
        <v>2</v>
      </c>
      <c r="N1454" s="10">
        <v>859.57</v>
      </c>
      <c r="O1454" s="11">
        <v>0.1</v>
      </c>
      <c r="P1454" s="10">
        <v>1547.23</v>
      </c>
      <c r="Q1454" s="10">
        <v>784.07</v>
      </c>
      <c r="R1454" s="10">
        <v>763.16</v>
      </c>
      <c r="S1454" s="8" t="s">
        <v>53</v>
      </c>
      <c r="T1454" s="8" t="s">
        <v>156</v>
      </c>
      <c r="U1454" s="8">
        <v>3</v>
      </c>
      <c r="V1454" s="8" t="s">
        <v>65</v>
      </c>
    </row>
    <row r="1455" spans="1:22" x14ac:dyDescent="0.3">
      <c r="A1455" s="12" t="s">
        <v>2318</v>
      </c>
      <c r="B1455" s="13">
        <v>45688</v>
      </c>
      <c r="C1455" s="12" t="s">
        <v>57</v>
      </c>
      <c r="D1455" s="12" t="s">
        <v>58</v>
      </c>
      <c r="E1455" s="12" t="s">
        <v>59</v>
      </c>
      <c r="F1455" s="12" t="s">
        <v>432</v>
      </c>
      <c r="G1455" s="12" t="s">
        <v>41</v>
      </c>
      <c r="H1455" s="12" t="s">
        <v>94</v>
      </c>
      <c r="I1455" s="12" t="s">
        <v>61</v>
      </c>
      <c r="J1455" s="12" t="s">
        <v>30</v>
      </c>
      <c r="K1455" s="12" t="s">
        <v>62</v>
      </c>
      <c r="L1455" s="12" t="s">
        <v>32</v>
      </c>
      <c r="M1455" s="12">
        <v>1</v>
      </c>
      <c r="N1455" s="14">
        <v>991.02</v>
      </c>
      <c r="O1455" s="15">
        <v>0.15</v>
      </c>
      <c r="P1455" s="14">
        <v>842.37</v>
      </c>
      <c r="Q1455" s="14">
        <v>434.58</v>
      </c>
      <c r="R1455" s="14">
        <v>407.79</v>
      </c>
      <c r="S1455" s="12" t="s">
        <v>63</v>
      </c>
      <c r="T1455" s="12" t="s">
        <v>78</v>
      </c>
      <c r="U1455" s="12">
        <v>4</v>
      </c>
      <c r="V1455" s="12" t="s">
        <v>84</v>
      </c>
    </row>
    <row r="1456" spans="1:22" x14ac:dyDescent="0.3">
      <c r="A1456" s="8" t="s">
        <v>2319</v>
      </c>
      <c r="B1456" s="9">
        <v>45905</v>
      </c>
      <c r="C1456" s="8" t="s">
        <v>131</v>
      </c>
      <c r="D1456" s="8" t="s">
        <v>132</v>
      </c>
      <c r="E1456" s="8" t="s">
        <v>25</v>
      </c>
      <c r="F1456" s="8" t="s">
        <v>715</v>
      </c>
      <c r="G1456" s="8" t="s">
        <v>27</v>
      </c>
      <c r="H1456" s="8" t="s">
        <v>42</v>
      </c>
      <c r="I1456" s="8" t="s">
        <v>29</v>
      </c>
      <c r="J1456" s="8" t="s">
        <v>69</v>
      </c>
      <c r="K1456" s="8" t="s">
        <v>180</v>
      </c>
      <c r="L1456" s="8" t="s">
        <v>32</v>
      </c>
      <c r="M1456" s="8">
        <v>2</v>
      </c>
      <c r="N1456" s="10">
        <v>1546.9</v>
      </c>
      <c r="O1456" s="11">
        <v>0.25</v>
      </c>
      <c r="P1456" s="10">
        <v>2320.35</v>
      </c>
      <c r="Q1456" s="10">
        <v>1764.95</v>
      </c>
      <c r="R1456" s="10">
        <v>555.4</v>
      </c>
      <c r="S1456" s="8" t="s">
        <v>53</v>
      </c>
      <c r="T1456" s="8" t="s">
        <v>156</v>
      </c>
      <c r="U1456" s="8">
        <v>5</v>
      </c>
      <c r="V1456" s="8" t="s">
        <v>116</v>
      </c>
    </row>
    <row r="1457" spans="1:22" x14ac:dyDescent="0.3">
      <c r="A1457" s="12" t="s">
        <v>2320</v>
      </c>
      <c r="B1457" s="13">
        <v>45953</v>
      </c>
      <c r="C1457" s="12" t="s">
        <v>57</v>
      </c>
      <c r="D1457" s="12" t="s">
        <v>58</v>
      </c>
      <c r="E1457" s="12" t="s">
        <v>59</v>
      </c>
      <c r="F1457" s="12" t="s">
        <v>249</v>
      </c>
      <c r="G1457" s="12" t="s">
        <v>27</v>
      </c>
      <c r="H1457" s="12" t="s">
        <v>94</v>
      </c>
      <c r="I1457" s="12" t="s">
        <v>29</v>
      </c>
      <c r="J1457" s="12" t="s">
        <v>89</v>
      </c>
      <c r="K1457" s="12" t="s">
        <v>89</v>
      </c>
      <c r="L1457" s="12" t="s">
        <v>77</v>
      </c>
      <c r="M1457" s="12">
        <v>5</v>
      </c>
      <c r="N1457" s="14">
        <v>1284.55</v>
      </c>
      <c r="O1457" s="15">
        <v>0</v>
      </c>
      <c r="P1457" s="14">
        <v>6422.75</v>
      </c>
      <c r="Q1457" s="14">
        <v>3657.97</v>
      </c>
      <c r="R1457" s="14">
        <v>2764.78</v>
      </c>
      <c r="S1457" s="12" t="s">
        <v>83</v>
      </c>
      <c r="T1457" s="12" t="s">
        <v>34</v>
      </c>
      <c r="U1457" s="12">
        <v>5</v>
      </c>
      <c r="V1457" s="12" t="s">
        <v>123</v>
      </c>
    </row>
    <row r="1458" spans="1:22" x14ac:dyDescent="0.3">
      <c r="A1458" s="8" t="s">
        <v>2321</v>
      </c>
      <c r="B1458" s="9">
        <v>45765</v>
      </c>
      <c r="C1458" s="8" t="s">
        <v>131</v>
      </c>
      <c r="D1458" s="8" t="s">
        <v>132</v>
      </c>
      <c r="E1458" s="8" t="s">
        <v>25</v>
      </c>
      <c r="F1458" s="8" t="s">
        <v>441</v>
      </c>
      <c r="G1458" s="8" t="s">
        <v>41</v>
      </c>
      <c r="H1458" s="8" t="s">
        <v>42</v>
      </c>
      <c r="I1458" s="8" t="s">
        <v>61</v>
      </c>
      <c r="J1458" s="8" t="s">
        <v>43</v>
      </c>
      <c r="K1458" s="8" t="s">
        <v>162</v>
      </c>
      <c r="L1458" s="8" t="s">
        <v>103</v>
      </c>
      <c r="M1458" s="8">
        <v>1</v>
      </c>
      <c r="N1458" s="10">
        <v>894.69</v>
      </c>
      <c r="O1458" s="11">
        <v>0.25</v>
      </c>
      <c r="P1458" s="10">
        <v>671.02</v>
      </c>
      <c r="Q1458" s="10">
        <v>402.69</v>
      </c>
      <c r="R1458" s="10">
        <v>268.33</v>
      </c>
      <c r="S1458" s="8" t="s">
        <v>53</v>
      </c>
      <c r="T1458" s="8" t="s">
        <v>104</v>
      </c>
      <c r="U1458" s="8">
        <v>5</v>
      </c>
      <c r="V1458" s="8" t="s">
        <v>96</v>
      </c>
    </row>
    <row r="1459" spans="1:22" x14ac:dyDescent="0.3">
      <c r="A1459" s="12" t="s">
        <v>2322</v>
      </c>
      <c r="B1459" s="13">
        <v>45999</v>
      </c>
      <c r="C1459" s="12" t="s">
        <v>57</v>
      </c>
      <c r="D1459" s="12" t="s">
        <v>58</v>
      </c>
      <c r="E1459" s="12" t="s">
        <v>59</v>
      </c>
      <c r="F1459" s="12" t="s">
        <v>2323</v>
      </c>
      <c r="G1459" s="12" t="s">
        <v>27</v>
      </c>
      <c r="H1459" s="12" t="s">
        <v>28</v>
      </c>
      <c r="I1459" s="12" t="s">
        <v>68</v>
      </c>
      <c r="J1459" s="12" t="s">
        <v>43</v>
      </c>
      <c r="K1459" s="12" t="s">
        <v>44</v>
      </c>
      <c r="L1459" s="12" t="s">
        <v>82</v>
      </c>
      <c r="M1459" s="12">
        <v>4</v>
      </c>
      <c r="N1459" s="14">
        <v>580.6</v>
      </c>
      <c r="O1459" s="15">
        <v>0.25</v>
      </c>
      <c r="P1459" s="14">
        <v>1741.8</v>
      </c>
      <c r="Q1459" s="14">
        <v>1070.42</v>
      </c>
      <c r="R1459" s="14">
        <v>671.38</v>
      </c>
      <c r="S1459" s="12" t="s">
        <v>33</v>
      </c>
      <c r="T1459" s="12" t="s">
        <v>147</v>
      </c>
      <c r="U1459" s="12">
        <v>3</v>
      </c>
      <c r="V1459" s="12" t="s">
        <v>35</v>
      </c>
    </row>
    <row r="1460" spans="1:22" x14ac:dyDescent="0.3">
      <c r="A1460" s="8" t="s">
        <v>2324</v>
      </c>
      <c r="B1460" s="9">
        <v>45688</v>
      </c>
      <c r="C1460" s="8" t="s">
        <v>23</v>
      </c>
      <c r="D1460" s="8" t="s">
        <v>24</v>
      </c>
      <c r="E1460" s="8" t="s">
        <v>25</v>
      </c>
      <c r="F1460" s="8" t="s">
        <v>1148</v>
      </c>
      <c r="G1460" s="8" t="s">
        <v>41</v>
      </c>
      <c r="H1460" s="8" t="s">
        <v>28</v>
      </c>
      <c r="I1460" s="8" t="s">
        <v>29</v>
      </c>
      <c r="J1460" s="8" t="s">
        <v>89</v>
      </c>
      <c r="K1460" s="8" t="s">
        <v>90</v>
      </c>
      <c r="L1460" s="8" t="s">
        <v>45</v>
      </c>
      <c r="M1460" s="8">
        <v>3</v>
      </c>
      <c r="N1460" s="10">
        <v>3623.81</v>
      </c>
      <c r="O1460" s="11">
        <v>0.2</v>
      </c>
      <c r="P1460" s="10">
        <v>8697.14</v>
      </c>
      <c r="Q1460" s="10">
        <v>6433.06</v>
      </c>
      <c r="R1460" s="10">
        <v>2264.08</v>
      </c>
      <c r="S1460" s="8" t="s">
        <v>33</v>
      </c>
      <c r="T1460" s="8" t="s">
        <v>156</v>
      </c>
      <c r="U1460" s="8">
        <v>3</v>
      </c>
      <c r="V1460" s="8" t="s">
        <v>84</v>
      </c>
    </row>
    <row r="1461" spans="1:22" x14ac:dyDescent="0.3">
      <c r="A1461" s="12" t="s">
        <v>2325</v>
      </c>
      <c r="B1461" s="13">
        <v>45698</v>
      </c>
      <c r="C1461" s="12" t="s">
        <v>57</v>
      </c>
      <c r="D1461" s="12" t="s">
        <v>58</v>
      </c>
      <c r="E1461" s="12" t="s">
        <v>59</v>
      </c>
      <c r="F1461" s="12" t="s">
        <v>1601</v>
      </c>
      <c r="G1461" s="12" t="s">
        <v>41</v>
      </c>
      <c r="H1461" s="12" t="s">
        <v>81</v>
      </c>
      <c r="I1461" s="12" t="s">
        <v>29</v>
      </c>
      <c r="J1461" s="12" t="s">
        <v>89</v>
      </c>
      <c r="K1461" s="12" t="s">
        <v>89</v>
      </c>
      <c r="L1461" s="12" t="s">
        <v>45</v>
      </c>
      <c r="M1461" s="12">
        <v>4</v>
      </c>
      <c r="N1461" s="14">
        <v>1241.98</v>
      </c>
      <c r="O1461" s="15">
        <v>0.2</v>
      </c>
      <c r="P1461" s="14">
        <v>3974.34</v>
      </c>
      <c r="Q1461" s="14">
        <v>2918.53</v>
      </c>
      <c r="R1461" s="14">
        <v>1055.81</v>
      </c>
      <c r="S1461" s="12" t="s">
        <v>46</v>
      </c>
      <c r="T1461" s="12" t="s">
        <v>119</v>
      </c>
      <c r="U1461" s="12">
        <v>3</v>
      </c>
      <c r="V1461" s="12" t="s">
        <v>105</v>
      </c>
    </row>
    <row r="1462" spans="1:22" x14ac:dyDescent="0.3">
      <c r="A1462" s="8" t="s">
        <v>2326</v>
      </c>
      <c r="B1462" s="9">
        <v>45987</v>
      </c>
      <c r="C1462" s="8" t="s">
        <v>125</v>
      </c>
      <c r="D1462" s="8" t="s">
        <v>126</v>
      </c>
      <c r="E1462" s="8" t="s">
        <v>25</v>
      </c>
      <c r="F1462" s="8" t="s">
        <v>1623</v>
      </c>
      <c r="G1462" s="8" t="s">
        <v>27</v>
      </c>
      <c r="H1462" s="8" t="s">
        <v>42</v>
      </c>
      <c r="I1462" s="8" t="s">
        <v>68</v>
      </c>
      <c r="J1462" s="8" t="s">
        <v>89</v>
      </c>
      <c r="K1462" s="8" t="s">
        <v>89</v>
      </c>
      <c r="L1462" s="8" t="s">
        <v>45</v>
      </c>
      <c r="M1462" s="8">
        <v>4</v>
      </c>
      <c r="N1462" s="10">
        <v>1313.86</v>
      </c>
      <c r="O1462" s="11">
        <v>0.1</v>
      </c>
      <c r="P1462" s="10">
        <v>4729.8999999999996</v>
      </c>
      <c r="Q1462" s="10">
        <v>2749.95</v>
      </c>
      <c r="R1462" s="10">
        <v>1979.95</v>
      </c>
      <c r="S1462" s="8" t="s">
        <v>33</v>
      </c>
      <c r="T1462" s="8" t="s">
        <v>104</v>
      </c>
      <c r="U1462" s="8">
        <v>3</v>
      </c>
      <c r="V1462" s="8" t="s">
        <v>65</v>
      </c>
    </row>
    <row r="1463" spans="1:22" x14ac:dyDescent="0.3">
      <c r="A1463" s="12" t="s">
        <v>2327</v>
      </c>
      <c r="B1463" s="13">
        <v>45747</v>
      </c>
      <c r="C1463" s="12" t="s">
        <v>37</v>
      </c>
      <c r="D1463" s="12" t="s">
        <v>38</v>
      </c>
      <c r="E1463" s="12" t="s">
        <v>39</v>
      </c>
      <c r="F1463" s="12" t="s">
        <v>893</v>
      </c>
      <c r="G1463" s="12" t="s">
        <v>27</v>
      </c>
      <c r="H1463" s="12" t="s">
        <v>28</v>
      </c>
      <c r="I1463" s="12" t="s">
        <v>61</v>
      </c>
      <c r="J1463" s="12" t="s">
        <v>89</v>
      </c>
      <c r="K1463" s="12" t="s">
        <v>151</v>
      </c>
      <c r="L1463" s="12" t="s">
        <v>77</v>
      </c>
      <c r="M1463" s="12">
        <v>1</v>
      </c>
      <c r="N1463" s="14">
        <v>976.96</v>
      </c>
      <c r="O1463" s="15">
        <v>0</v>
      </c>
      <c r="P1463" s="14">
        <v>976.96</v>
      </c>
      <c r="Q1463" s="14">
        <v>479.43</v>
      </c>
      <c r="R1463" s="14">
        <v>497.53</v>
      </c>
      <c r="S1463" s="12" t="s">
        <v>33</v>
      </c>
      <c r="T1463" s="12" t="s">
        <v>34</v>
      </c>
      <c r="U1463" s="12">
        <v>5</v>
      </c>
      <c r="V1463" s="12" t="s">
        <v>55</v>
      </c>
    </row>
    <row r="1464" spans="1:22" x14ac:dyDescent="0.3">
      <c r="A1464" s="8" t="s">
        <v>2328</v>
      </c>
      <c r="B1464" s="9">
        <v>45727</v>
      </c>
      <c r="C1464" s="8" t="s">
        <v>113</v>
      </c>
      <c r="D1464" s="8" t="s">
        <v>114</v>
      </c>
      <c r="E1464" s="8" t="s">
        <v>59</v>
      </c>
      <c r="F1464" s="8" t="s">
        <v>1717</v>
      </c>
      <c r="G1464" s="8" t="s">
        <v>41</v>
      </c>
      <c r="H1464" s="8" t="s">
        <v>28</v>
      </c>
      <c r="I1464" s="8" t="s">
        <v>61</v>
      </c>
      <c r="J1464" s="8" t="s">
        <v>30</v>
      </c>
      <c r="K1464" s="8" t="s">
        <v>31</v>
      </c>
      <c r="L1464" s="8" t="s">
        <v>91</v>
      </c>
      <c r="M1464" s="8">
        <v>2</v>
      </c>
      <c r="N1464" s="10">
        <v>3836.83</v>
      </c>
      <c r="O1464" s="11">
        <v>0.15</v>
      </c>
      <c r="P1464" s="10">
        <v>6522.61</v>
      </c>
      <c r="Q1464" s="10">
        <v>4531.3100000000004</v>
      </c>
      <c r="R1464" s="10">
        <v>1991.3</v>
      </c>
      <c r="S1464" s="8" t="s">
        <v>83</v>
      </c>
      <c r="T1464" s="8" t="s">
        <v>111</v>
      </c>
      <c r="U1464" s="8">
        <v>5</v>
      </c>
      <c r="V1464" s="8" t="s">
        <v>55</v>
      </c>
    </row>
    <row r="1465" spans="1:22" x14ac:dyDescent="0.3">
      <c r="A1465" s="12" t="s">
        <v>2329</v>
      </c>
      <c r="B1465" s="13">
        <v>45802</v>
      </c>
      <c r="C1465" s="12" t="s">
        <v>86</v>
      </c>
      <c r="D1465" s="12" t="s">
        <v>87</v>
      </c>
      <c r="E1465" s="12" t="s">
        <v>59</v>
      </c>
      <c r="F1465" s="12" t="s">
        <v>2330</v>
      </c>
      <c r="G1465" s="12" t="s">
        <v>27</v>
      </c>
      <c r="H1465" s="12" t="s">
        <v>94</v>
      </c>
      <c r="I1465" s="12" t="s">
        <v>61</v>
      </c>
      <c r="J1465" s="12" t="s">
        <v>89</v>
      </c>
      <c r="K1465" s="12" t="s">
        <v>89</v>
      </c>
      <c r="L1465" s="12" t="s">
        <v>175</v>
      </c>
      <c r="M1465" s="12">
        <v>1</v>
      </c>
      <c r="N1465" s="14">
        <v>1294.77</v>
      </c>
      <c r="O1465" s="15">
        <v>0</v>
      </c>
      <c r="P1465" s="14">
        <v>1294.77</v>
      </c>
      <c r="Q1465" s="14">
        <v>710.24</v>
      </c>
      <c r="R1465" s="14">
        <v>584.53</v>
      </c>
      <c r="S1465" s="12" t="s">
        <v>53</v>
      </c>
      <c r="T1465" s="12" t="s">
        <v>64</v>
      </c>
      <c r="U1465" s="12">
        <v>4</v>
      </c>
      <c r="V1465" s="12" t="s">
        <v>134</v>
      </c>
    </row>
    <row r="1466" spans="1:22" x14ac:dyDescent="0.3">
      <c r="A1466" s="8" t="s">
        <v>2331</v>
      </c>
      <c r="B1466" s="9">
        <v>45679</v>
      </c>
      <c r="C1466" s="8" t="s">
        <v>125</v>
      </c>
      <c r="D1466" s="8" t="s">
        <v>126</v>
      </c>
      <c r="E1466" s="8" t="s">
        <v>25</v>
      </c>
      <c r="F1466" s="8" t="s">
        <v>738</v>
      </c>
      <c r="G1466" s="8" t="s">
        <v>41</v>
      </c>
      <c r="H1466" s="8" t="s">
        <v>94</v>
      </c>
      <c r="I1466" s="8" t="s">
        <v>68</v>
      </c>
      <c r="J1466" s="8" t="s">
        <v>69</v>
      </c>
      <c r="K1466" s="8" t="s">
        <v>180</v>
      </c>
      <c r="L1466" s="8" t="s">
        <v>175</v>
      </c>
      <c r="M1466" s="8">
        <v>3</v>
      </c>
      <c r="N1466" s="10">
        <v>1444.89</v>
      </c>
      <c r="O1466" s="11">
        <v>0.3</v>
      </c>
      <c r="P1466" s="10">
        <v>3034.27</v>
      </c>
      <c r="Q1466" s="10">
        <v>2593.52</v>
      </c>
      <c r="R1466" s="10">
        <v>440.75</v>
      </c>
      <c r="S1466" s="8" t="s">
        <v>33</v>
      </c>
      <c r="T1466" s="8" t="s">
        <v>119</v>
      </c>
      <c r="U1466" s="8">
        <v>5</v>
      </c>
      <c r="V1466" s="8" t="s">
        <v>84</v>
      </c>
    </row>
    <row r="1467" spans="1:22" x14ac:dyDescent="0.3">
      <c r="A1467" s="12" t="s">
        <v>2332</v>
      </c>
      <c r="B1467" s="13">
        <v>45816</v>
      </c>
      <c r="C1467" s="12" t="s">
        <v>37</v>
      </c>
      <c r="D1467" s="12" t="s">
        <v>38</v>
      </c>
      <c r="E1467" s="12" t="s">
        <v>39</v>
      </c>
      <c r="F1467" s="12" t="s">
        <v>871</v>
      </c>
      <c r="G1467" s="12" t="s">
        <v>41</v>
      </c>
      <c r="H1467" s="12" t="s">
        <v>81</v>
      </c>
      <c r="I1467" s="12" t="s">
        <v>68</v>
      </c>
      <c r="J1467" s="12" t="s">
        <v>30</v>
      </c>
      <c r="K1467" s="12" t="s">
        <v>31</v>
      </c>
      <c r="L1467" s="12" t="s">
        <v>45</v>
      </c>
      <c r="M1467" s="12">
        <v>1</v>
      </c>
      <c r="N1467" s="14">
        <v>4003.6</v>
      </c>
      <c r="O1467" s="15">
        <v>0.1</v>
      </c>
      <c r="P1467" s="14">
        <v>3603.24</v>
      </c>
      <c r="Q1467" s="14">
        <v>2154.96</v>
      </c>
      <c r="R1467" s="14">
        <v>1448.28</v>
      </c>
      <c r="S1467" s="12" t="s">
        <v>53</v>
      </c>
      <c r="T1467" s="12" t="s">
        <v>111</v>
      </c>
      <c r="U1467" s="12">
        <v>5</v>
      </c>
      <c r="V1467" s="12" t="s">
        <v>157</v>
      </c>
    </row>
    <row r="1468" spans="1:22" x14ac:dyDescent="0.3">
      <c r="A1468" s="8" t="s">
        <v>2333</v>
      </c>
      <c r="B1468" s="9">
        <v>45849</v>
      </c>
      <c r="C1468" s="8" t="s">
        <v>98</v>
      </c>
      <c r="D1468" s="8" t="s">
        <v>99</v>
      </c>
      <c r="E1468" s="8" t="s">
        <v>25</v>
      </c>
      <c r="F1468" s="8" t="s">
        <v>398</v>
      </c>
      <c r="G1468" s="8" t="s">
        <v>41</v>
      </c>
      <c r="H1468" s="8" t="s">
        <v>42</v>
      </c>
      <c r="I1468" s="8" t="s">
        <v>29</v>
      </c>
      <c r="J1468" s="8" t="s">
        <v>75</v>
      </c>
      <c r="K1468" s="8" t="s">
        <v>154</v>
      </c>
      <c r="L1468" s="8" t="s">
        <v>45</v>
      </c>
      <c r="M1468" s="8">
        <v>2</v>
      </c>
      <c r="N1468" s="10">
        <v>2053.2600000000002</v>
      </c>
      <c r="O1468" s="11">
        <v>0.05</v>
      </c>
      <c r="P1468" s="10">
        <v>3901.19</v>
      </c>
      <c r="Q1468" s="10">
        <v>2259.67</v>
      </c>
      <c r="R1468" s="10">
        <v>1641.52</v>
      </c>
      <c r="S1468" s="8" t="s">
        <v>53</v>
      </c>
      <c r="T1468" s="8" t="s">
        <v>54</v>
      </c>
      <c r="U1468" s="8">
        <v>5</v>
      </c>
      <c r="V1468" s="8" t="s">
        <v>120</v>
      </c>
    </row>
    <row r="1469" spans="1:22" x14ac:dyDescent="0.3">
      <c r="A1469" s="12" t="s">
        <v>2334</v>
      </c>
      <c r="B1469" s="13">
        <v>45716</v>
      </c>
      <c r="C1469" s="12" t="s">
        <v>98</v>
      </c>
      <c r="D1469" s="12" t="s">
        <v>99</v>
      </c>
      <c r="E1469" s="12" t="s">
        <v>25</v>
      </c>
      <c r="F1469" s="12" t="s">
        <v>1120</v>
      </c>
      <c r="G1469" s="12" t="s">
        <v>27</v>
      </c>
      <c r="H1469" s="12" t="s">
        <v>42</v>
      </c>
      <c r="I1469" s="12" t="s">
        <v>61</v>
      </c>
      <c r="J1469" s="12" t="s">
        <v>89</v>
      </c>
      <c r="K1469" s="12" t="s">
        <v>90</v>
      </c>
      <c r="L1469" s="12" t="s">
        <v>91</v>
      </c>
      <c r="M1469" s="12">
        <v>5</v>
      </c>
      <c r="N1469" s="14">
        <v>3562.98</v>
      </c>
      <c r="O1469" s="15">
        <v>0.2</v>
      </c>
      <c r="P1469" s="14">
        <v>14251.92</v>
      </c>
      <c r="Q1469" s="14">
        <v>10013.94</v>
      </c>
      <c r="R1469" s="14">
        <v>4237.9799999999996</v>
      </c>
      <c r="S1469" s="12" t="s">
        <v>63</v>
      </c>
      <c r="T1469" s="12" t="s">
        <v>104</v>
      </c>
      <c r="U1469" s="12">
        <v>3</v>
      </c>
      <c r="V1469" s="12" t="s">
        <v>105</v>
      </c>
    </row>
    <row r="1470" spans="1:22" x14ac:dyDescent="0.3">
      <c r="A1470" s="8" t="s">
        <v>2335</v>
      </c>
      <c r="B1470" s="9">
        <v>45916</v>
      </c>
      <c r="C1470" s="8" t="s">
        <v>113</v>
      </c>
      <c r="D1470" s="8" t="s">
        <v>114</v>
      </c>
      <c r="E1470" s="8" t="s">
        <v>59</v>
      </c>
      <c r="F1470" s="8" t="s">
        <v>1148</v>
      </c>
      <c r="G1470" s="8" t="s">
        <v>27</v>
      </c>
      <c r="H1470" s="8" t="s">
        <v>28</v>
      </c>
      <c r="I1470" s="8" t="s">
        <v>61</v>
      </c>
      <c r="J1470" s="8" t="s">
        <v>69</v>
      </c>
      <c r="K1470" s="8" t="s">
        <v>137</v>
      </c>
      <c r="L1470" s="8" t="s">
        <v>82</v>
      </c>
      <c r="M1470" s="8">
        <v>3</v>
      </c>
      <c r="N1470" s="10">
        <v>517.54999999999995</v>
      </c>
      <c r="O1470" s="11">
        <v>0.1</v>
      </c>
      <c r="P1470" s="10">
        <v>1397.38</v>
      </c>
      <c r="Q1470" s="10">
        <v>677.08</v>
      </c>
      <c r="R1470" s="10">
        <v>720.3</v>
      </c>
      <c r="S1470" s="8" t="s">
        <v>83</v>
      </c>
      <c r="T1470" s="8" t="s">
        <v>119</v>
      </c>
      <c r="U1470" s="8">
        <v>3</v>
      </c>
      <c r="V1470" s="8" t="s">
        <v>116</v>
      </c>
    </row>
    <row r="1471" spans="1:22" x14ac:dyDescent="0.3">
      <c r="A1471" s="12" t="s">
        <v>2336</v>
      </c>
      <c r="B1471" s="13">
        <v>45808</v>
      </c>
      <c r="C1471" s="12" t="s">
        <v>37</v>
      </c>
      <c r="D1471" s="12" t="s">
        <v>38</v>
      </c>
      <c r="E1471" s="12" t="s">
        <v>39</v>
      </c>
      <c r="F1471" s="12" t="s">
        <v>287</v>
      </c>
      <c r="G1471" s="12" t="s">
        <v>27</v>
      </c>
      <c r="H1471" s="12" t="s">
        <v>94</v>
      </c>
      <c r="I1471" s="12" t="s">
        <v>61</v>
      </c>
      <c r="J1471" s="12" t="s">
        <v>75</v>
      </c>
      <c r="K1471" s="12" t="s">
        <v>154</v>
      </c>
      <c r="L1471" s="12" t="s">
        <v>77</v>
      </c>
      <c r="M1471" s="12">
        <v>3</v>
      </c>
      <c r="N1471" s="14">
        <v>1969.44</v>
      </c>
      <c r="O1471" s="15">
        <v>0</v>
      </c>
      <c r="P1471" s="14">
        <v>5908.32</v>
      </c>
      <c r="Q1471" s="14">
        <v>3420.25</v>
      </c>
      <c r="R1471" s="14">
        <v>2488.0700000000002</v>
      </c>
      <c r="S1471" s="12" t="s">
        <v>46</v>
      </c>
      <c r="T1471" s="12" t="s">
        <v>34</v>
      </c>
      <c r="U1471" s="12">
        <v>3</v>
      </c>
      <c r="V1471" s="12" t="s">
        <v>134</v>
      </c>
    </row>
    <row r="1472" spans="1:22" x14ac:dyDescent="0.3">
      <c r="A1472" s="8" t="s">
        <v>2337</v>
      </c>
      <c r="B1472" s="9">
        <v>45753</v>
      </c>
      <c r="C1472" s="8" t="s">
        <v>131</v>
      </c>
      <c r="D1472" s="8" t="s">
        <v>132</v>
      </c>
      <c r="E1472" s="8" t="s">
        <v>25</v>
      </c>
      <c r="F1472" s="8" t="s">
        <v>2338</v>
      </c>
      <c r="G1472" s="8" t="s">
        <v>41</v>
      </c>
      <c r="H1472" s="8" t="s">
        <v>81</v>
      </c>
      <c r="I1472" s="8" t="s">
        <v>29</v>
      </c>
      <c r="J1472" s="8" t="s">
        <v>43</v>
      </c>
      <c r="K1472" s="8" t="s">
        <v>162</v>
      </c>
      <c r="L1472" s="8" t="s">
        <v>77</v>
      </c>
      <c r="M1472" s="8">
        <v>3</v>
      </c>
      <c r="N1472" s="10">
        <v>864.95</v>
      </c>
      <c r="O1472" s="11">
        <v>0.05</v>
      </c>
      <c r="P1472" s="10">
        <v>2465.11</v>
      </c>
      <c r="Q1472" s="10">
        <v>1236.3599999999999</v>
      </c>
      <c r="R1472" s="10">
        <v>1228.75</v>
      </c>
      <c r="S1472" s="8" t="s">
        <v>53</v>
      </c>
      <c r="T1472" s="8" t="s">
        <v>147</v>
      </c>
      <c r="U1472" s="8">
        <v>3</v>
      </c>
      <c r="V1472" s="8" t="s">
        <v>96</v>
      </c>
    </row>
    <row r="1473" spans="1:22" x14ac:dyDescent="0.3">
      <c r="A1473" s="12" t="s">
        <v>2339</v>
      </c>
      <c r="B1473" s="13">
        <v>45826</v>
      </c>
      <c r="C1473" s="12" t="s">
        <v>37</v>
      </c>
      <c r="D1473" s="12" t="s">
        <v>38</v>
      </c>
      <c r="E1473" s="12" t="s">
        <v>39</v>
      </c>
      <c r="F1473" s="12" t="s">
        <v>484</v>
      </c>
      <c r="G1473" s="12" t="s">
        <v>27</v>
      </c>
      <c r="H1473" s="12" t="s">
        <v>42</v>
      </c>
      <c r="I1473" s="12" t="s">
        <v>68</v>
      </c>
      <c r="J1473" s="12" t="s">
        <v>69</v>
      </c>
      <c r="K1473" s="12" t="s">
        <v>70</v>
      </c>
      <c r="L1473" s="12" t="s">
        <v>77</v>
      </c>
      <c r="M1473" s="12">
        <v>4</v>
      </c>
      <c r="N1473" s="14">
        <v>869.05</v>
      </c>
      <c r="O1473" s="15">
        <v>0.15</v>
      </c>
      <c r="P1473" s="14">
        <v>2954.77</v>
      </c>
      <c r="Q1473" s="14">
        <v>1782.09</v>
      </c>
      <c r="R1473" s="14">
        <v>1172.68</v>
      </c>
      <c r="S1473" s="12" t="s">
        <v>53</v>
      </c>
      <c r="T1473" s="12" t="s">
        <v>64</v>
      </c>
      <c r="U1473" s="12">
        <v>4</v>
      </c>
      <c r="V1473" s="12" t="s">
        <v>157</v>
      </c>
    </row>
    <row r="1474" spans="1:22" x14ac:dyDescent="0.3">
      <c r="A1474" s="8" t="s">
        <v>2340</v>
      </c>
      <c r="B1474" s="9">
        <v>45765</v>
      </c>
      <c r="C1474" s="8" t="s">
        <v>37</v>
      </c>
      <c r="D1474" s="8" t="s">
        <v>38</v>
      </c>
      <c r="E1474" s="8" t="s">
        <v>39</v>
      </c>
      <c r="F1474" s="8" t="s">
        <v>688</v>
      </c>
      <c r="G1474" s="8" t="s">
        <v>41</v>
      </c>
      <c r="H1474" s="8" t="s">
        <v>94</v>
      </c>
      <c r="I1474" s="8" t="s">
        <v>29</v>
      </c>
      <c r="J1474" s="8" t="s">
        <v>75</v>
      </c>
      <c r="K1474" s="8" t="s">
        <v>154</v>
      </c>
      <c r="L1474" s="8" t="s">
        <v>103</v>
      </c>
      <c r="M1474" s="8">
        <v>2</v>
      </c>
      <c r="N1474" s="10">
        <v>2041.47</v>
      </c>
      <c r="O1474" s="11">
        <v>0.1</v>
      </c>
      <c r="P1474" s="10">
        <v>3674.65</v>
      </c>
      <c r="Q1474" s="10">
        <v>2265.63</v>
      </c>
      <c r="R1474" s="10">
        <v>1409.02</v>
      </c>
      <c r="S1474" s="8" t="s">
        <v>83</v>
      </c>
      <c r="T1474" s="8" t="s">
        <v>156</v>
      </c>
      <c r="U1474" s="8">
        <v>5</v>
      </c>
      <c r="V1474" s="8" t="s">
        <v>96</v>
      </c>
    </row>
    <row r="1475" spans="1:22" x14ac:dyDescent="0.3">
      <c r="A1475" s="12" t="s">
        <v>2341</v>
      </c>
      <c r="B1475" s="13">
        <v>45921</v>
      </c>
      <c r="C1475" s="12" t="s">
        <v>48</v>
      </c>
      <c r="D1475" s="12" t="s">
        <v>49</v>
      </c>
      <c r="E1475" s="12" t="s">
        <v>39</v>
      </c>
      <c r="F1475" s="12" t="s">
        <v>2342</v>
      </c>
      <c r="G1475" s="12" t="s">
        <v>41</v>
      </c>
      <c r="H1475" s="12" t="s">
        <v>81</v>
      </c>
      <c r="I1475" s="12" t="s">
        <v>68</v>
      </c>
      <c r="J1475" s="12" t="s">
        <v>89</v>
      </c>
      <c r="K1475" s="12" t="s">
        <v>89</v>
      </c>
      <c r="L1475" s="12" t="s">
        <v>91</v>
      </c>
      <c r="M1475" s="12">
        <v>2</v>
      </c>
      <c r="N1475" s="14">
        <v>1334.97</v>
      </c>
      <c r="O1475" s="15">
        <v>0</v>
      </c>
      <c r="P1475" s="14">
        <v>2669.94</v>
      </c>
      <c r="Q1475" s="14">
        <v>1467.11</v>
      </c>
      <c r="R1475" s="14">
        <v>1202.83</v>
      </c>
      <c r="S1475" s="12" t="s">
        <v>83</v>
      </c>
      <c r="T1475" s="12" t="s">
        <v>34</v>
      </c>
      <c r="U1475" s="12">
        <v>3</v>
      </c>
      <c r="V1475" s="12" t="s">
        <v>116</v>
      </c>
    </row>
    <row r="1476" spans="1:22" x14ac:dyDescent="0.3">
      <c r="A1476" s="8" t="s">
        <v>2343</v>
      </c>
      <c r="B1476" s="9">
        <v>45919</v>
      </c>
      <c r="C1476" s="8" t="s">
        <v>37</v>
      </c>
      <c r="D1476" s="8" t="s">
        <v>38</v>
      </c>
      <c r="E1476" s="8" t="s">
        <v>39</v>
      </c>
      <c r="F1476" s="8" t="s">
        <v>2344</v>
      </c>
      <c r="G1476" s="8" t="s">
        <v>27</v>
      </c>
      <c r="H1476" s="8" t="s">
        <v>81</v>
      </c>
      <c r="I1476" s="8" t="s">
        <v>68</v>
      </c>
      <c r="J1476" s="8" t="s">
        <v>89</v>
      </c>
      <c r="K1476" s="8" t="s">
        <v>151</v>
      </c>
      <c r="L1476" s="8" t="s">
        <v>52</v>
      </c>
      <c r="M1476" s="8">
        <v>1</v>
      </c>
      <c r="N1476" s="10">
        <v>1002.38</v>
      </c>
      <c r="O1476" s="11">
        <v>0.25</v>
      </c>
      <c r="P1476" s="10">
        <v>751.78</v>
      </c>
      <c r="Q1476" s="10">
        <v>479.32</v>
      </c>
      <c r="R1476" s="10">
        <v>272.45999999999998</v>
      </c>
      <c r="S1476" s="8" t="s">
        <v>53</v>
      </c>
      <c r="T1476" s="8" t="s">
        <v>104</v>
      </c>
      <c r="U1476" s="8">
        <v>5</v>
      </c>
      <c r="V1476" s="8" t="s">
        <v>116</v>
      </c>
    </row>
    <row r="1477" spans="1:22" x14ac:dyDescent="0.3">
      <c r="A1477" s="12" t="s">
        <v>2345</v>
      </c>
      <c r="B1477" s="13">
        <v>45860</v>
      </c>
      <c r="C1477" s="12" t="s">
        <v>23</v>
      </c>
      <c r="D1477" s="12" t="s">
        <v>24</v>
      </c>
      <c r="E1477" s="12" t="s">
        <v>25</v>
      </c>
      <c r="F1477" s="12" t="s">
        <v>1740</v>
      </c>
      <c r="G1477" s="12" t="s">
        <v>27</v>
      </c>
      <c r="H1477" s="12" t="s">
        <v>81</v>
      </c>
      <c r="I1477" s="12" t="s">
        <v>29</v>
      </c>
      <c r="J1477" s="12" t="s">
        <v>43</v>
      </c>
      <c r="K1477" s="12" t="s">
        <v>51</v>
      </c>
      <c r="L1477" s="12" t="s">
        <v>77</v>
      </c>
      <c r="M1477" s="12">
        <v>1</v>
      </c>
      <c r="N1477" s="14">
        <v>1518.21</v>
      </c>
      <c r="O1477" s="15">
        <v>0.05</v>
      </c>
      <c r="P1477" s="14">
        <v>1442.3</v>
      </c>
      <c r="Q1477" s="14">
        <v>720.38</v>
      </c>
      <c r="R1477" s="14">
        <v>721.92</v>
      </c>
      <c r="S1477" s="12" t="s">
        <v>83</v>
      </c>
      <c r="T1477" s="12" t="s">
        <v>104</v>
      </c>
      <c r="U1477" s="12">
        <v>3</v>
      </c>
      <c r="V1477" s="12" t="s">
        <v>120</v>
      </c>
    </row>
    <row r="1478" spans="1:22" x14ac:dyDescent="0.3">
      <c r="A1478" s="8" t="s">
        <v>2346</v>
      </c>
      <c r="B1478" s="9">
        <v>45817</v>
      </c>
      <c r="C1478" s="8" t="s">
        <v>125</v>
      </c>
      <c r="D1478" s="8" t="s">
        <v>126</v>
      </c>
      <c r="E1478" s="8" t="s">
        <v>25</v>
      </c>
      <c r="F1478" s="8" t="s">
        <v>734</v>
      </c>
      <c r="G1478" s="8" t="s">
        <v>27</v>
      </c>
      <c r="H1478" s="8" t="s">
        <v>94</v>
      </c>
      <c r="I1478" s="8" t="s">
        <v>61</v>
      </c>
      <c r="J1478" s="8" t="s">
        <v>89</v>
      </c>
      <c r="K1478" s="8" t="s">
        <v>89</v>
      </c>
      <c r="L1478" s="8" t="s">
        <v>103</v>
      </c>
      <c r="M1478" s="8">
        <v>5</v>
      </c>
      <c r="N1478" s="10">
        <v>1272.25</v>
      </c>
      <c r="O1478" s="11">
        <v>0.05</v>
      </c>
      <c r="P1478" s="10">
        <v>6043.19</v>
      </c>
      <c r="Q1478" s="10">
        <v>3578.49</v>
      </c>
      <c r="R1478" s="10">
        <v>2464.6999999999998</v>
      </c>
      <c r="S1478" s="8" t="s">
        <v>46</v>
      </c>
      <c r="T1478" s="8" t="s">
        <v>156</v>
      </c>
      <c r="U1478" s="8">
        <v>5</v>
      </c>
      <c r="V1478" s="8" t="s">
        <v>157</v>
      </c>
    </row>
    <row r="1479" spans="1:22" x14ac:dyDescent="0.3">
      <c r="A1479" s="12" t="s">
        <v>2347</v>
      </c>
      <c r="B1479" s="13">
        <v>45762</v>
      </c>
      <c r="C1479" s="12" t="s">
        <v>23</v>
      </c>
      <c r="D1479" s="12" t="s">
        <v>24</v>
      </c>
      <c r="E1479" s="12" t="s">
        <v>25</v>
      </c>
      <c r="F1479" s="12" t="s">
        <v>2348</v>
      </c>
      <c r="G1479" s="12" t="s">
        <v>41</v>
      </c>
      <c r="H1479" s="12" t="s">
        <v>81</v>
      </c>
      <c r="I1479" s="12" t="s">
        <v>29</v>
      </c>
      <c r="J1479" s="12" t="s">
        <v>101</v>
      </c>
      <c r="K1479" s="12" t="s">
        <v>102</v>
      </c>
      <c r="L1479" s="12" t="s">
        <v>103</v>
      </c>
      <c r="M1479" s="12">
        <v>1</v>
      </c>
      <c r="N1479" s="14">
        <v>726.07</v>
      </c>
      <c r="O1479" s="15">
        <v>0.3</v>
      </c>
      <c r="P1479" s="14">
        <v>508.25</v>
      </c>
      <c r="Q1479" s="14">
        <v>259.54000000000002</v>
      </c>
      <c r="R1479" s="14">
        <v>248.71</v>
      </c>
      <c r="S1479" s="12" t="s">
        <v>83</v>
      </c>
      <c r="T1479" s="12" t="s">
        <v>119</v>
      </c>
      <c r="U1479" s="12">
        <v>5</v>
      </c>
      <c r="V1479" s="12" t="s">
        <v>96</v>
      </c>
    </row>
    <row r="1480" spans="1:22" x14ac:dyDescent="0.3">
      <c r="A1480" s="8" t="s">
        <v>2349</v>
      </c>
      <c r="B1480" s="9">
        <v>45665</v>
      </c>
      <c r="C1480" s="8" t="s">
        <v>48</v>
      </c>
      <c r="D1480" s="8" t="s">
        <v>49</v>
      </c>
      <c r="E1480" s="8" t="s">
        <v>39</v>
      </c>
      <c r="F1480" s="8" t="s">
        <v>1363</v>
      </c>
      <c r="G1480" s="8" t="s">
        <v>27</v>
      </c>
      <c r="H1480" s="8" t="s">
        <v>28</v>
      </c>
      <c r="I1480" s="8" t="s">
        <v>29</v>
      </c>
      <c r="J1480" s="8" t="s">
        <v>30</v>
      </c>
      <c r="K1480" s="8" t="s">
        <v>62</v>
      </c>
      <c r="L1480" s="8" t="s">
        <v>82</v>
      </c>
      <c r="M1480" s="8">
        <v>1</v>
      </c>
      <c r="N1480" s="10">
        <v>1034.07</v>
      </c>
      <c r="O1480" s="11">
        <v>0.05</v>
      </c>
      <c r="P1480" s="10">
        <v>982.37</v>
      </c>
      <c r="Q1480" s="10">
        <v>442.98</v>
      </c>
      <c r="R1480" s="10">
        <v>539.39</v>
      </c>
      <c r="S1480" s="8" t="s">
        <v>53</v>
      </c>
      <c r="T1480" s="8" t="s">
        <v>156</v>
      </c>
      <c r="U1480" s="8">
        <v>3</v>
      </c>
      <c r="V1480" s="8" t="s">
        <v>84</v>
      </c>
    </row>
    <row r="1481" spans="1:22" x14ac:dyDescent="0.3">
      <c r="A1481" s="12" t="s">
        <v>2350</v>
      </c>
      <c r="B1481" s="13">
        <v>45870</v>
      </c>
      <c r="C1481" s="12" t="s">
        <v>23</v>
      </c>
      <c r="D1481" s="12" t="s">
        <v>24</v>
      </c>
      <c r="E1481" s="12" t="s">
        <v>25</v>
      </c>
      <c r="F1481" s="12" t="s">
        <v>2072</v>
      </c>
      <c r="G1481" s="12" t="s">
        <v>41</v>
      </c>
      <c r="H1481" s="12" t="s">
        <v>94</v>
      </c>
      <c r="I1481" s="12" t="s">
        <v>29</v>
      </c>
      <c r="J1481" s="12" t="s">
        <v>89</v>
      </c>
      <c r="K1481" s="12" t="s">
        <v>151</v>
      </c>
      <c r="L1481" s="12" t="s">
        <v>82</v>
      </c>
      <c r="M1481" s="12">
        <v>3</v>
      </c>
      <c r="N1481" s="14">
        <v>965.7</v>
      </c>
      <c r="O1481" s="15">
        <v>0.3</v>
      </c>
      <c r="P1481" s="14">
        <v>2027.97</v>
      </c>
      <c r="Q1481" s="14">
        <v>1551.14</v>
      </c>
      <c r="R1481" s="14">
        <v>476.83</v>
      </c>
      <c r="S1481" s="12" t="s">
        <v>53</v>
      </c>
      <c r="T1481" s="12" t="s">
        <v>119</v>
      </c>
      <c r="U1481" s="12">
        <v>4</v>
      </c>
      <c r="V1481" s="12" t="s">
        <v>72</v>
      </c>
    </row>
    <row r="1482" spans="1:22" x14ac:dyDescent="0.3">
      <c r="A1482" s="8" t="s">
        <v>2351</v>
      </c>
      <c r="B1482" s="9">
        <v>45768</v>
      </c>
      <c r="C1482" s="8" t="s">
        <v>37</v>
      </c>
      <c r="D1482" s="8" t="s">
        <v>38</v>
      </c>
      <c r="E1482" s="8" t="s">
        <v>39</v>
      </c>
      <c r="F1482" s="8" t="s">
        <v>1601</v>
      </c>
      <c r="G1482" s="8" t="s">
        <v>41</v>
      </c>
      <c r="H1482" s="8" t="s">
        <v>94</v>
      </c>
      <c r="I1482" s="8" t="s">
        <v>29</v>
      </c>
      <c r="J1482" s="8" t="s">
        <v>69</v>
      </c>
      <c r="K1482" s="8" t="s">
        <v>70</v>
      </c>
      <c r="L1482" s="8" t="s">
        <v>175</v>
      </c>
      <c r="M1482" s="8">
        <v>2</v>
      </c>
      <c r="N1482" s="10">
        <v>930.4</v>
      </c>
      <c r="O1482" s="11">
        <v>0.1</v>
      </c>
      <c r="P1482" s="10">
        <v>1674.72</v>
      </c>
      <c r="Q1482" s="10">
        <v>938.96</v>
      </c>
      <c r="R1482" s="10">
        <v>735.76</v>
      </c>
      <c r="S1482" s="8" t="s">
        <v>33</v>
      </c>
      <c r="T1482" s="8" t="s">
        <v>71</v>
      </c>
      <c r="U1482" s="8">
        <v>5</v>
      </c>
      <c r="V1482" s="8" t="s">
        <v>96</v>
      </c>
    </row>
    <row r="1483" spans="1:22" x14ac:dyDescent="0.3">
      <c r="A1483" s="12" t="s">
        <v>2352</v>
      </c>
      <c r="B1483" s="13">
        <v>45873</v>
      </c>
      <c r="C1483" s="12" t="s">
        <v>86</v>
      </c>
      <c r="D1483" s="12" t="s">
        <v>87</v>
      </c>
      <c r="E1483" s="12" t="s">
        <v>59</v>
      </c>
      <c r="F1483" s="12" t="s">
        <v>1519</v>
      </c>
      <c r="G1483" s="12" t="s">
        <v>27</v>
      </c>
      <c r="H1483" s="12" t="s">
        <v>28</v>
      </c>
      <c r="I1483" s="12" t="s">
        <v>61</v>
      </c>
      <c r="J1483" s="12" t="s">
        <v>75</v>
      </c>
      <c r="K1483" s="12" t="s">
        <v>154</v>
      </c>
      <c r="L1483" s="12" t="s">
        <v>77</v>
      </c>
      <c r="M1483" s="12">
        <v>1</v>
      </c>
      <c r="N1483" s="14">
        <v>1961.03</v>
      </c>
      <c r="O1483" s="15">
        <v>0.1</v>
      </c>
      <c r="P1483" s="14">
        <v>1764.93</v>
      </c>
      <c r="Q1483" s="14">
        <v>1051.4000000000001</v>
      </c>
      <c r="R1483" s="14">
        <v>713.53</v>
      </c>
      <c r="S1483" s="12" t="s">
        <v>33</v>
      </c>
      <c r="T1483" s="12" t="s">
        <v>104</v>
      </c>
      <c r="U1483" s="12">
        <v>3</v>
      </c>
      <c r="V1483" s="12" t="s">
        <v>72</v>
      </c>
    </row>
    <row r="1484" spans="1:22" x14ac:dyDescent="0.3">
      <c r="A1484" s="8" t="s">
        <v>2353</v>
      </c>
      <c r="B1484" s="9">
        <v>45802</v>
      </c>
      <c r="C1484" s="8" t="s">
        <v>131</v>
      </c>
      <c r="D1484" s="8" t="s">
        <v>132</v>
      </c>
      <c r="E1484" s="8" t="s">
        <v>25</v>
      </c>
      <c r="F1484" s="8" t="s">
        <v>2159</v>
      </c>
      <c r="G1484" s="8" t="s">
        <v>41</v>
      </c>
      <c r="H1484" s="8" t="s">
        <v>94</v>
      </c>
      <c r="I1484" s="8" t="s">
        <v>61</v>
      </c>
      <c r="J1484" s="8" t="s">
        <v>43</v>
      </c>
      <c r="K1484" s="8" t="s">
        <v>44</v>
      </c>
      <c r="L1484" s="8" t="s">
        <v>52</v>
      </c>
      <c r="M1484" s="8">
        <v>5</v>
      </c>
      <c r="N1484" s="10">
        <v>585.9</v>
      </c>
      <c r="O1484" s="11">
        <v>0.2</v>
      </c>
      <c r="P1484" s="10">
        <v>2343.6</v>
      </c>
      <c r="Q1484" s="10">
        <v>1302.28</v>
      </c>
      <c r="R1484" s="10">
        <v>1041.32</v>
      </c>
      <c r="S1484" s="8" t="s">
        <v>63</v>
      </c>
      <c r="T1484" s="8" t="s">
        <v>156</v>
      </c>
      <c r="U1484" s="8">
        <v>3</v>
      </c>
      <c r="V1484" s="8" t="s">
        <v>134</v>
      </c>
    </row>
    <row r="1485" spans="1:22" x14ac:dyDescent="0.3">
      <c r="A1485" s="12" t="s">
        <v>2354</v>
      </c>
      <c r="B1485" s="13">
        <v>45988</v>
      </c>
      <c r="C1485" s="12" t="s">
        <v>125</v>
      </c>
      <c r="D1485" s="12" t="s">
        <v>126</v>
      </c>
      <c r="E1485" s="12" t="s">
        <v>25</v>
      </c>
      <c r="F1485" s="12" t="s">
        <v>1413</v>
      </c>
      <c r="G1485" s="12" t="s">
        <v>41</v>
      </c>
      <c r="H1485" s="12" t="s">
        <v>42</v>
      </c>
      <c r="I1485" s="12" t="s">
        <v>68</v>
      </c>
      <c r="J1485" s="12" t="s">
        <v>69</v>
      </c>
      <c r="K1485" s="12" t="s">
        <v>137</v>
      </c>
      <c r="L1485" s="12" t="s">
        <v>175</v>
      </c>
      <c r="M1485" s="12">
        <v>5</v>
      </c>
      <c r="N1485" s="14">
        <v>491.4</v>
      </c>
      <c r="O1485" s="15">
        <v>0</v>
      </c>
      <c r="P1485" s="14">
        <v>2457</v>
      </c>
      <c r="Q1485" s="14">
        <v>1067.6199999999999</v>
      </c>
      <c r="R1485" s="14">
        <v>1389.38</v>
      </c>
      <c r="S1485" s="12" t="s">
        <v>83</v>
      </c>
      <c r="T1485" s="12" t="s">
        <v>71</v>
      </c>
      <c r="U1485" s="12">
        <v>5</v>
      </c>
      <c r="V1485" s="12" t="s">
        <v>65</v>
      </c>
    </row>
    <row r="1486" spans="1:22" x14ac:dyDescent="0.3">
      <c r="A1486" s="8" t="s">
        <v>2355</v>
      </c>
      <c r="B1486" s="9">
        <v>45897</v>
      </c>
      <c r="C1486" s="8" t="s">
        <v>131</v>
      </c>
      <c r="D1486" s="8" t="s">
        <v>132</v>
      </c>
      <c r="E1486" s="8" t="s">
        <v>25</v>
      </c>
      <c r="F1486" s="8" t="s">
        <v>510</v>
      </c>
      <c r="G1486" s="8" t="s">
        <v>41</v>
      </c>
      <c r="H1486" s="8" t="s">
        <v>94</v>
      </c>
      <c r="I1486" s="8" t="s">
        <v>61</v>
      </c>
      <c r="J1486" s="8" t="s">
        <v>89</v>
      </c>
      <c r="K1486" s="8" t="s">
        <v>90</v>
      </c>
      <c r="L1486" s="8" t="s">
        <v>32</v>
      </c>
      <c r="M1486" s="8">
        <v>1</v>
      </c>
      <c r="N1486" s="10">
        <v>3336.14</v>
      </c>
      <c r="O1486" s="11">
        <v>0.1</v>
      </c>
      <c r="P1486" s="10">
        <v>3002.53</v>
      </c>
      <c r="Q1486" s="10">
        <v>2085.77</v>
      </c>
      <c r="R1486" s="10">
        <v>916.76</v>
      </c>
      <c r="S1486" s="8" t="s">
        <v>83</v>
      </c>
      <c r="T1486" s="8" t="s">
        <v>147</v>
      </c>
      <c r="U1486" s="8">
        <v>4</v>
      </c>
      <c r="V1486" s="8" t="s">
        <v>72</v>
      </c>
    </row>
    <row r="1487" spans="1:22" x14ac:dyDescent="0.3">
      <c r="A1487" s="12" t="s">
        <v>2356</v>
      </c>
      <c r="B1487" s="13">
        <v>45701</v>
      </c>
      <c r="C1487" s="12" t="s">
        <v>23</v>
      </c>
      <c r="D1487" s="12" t="s">
        <v>24</v>
      </c>
      <c r="E1487" s="12" t="s">
        <v>25</v>
      </c>
      <c r="F1487" s="12" t="s">
        <v>750</v>
      </c>
      <c r="G1487" s="12" t="s">
        <v>27</v>
      </c>
      <c r="H1487" s="12" t="s">
        <v>28</v>
      </c>
      <c r="I1487" s="12" t="s">
        <v>61</v>
      </c>
      <c r="J1487" s="12" t="s">
        <v>101</v>
      </c>
      <c r="K1487" s="12" t="s">
        <v>217</v>
      </c>
      <c r="L1487" s="12" t="s">
        <v>32</v>
      </c>
      <c r="M1487" s="12">
        <v>4</v>
      </c>
      <c r="N1487" s="14">
        <v>2962.69</v>
      </c>
      <c r="O1487" s="15">
        <v>0</v>
      </c>
      <c r="P1487" s="14">
        <v>11850.76</v>
      </c>
      <c r="Q1487" s="14">
        <v>7005.87</v>
      </c>
      <c r="R1487" s="14">
        <v>4844.8900000000003</v>
      </c>
      <c r="S1487" s="12" t="s">
        <v>33</v>
      </c>
      <c r="T1487" s="12" t="s">
        <v>104</v>
      </c>
      <c r="U1487" s="12">
        <v>5</v>
      </c>
      <c r="V1487" s="12" t="s">
        <v>105</v>
      </c>
    </row>
    <row r="1488" spans="1:22" x14ac:dyDescent="0.3">
      <c r="A1488" s="8" t="s">
        <v>2357</v>
      </c>
      <c r="B1488" s="9">
        <v>45827</v>
      </c>
      <c r="C1488" s="8" t="s">
        <v>113</v>
      </c>
      <c r="D1488" s="8" t="s">
        <v>114</v>
      </c>
      <c r="E1488" s="8" t="s">
        <v>59</v>
      </c>
      <c r="F1488" s="8" t="s">
        <v>1924</v>
      </c>
      <c r="G1488" s="8" t="s">
        <v>27</v>
      </c>
      <c r="H1488" s="8" t="s">
        <v>28</v>
      </c>
      <c r="I1488" s="8" t="s">
        <v>68</v>
      </c>
      <c r="J1488" s="8" t="s">
        <v>43</v>
      </c>
      <c r="K1488" s="8" t="s">
        <v>44</v>
      </c>
      <c r="L1488" s="8" t="s">
        <v>77</v>
      </c>
      <c r="M1488" s="8">
        <v>4</v>
      </c>
      <c r="N1488" s="10">
        <v>594.52</v>
      </c>
      <c r="O1488" s="11">
        <v>0.05</v>
      </c>
      <c r="P1488" s="10">
        <v>2259.1799999999998</v>
      </c>
      <c r="Q1488" s="10">
        <v>1009.93</v>
      </c>
      <c r="R1488" s="10">
        <v>1249.25</v>
      </c>
      <c r="S1488" s="8" t="s">
        <v>63</v>
      </c>
      <c r="T1488" s="8" t="s">
        <v>111</v>
      </c>
      <c r="U1488" s="8">
        <v>3</v>
      </c>
      <c r="V1488" s="8" t="s">
        <v>157</v>
      </c>
    </row>
    <row r="1489" spans="1:22" x14ac:dyDescent="0.3">
      <c r="A1489" s="12" t="s">
        <v>2358</v>
      </c>
      <c r="B1489" s="13">
        <v>45977</v>
      </c>
      <c r="C1489" s="12" t="s">
        <v>37</v>
      </c>
      <c r="D1489" s="12" t="s">
        <v>38</v>
      </c>
      <c r="E1489" s="12" t="s">
        <v>39</v>
      </c>
      <c r="F1489" s="12" t="s">
        <v>831</v>
      </c>
      <c r="G1489" s="12" t="s">
        <v>41</v>
      </c>
      <c r="H1489" s="12" t="s">
        <v>81</v>
      </c>
      <c r="I1489" s="12" t="s">
        <v>61</v>
      </c>
      <c r="J1489" s="12" t="s">
        <v>101</v>
      </c>
      <c r="K1489" s="12" t="s">
        <v>110</v>
      </c>
      <c r="L1489" s="12" t="s">
        <v>52</v>
      </c>
      <c r="M1489" s="12">
        <v>5</v>
      </c>
      <c r="N1489" s="14">
        <v>4954.41</v>
      </c>
      <c r="O1489" s="15">
        <v>0.2</v>
      </c>
      <c r="P1489" s="14">
        <v>19817.64</v>
      </c>
      <c r="Q1489" s="14">
        <v>15794.24</v>
      </c>
      <c r="R1489" s="14">
        <v>4023.4</v>
      </c>
      <c r="S1489" s="12" t="s">
        <v>63</v>
      </c>
      <c r="T1489" s="12" t="s">
        <v>156</v>
      </c>
      <c r="U1489" s="12">
        <v>4</v>
      </c>
      <c r="V1489" s="12" t="s">
        <v>65</v>
      </c>
    </row>
    <row r="1490" spans="1:22" x14ac:dyDescent="0.3">
      <c r="A1490" s="8" t="s">
        <v>2359</v>
      </c>
      <c r="B1490" s="9">
        <v>45975</v>
      </c>
      <c r="C1490" s="8" t="s">
        <v>37</v>
      </c>
      <c r="D1490" s="8" t="s">
        <v>38</v>
      </c>
      <c r="E1490" s="8" t="s">
        <v>39</v>
      </c>
      <c r="F1490" s="8" t="s">
        <v>2159</v>
      </c>
      <c r="G1490" s="8" t="s">
        <v>41</v>
      </c>
      <c r="H1490" s="8" t="s">
        <v>28</v>
      </c>
      <c r="I1490" s="8" t="s">
        <v>29</v>
      </c>
      <c r="J1490" s="8" t="s">
        <v>43</v>
      </c>
      <c r="K1490" s="8" t="s">
        <v>51</v>
      </c>
      <c r="L1490" s="8" t="s">
        <v>45</v>
      </c>
      <c r="M1490" s="8">
        <v>4</v>
      </c>
      <c r="N1490" s="10">
        <v>1429.77</v>
      </c>
      <c r="O1490" s="11">
        <v>0.15</v>
      </c>
      <c r="P1490" s="10">
        <v>4861.22</v>
      </c>
      <c r="Q1490" s="10">
        <v>2867.06</v>
      </c>
      <c r="R1490" s="10">
        <v>1994.16</v>
      </c>
      <c r="S1490" s="8" t="s">
        <v>63</v>
      </c>
      <c r="T1490" s="8" t="s">
        <v>156</v>
      </c>
      <c r="U1490" s="8">
        <v>4</v>
      </c>
      <c r="V1490" s="8" t="s">
        <v>65</v>
      </c>
    </row>
    <row r="1491" spans="1:22" x14ac:dyDescent="0.3">
      <c r="A1491" s="12" t="s">
        <v>2360</v>
      </c>
      <c r="B1491" s="13">
        <v>45973</v>
      </c>
      <c r="C1491" s="12" t="s">
        <v>23</v>
      </c>
      <c r="D1491" s="12" t="s">
        <v>24</v>
      </c>
      <c r="E1491" s="12" t="s">
        <v>25</v>
      </c>
      <c r="F1491" s="12" t="s">
        <v>2125</v>
      </c>
      <c r="G1491" s="12" t="s">
        <v>41</v>
      </c>
      <c r="H1491" s="12" t="s">
        <v>42</v>
      </c>
      <c r="I1491" s="12" t="s">
        <v>68</v>
      </c>
      <c r="J1491" s="12" t="s">
        <v>43</v>
      </c>
      <c r="K1491" s="12" t="s">
        <v>162</v>
      </c>
      <c r="L1491" s="12" t="s">
        <v>82</v>
      </c>
      <c r="M1491" s="12">
        <v>2</v>
      </c>
      <c r="N1491" s="14">
        <v>907.86</v>
      </c>
      <c r="O1491" s="15">
        <v>0.3</v>
      </c>
      <c r="P1491" s="14">
        <v>1271</v>
      </c>
      <c r="Q1491" s="14">
        <v>770.8</v>
      </c>
      <c r="R1491" s="14">
        <v>500.2</v>
      </c>
      <c r="S1491" s="12" t="s">
        <v>63</v>
      </c>
      <c r="T1491" s="12" t="s">
        <v>104</v>
      </c>
      <c r="U1491" s="12">
        <v>4</v>
      </c>
      <c r="V1491" s="12" t="s">
        <v>65</v>
      </c>
    </row>
    <row r="1492" spans="1:22" x14ac:dyDescent="0.3">
      <c r="A1492" s="8" t="s">
        <v>2361</v>
      </c>
      <c r="B1492" s="9">
        <v>45970</v>
      </c>
      <c r="C1492" s="8" t="s">
        <v>113</v>
      </c>
      <c r="D1492" s="8" t="s">
        <v>114</v>
      </c>
      <c r="E1492" s="8" t="s">
        <v>59</v>
      </c>
      <c r="F1492" s="8" t="s">
        <v>2362</v>
      </c>
      <c r="G1492" s="8" t="s">
        <v>41</v>
      </c>
      <c r="H1492" s="8" t="s">
        <v>94</v>
      </c>
      <c r="I1492" s="8" t="s">
        <v>29</v>
      </c>
      <c r="J1492" s="8" t="s">
        <v>43</v>
      </c>
      <c r="K1492" s="8" t="s">
        <v>44</v>
      </c>
      <c r="L1492" s="8" t="s">
        <v>77</v>
      </c>
      <c r="M1492" s="8">
        <v>1</v>
      </c>
      <c r="N1492" s="10">
        <v>627.5</v>
      </c>
      <c r="O1492" s="11">
        <v>0</v>
      </c>
      <c r="P1492" s="10">
        <v>627.5</v>
      </c>
      <c r="Q1492" s="10">
        <v>252.16</v>
      </c>
      <c r="R1492" s="10">
        <v>375.34</v>
      </c>
      <c r="S1492" s="8" t="s">
        <v>53</v>
      </c>
      <c r="T1492" s="8" t="s">
        <v>156</v>
      </c>
      <c r="U1492" s="8">
        <v>3</v>
      </c>
      <c r="V1492" s="8" t="s">
        <v>65</v>
      </c>
    </row>
    <row r="1493" spans="1:22" x14ac:dyDescent="0.3">
      <c r="A1493" s="12" t="s">
        <v>2363</v>
      </c>
      <c r="B1493" s="13">
        <v>45679</v>
      </c>
      <c r="C1493" s="12" t="s">
        <v>57</v>
      </c>
      <c r="D1493" s="12" t="s">
        <v>58</v>
      </c>
      <c r="E1493" s="12" t="s">
        <v>59</v>
      </c>
      <c r="F1493" s="12" t="s">
        <v>2091</v>
      </c>
      <c r="G1493" s="12" t="s">
        <v>41</v>
      </c>
      <c r="H1493" s="12" t="s">
        <v>94</v>
      </c>
      <c r="I1493" s="12" t="s">
        <v>68</v>
      </c>
      <c r="J1493" s="12" t="s">
        <v>43</v>
      </c>
      <c r="K1493" s="12" t="s">
        <v>44</v>
      </c>
      <c r="L1493" s="12" t="s">
        <v>32</v>
      </c>
      <c r="M1493" s="12">
        <v>3</v>
      </c>
      <c r="N1493" s="14">
        <v>619.66999999999996</v>
      </c>
      <c r="O1493" s="15">
        <v>0.05</v>
      </c>
      <c r="P1493" s="14">
        <v>1766.06</v>
      </c>
      <c r="Q1493" s="14">
        <v>772.59</v>
      </c>
      <c r="R1493" s="14">
        <v>993.47</v>
      </c>
      <c r="S1493" s="12" t="s">
        <v>46</v>
      </c>
      <c r="T1493" s="12" t="s">
        <v>54</v>
      </c>
      <c r="U1493" s="12">
        <v>3</v>
      </c>
      <c r="V1493" s="12" t="s">
        <v>84</v>
      </c>
    </row>
    <row r="1494" spans="1:22" x14ac:dyDescent="0.3">
      <c r="A1494" s="8" t="s">
        <v>2364</v>
      </c>
      <c r="B1494" s="9">
        <v>45744</v>
      </c>
      <c r="C1494" s="8" t="s">
        <v>125</v>
      </c>
      <c r="D1494" s="8" t="s">
        <v>126</v>
      </c>
      <c r="E1494" s="8" t="s">
        <v>25</v>
      </c>
      <c r="F1494" s="8" t="s">
        <v>2365</v>
      </c>
      <c r="G1494" s="8" t="s">
        <v>41</v>
      </c>
      <c r="H1494" s="8" t="s">
        <v>28</v>
      </c>
      <c r="I1494" s="8" t="s">
        <v>29</v>
      </c>
      <c r="J1494" s="8" t="s">
        <v>43</v>
      </c>
      <c r="K1494" s="8" t="s">
        <v>162</v>
      </c>
      <c r="L1494" s="8" t="s">
        <v>82</v>
      </c>
      <c r="M1494" s="8">
        <v>3</v>
      </c>
      <c r="N1494" s="10">
        <v>915.13</v>
      </c>
      <c r="O1494" s="11">
        <v>0.05</v>
      </c>
      <c r="P1494" s="10">
        <v>2608.12</v>
      </c>
      <c r="Q1494" s="10">
        <v>1208.8399999999999</v>
      </c>
      <c r="R1494" s="10">
        <v>1399.28</v>
      </c>
      <c r="S1494" s="8" t="s">
        <v>63</v>
      </c>
      <c r="T1494" s="8" t="s">
        <v>54</v>
      </c>
      <c r="U1494" s="8">
        <v>3</v>
      </c>
      <c r="V1494" s="8" t="s">
        <v>55</v>
      </c>
    </row>
    <row r="1495" spans="1:22" x14ac:dyDescent="0.3">
      <c r="A1495" s="12" t="s">
        <v>2366</v>
      </c>
      <c r="B1495" s="13">
        <v>45888</v>
      </c>
      <c r="C1495" s="12" t="s">
        <v>107</v>
      </c>
      <c r="D1495" s="12" t="s">
        <v>108</v>
      </c>
      <c r="E1495" s="12" t="s">
        <v>39</v>
      </c>
      <c r="F1495" s="12" t="s">
        <v>530</v>
      </c>
      <c r="G1495" s="12" t="s">
        <v>27</v>
      </c>
      <c r="H1495" s="12" t="s">
        <v>94</v>
      </c>
      <c r="I1495" s="12" t="s">
        <v>29</v>
      </c>
      <c r="J1495" s="12" t="s">
        <v>89</v>
      </c>
      <c r="K1495" s="12" t="s">
        <v>90</v>
      </c>
      <c r="L1495" s="12" t="s">
        <v>52</v>
      </c>
      <c r="M1495" s="12">
        <v>4</v>
      </c>
      <c r="N1495" s="14">
        <v>3622.45</v>
      </c>
      <c r="O1495" s="15">
        <v>0.3</v>
      </c>
      <c r="P1495" s="14">
        <v>10142.86</v>
      </c>
      <c r="Q1495" s="14">
        <v>8444.8700000000008</v>
      </c>
      <c r="R1495" s="14">
        <v>1697.99</v>
      </c>
      <c r="S1495" s="12" t="s">
        <v>53</v>
      </c>
      <c r="T1495" s="12" t="s">
        <v>104</v>
      </c>
      <c r="U1495" s="12">
        <v>3</v>
      </c>
      <c r="V1495" s="12" t="s">
        <v>72</v>
      </c>
    </row>
    <row r="1496" spans="1:22" x14ac:dyDescent="0.3">
      <c r="A1496" s="8" t="s">
        <v>2367</v>
      </c>
      <c r="B1496" s="9">
        <v>45976</v>
      </c>
      <c r="C1496" s="8" t="s">
        <v>57</v>
      </c>
      <c r="D1496" s="8" t="s">
        <v>58</v>
      </c>
      <c r="E1496" s="8" t="s">
        <v>59</v>
      </c>
      <c r="F1496" s="8" t="s">
        <v>1778</v>
      </c>
      <c r="G1496" s="8" t="s">
        <v>27</v>
      </c>
      <c r="H1496" s="8" t="s">
        <v>42</v>
      </c>
      <c r="I1496" s="8" t="s">
        <v>29</v>
      </c>
      <c r="J1496" s="8" t="s">
        <v>30</v>
      </c>
      <c r="K1496" s="8" t="s">
        <v>144</v>
      </c>
      <c r="L1496" s="8" t="s">
        <v>82</v>
      </c>
      <c r="M1496" s="8">
        <v>4</v>
      </c>
      <c r="N1496" s="10">
        <v>2524.98</v>
      </c>
      <c r="O1496" s="11">
        <v>0.15</v>
      </c>
      <c r="P1496" s="10">
        <v>8584.93</v>
      </c>
      <c r="Q1496" s="10">
        <v>6296.99</v>
      </c>
      <c r="R1496" s="10">
        <v>2287.94</v>
      </c>
      <c r="S1496" s="8" t="s">
        <v>63</v>
      </c>
      <c r="T1496" s="8" t="s">
        <v>119</v>
      </c>
      <c r="U1496" s="8">
        <v>3</v>
      </c>
      <c r="V1496" s="8" t="s">
        <v>65</v>
      </c>
    </row>
    <row r="1497" spans="1:22" x14ac:dyDescent="0.3">
      <c r="A1497" s="12" t="s">
        <v>2368</v>
      </c>
      <c r="B1497" s="13">
        <v>45687</v>
      </c>
      <c r="C1497" s="12" t="s">
        <v>23</v>
      </c>
      <c r="D1497" s="12" t="s">
        <v>24</v>
      </c>
      <c r="E1497" s="12" t="s">
        <v>25</v>
      </c>
      <c r="F1497" s="12" t="s">
        <v>1789</v>
      </c>
      <c r="G1497" s="12" t="s">
        <v>41</v>
      </c>
      <c r="H1497" s="12" t="s">
        <v>42</v>
      </c>
      <c r="I1497" s="12" t="s">
        <v>29</v>
      </c>
      <c r="J1497" s="12" t="s">
        <v>89</v>
      </c>
      <c r="K1497" s="12" t="s">
        <v>151</v>
      </c>
      <c r="L1497" s="12" t="s">
        <v>45</v>
      </c>
      <c r="M1497" s="12">
        <v>2</v>
      </c>
      <c r="N1497" s="14">
        <v>978.41</v>
      </c>
      <c r="O1497" s="15">
        <v>0.15</v>
      </c>
      <c r="P1497" s="14">
        <v>1663.3</v>
      </c>
      <c r="Q1497" s="14">
        <v>974.49</v>
      </c>
      <c r="R1497" s="14">
        <v>688.81</v>
      </c>
      <c r="S1497" s="12" t="s">
        <v>33</v>
      </c>
      <c r="T1497" s="12" t="s">
        <v>64</v>
      </c>
      <c r="U1497" s="12">
        <v>5</v>
      </c>
      <c r="V1497" s="12" t="s">
        <v>84</v>
      </c>
    </row>
    <row r="1498" spans="1:22" x14ac:dyDescent="0.3">
      <c r="A1498" s="8" t="s">
        <v>2369</v>
      </c>
      <c r="B1498" s="9">
        <v>45754</v>
      </c>
      <c r="C1498" s="8" t="s">
        <v>23</v>
      </c>
      <c r="D1498" s="8" t="s">
        <v>24</v>
      </c>
      <c r="E1498" s="8" t="s">
        <v>25</v>
      </c>
      <c r="F1498" s="8" t="s">
        <v>2370</v>
      </c>
      <c r="G1498" s="8" t="s">
        <v>41</v>
      </c>
      <c r="H1498" s="8" t="s">
        <v>28</v>
      </c>
      <c r="I1498" s="8" t="s">
        <v>68</v>
      </c>
      <c r="J1498" s="8" t="s">
        <v>101</v>
      </c>
      <c r="K1498" s="8" t="s">
        <v>102</v>
      </c>
      <c r="L1498" s="8" t="s">
        <v>82</v>
      </c>
      <c r="M1498" s="8">
        <v>2</v>
      </c>
      <c r="N1498" s="10">
        <v>676.94</v>
      </c>
      <c r="O1498" s="11">
        <v>0.15</v>
      </c>
      <c r="P1498" s="10">
        <v>1150.8</v>
      </c>
      <c r="Q1498" s="10">
        <v>507.51</v>
      </c>
      <c r="R1498" s="10">
        <v>643.29</v>
      </c>
      <c r="S1498" s="8" t="s">
        <v>83</v>
      </c>
      <c r="T1498" s="8" t="s">
        <v>156</v>
      </c>
      <c r="U1498" s="8">
        <v>4</v>
      </c>
      <c r="V1498" s="8" t="s">
        <v>96</v>
      </c>
    </row>
    <row r="1499" spans="1:22" x14ac:dyDescent="0.3">
      <c r="A1499" s="12" t="s">
        <v>2371</v>
      </c>
      <c r="B1499" s="13">
        <v>45980</v>
      </c>
      <c r="C1499" s="12" t="s">
        <v>37</v>
      </c>
      <c r="D1499" s="12" t="s">
        <v>38</v>
      </c>
      <c r="E1499" s="12" t="s">
        <v>39</v>
      </c>
      <c r="F1499" s="12" t="s">
        <v>863</v>
      </c>
      <c r="G1499" s="12" t="s">
        <v>27</v>
      </c>
      <c r="H1499" s="12" t="s">
        <v>94</v>
      </c>
      <c r="I1499" s="12" t="s">
        <v>29</v>
      </c>
      <c r="J1499" s="12" t="s">
        <v>75</v>
      </c>
      <c r="K1499" s="12" t="s">
        <v>154</v>
      </c>
      <c r="L1499" s="12" t="s">
        <v>103</v>
      </c>
      <c r="M1499" s="12">
        <v>1</v>
      </c>
      <c r="N1499" s="14">
        <v>1990.26</v>
      </c>
      <c r="O1499" s="15">
        <v>0</v>
      </c>
      <c r="P1499" s="14">
        <v>1990.26</v>
      </c>
      <c r="Q1499" s="14">
        <v>1065.54</v>
      </c>
      <c r="R1499" s="14">
        <v>924.72</v>
      </c>
      <c r="S1499" s="12" t="s">
        <v>83</v>
      </c>
      <c r="T1499" s="12" t="s">
        <v>119</v>
      </c>
      <c r="U1499" s="12">
        <v>4</v>
      </c>
      <c r="V1499" s="12" t="s">
        <v>65</v>
      </c>
    </row>
    <row r="1500" spans="1:22" x14ac:dyDescent="0.3">
      <c r="A1500" s="8" t="s">
        <v>2372</v>
      </c>
      <c r="B1500" s="9">
        <v>45773</v>
      </c>
      <c r="C1500" s="8" t="s">
        <v>86</v>
      </c>
      <c r="D1500" s="8" t="s">
        <v>87</v>
      </c>
      <c r="E1500" s="8" t="s">
        <v>59</v>
      </c>
      <c r="F1500" s="8" t="s">
        <v>1507</v>
      </c>
      <c r="G1500" s="8" t="s">
        <v>27</v>
      </c>
      <c r="H1500" s="8" t="s">
        <v>42</v>
      </c>
      <c r="I1500" s="8" t="s">
        <v>29</v>
      </c>
      <c r="J1500" s="8" t="s">
        <v>30</v>
      </c>
      <c r="K1500" s="8" t="s">
        <v>62</v>
      </c>
      <c r="L1500" s="8" t="s">
        <v>175</v>
      </c>
      <c r="M1500" s="8">
        <v>3</v>
      </c>
      <c r="N1500" s="10">
        <v>1001.12</v>
      </c>
      <c r="O1500" s="11">
        <v>0.15</v>
      </c>
      <c r="P1500" s="10">
        <v>2552.86</v>
      </c>
      <c r="Q1500" s="10">
        <v>1319.08</v>
      </c>
      <c r="R1500" s="10">
        <v>1233.78</v>
      </c>
      <c r="S1500" s="8" t="s">
        <v>53</v>
      </c>
      <c r="T1500" s="8" t="s">
        <v>71</v>
      </c>
      <c r="U1500" s="8">
        <v>5</v>
      </c>
      <c r="V1500" s="8" t="s">
        <v>96</v>
      </c>
    </row>
    <row r="1501" spans="1:22" x14ac:dyDescent="0.3">
      <c r="A1501" s="12" t="s">
        <v>2373</v>
      </c>
      <c r="B1501" s="13">
        <v>45908</v>
      </c>
      <c r="C1501" s="12" t="s">
        <v>98</v>
      </c>
      <c r="D1501" s="12" t="s">
        <v>99</v>
      </c>
      <c r="E1501" s="12" t="s">
        <v>25</v>
      </c>
      <c r="F1501" s="12" t="s">
        <v>243</v>
      </c>
      <c r="G1501" s="12" t="s">
        <v>27</v>
      </c>
      <c r="H1501" s="12" t="s">
        <v>28</v>
      </c>
      <c r="I1501" s="12" t="s">
        <v>68</v>
      </c>
      <c r="J1501" s="12" t="s">
        <v>43</v>
      </c>
      <c r="K1501" s="12" t="s">
        <v>51</v>
      </c>
      <c r="L1501" s="12" t="s">
        <v>103</v>
      </c>
      <c r="M1501" s="12">
        <v>2</v>
      </c>
      <c r="N1501" s="14">
        <v>1565.88</v>
      </c>
      <c r="O1501" s="15">
        <v>0.15</v>
      </c>
      <c r="P1501" s="14">
        <v>2662</v>
      </c>
      <c r="Q1501" s="14">
        <v>1390.04</v>
      </c>
      <c r="R1501" s="14">
        <v>1271.96</v>
      </c>
      <c r="S1501" s="12" t="s">
        <v>33</v>
      </c>
      <c r="T1501" s="12" t="s">
        <v>119</v>
      </c>
      <c r="U1501" s="12">
        <v>5</v>
      </c>
      <c r="V1501" s="12" t="s">
        <v>116</v>
      </c>
    </row>
  </sheetData>
  <autoFilter ref="A1:V1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4.4" x14ac:dyDescent="0.3"/>
  <cols>
    <col min="1" max="1" width="20" customWidth="1"/>
    <col min="2" max="2" width="45" customWidth="1"/>
  </cols>
  <sheetData>
    <row r="1" spans="1:2" x14ac:dyDescent="0.3">
      <c r="A1" s="1" t="s">
        <v>2374</v>
      </c>
      <c r="B1" s="1" t="s">
        <v>2375</v>
      </c>
    </row>
    <row r="2" spans="1:2" x14ac:dyDescent="0.3">
      <c r="A2" t="s">
        <v>0</v>
      </c>
      <c r="B2" t="s">
        <v>2376</v>
      </c>
    </row>
    <row r="3" spans="1:2" x14ac:dyDescent="0.3">
      <c r="A3" t="s">
        <v>1</v>
      </c>
      <c r="B3" t="s">
        <v>2377</v>
      </c>
    </row>
    <row r="4" spans="1:2" x14ac:dyDescent="0.3">
      <c r="A4" t="s">
        <v>2</v>
      </c>
      <c r="B4" t="s">
        <v>2378</v>
      </c>
    </row>
    <row r="5" spans="1:2" x14ac:dyDescent="0.3">
      <c r="A5" t="s">
        <v>3</v>
      </c>
      <c r="B5" t="s">
        <v>2379</v>
      </c>
    </row>
    <row r="6" spans="1:2" x14ac:dyDescent="0.3">
      <c r="A6" t="s">
        <v>4</v>
      </c>
      <c r="B6" t="s">
        <v>2380</v>
      </c>
    </row>
    <row r="7" spans="1:2" x14ac:dyDescent="0.3">
      <c r="A7" t="s">
        <v>5</v>
      </c>
      <c r="B7" t="s">
        <v>2381</v>
      </c>
    </row>
    <row r="8" spans="1:2" x14ac:dyDescent="0.3">
      <c r="A8" t="s">
        <v>6</v>
      </c>
      <c r="B8" t="s">
        <v>2382</v>
      </c>
    </row>
    <row r="9" spans="1:2" x14ac:dyDescent="0.3">
      <c r="A9" t="s">
        <v>7</v>
      </c>
      <c r="B9" t="s">
        <v>2383</v>
      </c>
    </row>
    <row r="10" spans="1:2" x14ac:dyDescent="0.3">
      <c r="A10" t="s">
        <v>8</v>
      </c>
      <c r="B10" t="s">
        <v>2384</v>
      </c>
    </row>
    <row r="11" spans="1:2" x14ac:dyDescent="0.3">
      <c r="A11" t="s">
        <v>9</v>
      </c>
      <c r="B11" t="s">
        <v>2385</v>
      </c>
    </row>
    <row r="12" spans="1:2" x14ac:dyDescent="0.3">
      <c r="A12" t="s">
        <v>10</v>
      </c>
      <c r="B12" t="s">
        <v>2386</v>
      </c>
    </row>
    <row r="13" spans="1:2" x14ac:dyDescent="0.3">
      <c r="A13" t="s">
        <v>11</v>
      </c>
      <c r="B13" t="s">
        <v>11</v>
      </c>
    </row>
    <row r="14" spans="1:2" x14ac:dyDescent="0.3">
      <c r="A14" t="s">
        <v>12</v>
      </c>
      <c r="B14" t="s">
        <v>2387</v>
      </c>
    </row>
    <row r="15" spans="1:2" x14ac:dyDescent="0.3">
      <c r="A15" t="s">
        <v>13</v>
      </c>
      <c r="B15" t="s">
        <v>2388</v>
      </c>
    </row>
    <row r="16" spans="1:2" x14ac:dyDescent="0.3">
      <c r="A16" t="s">
        <v>14</v>
      </c>
      <c r="B16" t="s">
        <v>2389</v>
      </c>
    </row>
    <row r="17" spans="1:2" x14ac:dyDescent="0.3">
      <c r="A17" t="s">
        <v>15</v>
      </c>
      <c r="B17" t="s">
        <v>2390</v>
      </c>
    </row>
    <row r="18" spans="1:2" x14ac:dyDescent="0.3">
      <c r="A18" t="s">
        <v>16</v>
      </c>
      <c r="B18" t="s">
        <v>2391</v>
      </c>
    </row>
    <row r="19" spans="1:2" x14ac:dyDescent="0.3">
      <c r="A19" t="s">
        <v>17</v>
      </c>
      <c r="B19" t="s">
        <v>2392</v>
      </c>
    </row>
    <row r="20" spans="1:2" x14ac:dyDescent="0.3">
      <c r="A20" t="s">
        <v>18</v>
      </c>
      <c r="B20" t="s">
        <v>2393</v>
      </c>
    </row>
    <row r="21" spans="1:2" x14ac:dyDescent="0.3">
      <c r="A21" t="s">
        <v>19</v>
      </c>
      <c r="B21" t="s">
        <v>2394</v>
      </c>
    </row>
    <row r="22" spans="1:2" x14ac:dyDescent="0.3">
      <c r="A22" t="s">
        <v>20</v>
      </c>
      <c r="B22" t="s">
        <v>2395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6D0E-3BE2-441B-9DFB-7F3DAD7FE5FB}">
  <dimension ref="B1:X50"/>
  <sheetViews>
    <sheetView zoomScale="79" workbookViewId="0">
      <selection activeCell="G13" sqref="G13"/>
    </sheetView>
  </sheetViews>
  <sheetFormatPr defaultColWidth="9.109375" defaultRowHeight="14.4" x14ac:dyDescent="0.3"/>
  <cols>
    <col min="1" max="1" width="9.109375" style="2"/>
    <col min="2" max="3" width="11.109375" style="2" bestFit="1" customWidth="1"/>
    <col min="4" max="4" width="9.109375" style="2"/>
    <col min="5" max="5" width="10.6640625" style="2" bestFit="1" customWidth="1"/>
    <col min="6" max="6" width="17.21875" style="2" bestFit="1" customWidth="1"/>
    <col min="7" max="7" width="11.109375" style="2" bestFit="1" customWidth="1"/>
    <col min="8" max="8" width="6.88671875" style="2" bestFit="1" customWidth="1"/>
    <col min="9" max="9" width="9.109375" style="2"/>
    <col min="10" max="10" width="11.109375" style="2" bestFit="1" customWidth="1"/>
    <col min="11" max="11" width="6.44140625" style="2" bestFit="1" customWidth="1"/>
    <col min="12" max="13" width="9.109375" style="2"/>
    <col min="14" max="14" width="11.5546875" style="2" bestFit="1" customWidth="1"/>
    <col min="15" max="15" width="11.109375" style="2" bestFit="1" customWidth="1"/>
    <col min="16" max="17" width="9.109375" style="2"/>
    <col min="18" max="19" width="11.109375" style="2" bestFit="1" customWidth="1"/>
    <col min="20" max="21" width="9.109375" style="2"/>
    <col min="22" max="22" width="14.77734375" style="2" bestFit="1" customWidth="1"/>
    <col min="23" max="23" width="11.109375" style="2" bestFit="1" customWidth="1"/>
    <col min="24" max="16384" width="9.109375" style="2"/>
  </cols>
  <sheetData>
    <row r="1" spans="2:24" x14ac:dyDescent="0.3">
      <c r="B1" s="41" t="s">
        <v>2396</v>
      </c>
      <c r="C1" s="42"/>
      <c r="D1" s="42"/>
      <c r="E1" s="42"/>
      <c r="F1" s="42"/>
      <c r="G1" s="42"/>
      <c r="H1" s="42"/>
      <c r="I1" s="42"/>
      <c r="J1" s="42"/>
      <c r="K1" s="42"/>
      <c r="L1" s="42"/>
      <c r="M1" s="42"/>
      <c r="N1" s="42"/>
    </row>
    <row r="2" spans="2:24" x14ac:dyDescent="0.3">
      <c r="B2" s="42"/>
      <c r="C2" s="42"/>
      <c r="D2" s="42"/>
      <c r="E2" s="42"/>
      <c r="F2" s="42"/>
      <c r="G2" s="42"/>
      <c r="H2" s="42"/>
      <c r="I2" s="42"/>
      <c r="J2" s="42"/>
      <c r="K2" s="42"/>
      <c r="L2" s="42"/>
      <c r="M2" s="42"/>
      <c r="N2" s="42"/>
    </row>
    <row r="3" spans="2:24" x14ac:dyDescent="0.3">
      <c r="B3" s="6" t="s">
        <v>2399</v>
      </c>
      <c r="F3" s="6" t="s">
        <v>2400</v>
      </c>
      <c r="J3" s="6" t="s">
        <v>2401</v>
      </c>
      <c r="N3" s="6" t="s">
        <v>2402</v>
      </c>
      <c r="R3" s="6" t="s">
        <v>2403</v>
      </c>
      <c r="V3" s="6" t="s">
        <v>2404</v>
      </c>
    </row>
    <row r="4" spans="2:24" x14ac:dyDescent="0.3">
      <c r="B4" s="3" t="s">
        <v>21</v>
      </c>
      <c r="C4" t="s">
        <v>2398</v>
      </c>
      <c r="D4"/>
      <c r="F4" s="3" t="s">
        <v>9</v>
      </c>
      <c r="G4" t="s">
        <v>2398</v>
      </c>
      <c r="H4"/>
      <c r="J4" s="3" t="s">
        <v>4</v>
      </c>
      <c r="K4" t="s">
        <v>2398</v>
      </c>
      <c r="L4"/>
      <c r="N4" s="3" t="s">
        <v>3</v>
      </c>
      <c r="O4" t="s">
        <v>2398</v>
      </c>
      <c r="P4"/>
      <c r="R4" s="3" t="s">
        <v>11</v>
      </c>
      <c r="S4" t="s">
        <v>2398</v>
      </c>
      <c r="T4"/>
      <c r="V4" s="3" t="s">
        <v>2425</v>
      </c>
      <c r="W4" t="s">
        <v>2398</v>
      </c>
      <c r="X4"/>
    </row>
    <row r="5" spans="2:24" x14ac:dyDescent="0.3">
      <c r="B5" s="4" t="s">
        <v>84</v>
      </c>
      <c r="C5" s="5">
        <v>780539.43000000017</v>
      </c>
      <c r="D5"/>
      <c r="F5" s="4" t="s">
        <v>75</v>
      </c>
      <c r="G5" s="5">
        <v>6231088.4500000011</v>
      </c>
      <c r="H5"/>
      <c r="J5" s="4" t="s">
        <v>25</v>
      </c>
      <c r="K5" s="5">
        <v>4930077.5699999956</v>
      </c>
      <c r="L5"/>
      <c r="N5" s="4" t="s">
        <v>108</v>
      </c>
      <c r="O5" s="5">
        <v>1628847.3500000008</v>
      </c>
      <c r="P5"/>
      <c r="R5" s="4" t="s">
        <v>103</v>
      </c>
      <c r="S5" s="5">
        <v>1993005.5900000015</v>
      </c>
      <c r="T5"/>
      <c r="V5" s="4" t="s">
        <v>147</v>
      </c>
      <c r="W5" s="5">
        <v>1318315.4900000005</v>
      </c>
      <c r="X5"/>
    </row>
    <row r="6" spans="2:24" x14ac:dyDescent="0.3">
      <c r="B6" s="4" t="s">
        <v>105</v>
      </c>
      <c r="C6" s="5">
        <v>1090284.7500000002</v>
      </c>
      <c r="D6"/>
      <c r="F6" s="4" t="s">
        <v>101</v>
      </c>
      <c r="G6" s="5">
        <v>1689794.6499999992</v>
      </c>
      <c r="H6"/>
      <c r="J6" s="4" t="s">
        <v>39</v>
      </c>
      <c r="K6" s="5">
        <v>3844277.1999999993</v>
      </c>
      <c r="L6"/>
      <c r="N6" s="4" t="s">
        <v>99</v>
      </c>
      <c r="O6" s="5">
        <v>1299533.8000000005</v>
      </c>
      <c r="P6"/>
      <c r="R6" s="4" t="s">
        <v>77</v>
      </c>
      <c r="S6" s="5">
        <v>1786813.4599999993</v>
      </c>
      <c r="T6"/>
      <c r="V6" s="4" t="s">
        <v>71</v>
      </c>
      <c r="W6" s="5">
        <v>1283071.7400000009</v>
      </c>
      <c r="X6"/>
    </row>
    <row r="7" spans="2:24" x14ac:dyDescent="0.3">
      <c r="B7" s="4" t="s">
        <v>55</v>
      </c>
      <c r="C7" s="5">
        <v>1200522.0400000003</v>
      </c>
      <c r="D7"/>
      <c r="F7" s="4" t="s">
        <v>30</v>
      </c>
      <c r="G7" s="5">
        <v>1459057.7700000016</v>
      </c>
      <c r="H7"/>
      <c r="J7" s="4" t="s">
        <v>59</v>
      </c>
      <c r="K7" s="5">
        <v>3212641.870000002</v>
      </c>
      <c r="L7"/>
      <c r="N7" s="4" t="s">
        <v>24</v>
      </c>
      <c r="O7" s="5">
        <v>1292177.5700000005</v>
      </c>
      <c r="P7"/>
      <c r="R7" s="4" t="s">
        <v>91</v>
      </c>
      <c r="S7" s="5">
        <v>1692535.1200000013</v>
      </c>
      <c r="T7"/>
      <c r="V7" s="4" t="s">
        <v>111</v>
      </c>
      <c r="W7" s="5">
        <v>1280971.6200000001</v>
      </c>
      <c r="X7"/>
    </row>
    <row r="8" spans="2:24" x14ac:dyDescent="0.3">
      <c r="B8" s="4" t="s">
        <v>96</v>
      </c>
      <c r="C8" s="5">
        <v>1244716.2899999998</v>
      </c>
      <c r="D8"/>
      <c r="F8" s="4" t="s">
        <v>89</v>
      </c>
      <c r="G8" s="5">
        <v>1311109.8799999994</v>
      </c>
      <c r="H8"/>
      <c r="J8" s="4" t="s">
        <v>2397</v>
      </c>
      <c r="K8" s="5">
        <v>11986996.639999997</v>
      </c>
      <c r="L8"/>
      <c r="N8" s="4" t="s">
        <v>114</v>
      </c>
      <c r="O8" s="5">
        <v>1277550.7299999993</v>
      </c>
      <c r="P8"/>
      <c r="R8" s="4" t="s">
        <v>175</v>
      </c>
      <c r="S8" s="5">
        <v>1527076.4800000004</v>
      </c>
      <c r="T8"/>
      <c r="V8" s="4" t="s">
        <v>119</v>
      </c>
      <c r="W8" s="5">
        <v>1265205.3899999997</v>
      </c>
      <c r="X8"/>
    </row>
    <row r="9" spans="2:24" x14ac:dyDescent="0.3">
      <c r="B9" s="4" t="s">
        <v>134</v>
      </c>
      <c r="C9" s="5">
        <v>926971.19999999972</v>
      </c>
      <c r="D9"/>
      <c r="F9" s="4" t="s">
        <v>43</v>
      </c>
      <c r="G9" s="5">
        <v>744785.51000000071</v>
      </c>
      <c r="H9"/>
      <c r="J9"/>
      <c r="K9"/>
      <c r="L9"/>
      <c r="N9" s="4" t="s">
        <v>132</v>
      </c>
      <c r="O9" s="5">
        <v>1248097.28</v>
      </c>
      <c r="P9"/>
      <c r="R9" s="4" t="s">
        <v>32</v>
      </c>
      <c r="S9" s="5">
        <v>1399794.050000001</v>
      </c>
      <c r="T9"/>
      <c r="V9" s="4" t="s">
        <v>34</v>
      </c>
      <c r="W9" s="5">
        <v>1260552.4500000009</v>
      </c>
      <c r="X9"/>
    </row>
    <row r="10" spans="2:24" x14ac:dyDescent="0.3">
      <c r="B10" s="4" t="s">
        <v>157</v>
      </c>
      <c r="C10" s="5">
        <v>1213417.3999999992</v>
      </c>
      <c r="D10"/>
      <c r="F10" s="4" t="s">
        <v>69</v>
      </c>
      <c r="G10" s="5">
        <v>551160.37999999977</v>
      </c>
      <c r="H10"/>
      <c r="J10"/>
      <c r="K10"/>
      <c r="L10"/>
      <c r="N10" s="4" t="s">
        <v>49</v>
      </c>
      <c r="O10" s="5">
        <v>1201946.6300000011</v>
      </c>
      <c r="P10"/>
      <c r="R10" s="4" t="s">
        <v>82</v>
      </c>
      <c r="S10" s="5">
        <v>1337420.9200000004</v>
      </c>
      <c r="T10"/>
      <c r="V10" s="4" t="s">
        <v>64</v>
      </c>
      <c r="W10" s="5">
        <v>1229998.17</v>
      </c>
      <c r="X10"/>
    </row>
    <row r="11" spans="2:24" x14ac:dyDescent="0.3">
      <c r="B11" s="4" t="s">
        <v>120</v>
      </c>
      <c r="C11" s="5">
        <v>889116.92000000027</v>
      </c>
      <c r="D11"/>
      <c r="F11" s="4" t="s">
        <v>2397</v>
      </c>
      <c r="G11" s="5">
        <v>11986996.640000001</v>
      </c>
      <c r="H11"/>
      <c r="J11"/>
      <c r="K11"/>
      <c r="L11"/>
      <c r="N11" s="4" t="s">
        <v>126</v>
      </c>
      <c r="O11" s="5">
        <v>1090268.9200000004</v>
      </c>
      <c r="P11"/>
      <c r="R11" s="4" t="s">
        <v>45</v>
      </c>
      <c r="S11" s="5">
        <v>1158048.1700000002</v>
      </c>
      <c r="T11"/>
      <c r="V11" s="4" t="s">
        <v>54</v>
      </c>
      <c r="W11" s="5">
        <v>1167382.58</v>
      </c>
      <c r="X11"/>
    </row>
    <row r="12" spans="2:24" x14ac:dyDescent="0.3">
      <c r="B12" s="4" t="s">
        <v>72</v>
      </c>
      <c r="C12" s="5">
        <v>711331.87999999989</v>
      </c>
      <c r="D12"/>
      <c r="F12"/>
      <c r="G12"/>
      <c r="H12"/>
      <c r="J12"/>
      <c r="K12"/>
      <c r="L12"/>
      <c r="N12" s="4" t="s">
        <v>58</v>
      </c>
      <c r="O12" s="5">
        <v>1090122.8100000003</v>
      </c>
      <c r="P12"/>
      <c r="R12" s="4" t="s">
        <v>52</v>
      </c>
      <c r="S12" s="5">
        <v>1092302.8500000003</v>
      </c>
      <c r="T12"/>
      <c r="V12" s="4" t="s">
        <v>156</v>
      </c>
      <c r="W12" s="5">
        <v>1161213.5999999992</v>
      </c>
      <c r="X12"/>
    </row>
    <row r="13" spans="2:24" x14ac:dyDescent="0.3">
      <c r="B13" s="4" t="s">
        <v>116</v>
      </c>
      <c r="C13" s="5">
        <v>1071376.8200000003</v>
      </c>
      <c r="D13"/>
      <c r="F13"/>
      <c r="G13"/>
      <c r="H13"/>
      <c r="J13"/>
      <c r="K13"/>
      <c r="L13"/>
      <c r="N13" s="4" t="s">
        <v>38</v>
      </c>
      <c r="O13" s="5">
        <v>1013483.2200000004</v>
      </c>
      <c r="P13"/>
      <c r="R13" s="4" t="s">
        <v>2397</v>
      </c>
      <c r="S13" s="5">
        <v>11986996.640000002</v>
      </c>
      <c r="T13"/>
      <c r="V13" s="4" t="s">
        <v>78</v>
      </c>
      <c r="W13" s="5">
        <v>1159673.1699999992</v>
      </c>
      <c r="X13"/>
    </row>
    <row r="14" spans="2:24" x14ac:dyDescent="0.3">
      <c r="B14" s="4" t="s">
        <v>123</v>
      </c>
      <c r="C14" s="5">
        <v>1053989.6400000001</v>
      </c>
      <c r="D14"/>
      <c r="F14"/>
      <c r="G14"/>
      <c r="H14"/>
      <c r="J14"/>
      <c r="K14"/>
      <c r="L14"/>
      <c r="N14" s="4" t="s">
        <v>87</v>
      </c>
      <c r="O14" s="5">
        <v>844968.32999999973</v>
      </c>
      <c r="P14"/>
      <c r="R14"/>
      <c r="S14"/>
      <c r="T14"/>
      <c r="V14" s="4" t="s">
        <v>104</v>
      </c>
      <c r="W14" s="5">
        <v>860612.4300000004</v>
      </c>
      <c r="X14"/>
    </row>
    <row r="15" spans="2:24" x14ac:dyDescent="0.3">
      <c r="B15" s="4" t="s">
        <v>65</v>
      </c>
      <c r="C15" s="5">
        <v>981409.67999999982</v>
      </c>
      <c r="D15"/>
      <c r="F15"/>
      <c r="G15"/>
      <c r="H15"/>
      <c r="J15"/>
      <c r="K15"/>
      <c r="L15"/>
      <c r="N15" s="4" t="s">
        <v>2397</v>
      </c>
      <c r="O15" s="5">
        <v>11986996.640000002</v>
      </c>
      <c r="P15"/>
      <c r="R15"/>
      <c r="S15"/>
      <c r="T15"/>
      <c r="V15" s="4" t="s">
        <v>2397</v>
      </c>
      <c r="W15" s="5">
        <v>11986996.640000001</v>
      </c>
      <c r="X15"/>
    </row>
    <row r="16" spans="2:24" x14ac:dyDescent="0.3">
      <c r="B16" s="4" t="s">
        <v>35</v>
      </c>
      <c r="C16" s="5">
        <v>823320.5900000002</v>
      </c>
      <c r="D16"/>
      <c r="F16"/>
      <c r="G16"/>
      <c r="H16"/>
      <c r="J16"/>
      <c r="K16"/>
      <c r="L16"/>
      <c r="N16"/>
      <c r="O16"/>
      <c r="P16"/>
      <c r="R16"/>
      <c r="S16"/>
      <c r="T16"/>
      <c r="V16"/>
      <c r="W16"/>
      <c r="X16"/>
    </row>
    <row r="17" spans="2:24" x14ac:dyDescent="0.3">
      <c r="B17" s="4" t="s">
        <v>2397</v>
      </c>
      <c r="C17" s="5">
        <v>11986996.640000001</v>
      </c>
      <c r="D17"/>
      <c r="F17"/>
      <c r="G17"/>
      <c r="H17"/>
      <c r="J17"/>
      <c r="K17"/>
      <c r="L17"/>
      <c r="N17"/>
      <c r="O17"/>
      <c r="P17"/>
      <c r="R17"/>
      <c r="S17"/>
      <c r="T17"/>
      <c r="V17"/>
      <c r="W17"/>
      <c r="X17"/>
    </row>
    <row r="18" spans="2:24" x14ac:dyDescent="0.3">
      <c r="B18"/>
      <c r="C18"/>
      <c r="D18"/>
      <c r="F18"/>
      <c r="G18"/>
      <c r="H18"/>
      <c r="J18"/>
      <c r="K18"/>
      <c r="L18"/>
      <c r="N18"/>
      <c r="O18"/>
      <c r="P18"/>
      <c r="R18"/>
      <c r="S18"/>
      <c r="T18"/>
      <c r="V18"/>
      <c r="W18"/>
      <c r="X18"/>
    </row>
    <row r="19" spans="2:24" x14ac:dyDescent="0.3">
      <c r="B19"/>
      <c r="C19"/>
      <c r="D19"/>
      <c r="F19"/>
      <c r="G19"/>
      <c r="H19"/>
      <c r="J19"/>
      <c r="K19"/>
      <c r="L19"/>
      <c r="N19"/>
      <c r="O19"/>
      <c r="P19"/>
      <c r="R19"/>
      <c r="S19"/>
      <c r="T19"/>
      <c r="V19"/>
      <c r="W19"/>
      <c r="X19"/>
    </row>
    <row r="20" spans="2:24" x14ac:dyDescent="0.3">
      <c r="B20"/>
      <c r="C20"/>
      <c r="D20"/>
      <c r="F20"/>
      <c r="G20"/>
      <c r="H20"/>
      <c r="J20"/>
      <c r="K20"/>
      <c r="L20"/>
      <c r="N20"/>
      <c r="O20"/>
      <c r="P20"/>
      <c r="R20"/>
      <c r="S20"/>
      <c r="T20"/>
      <c r="V20"/>
      <c r="W20"/>
      <c r="X20"/>
    </row>
    <row r="21" spans="2:24" x14ac:dyDescent="0.3">
      <c r="B21"/>
      <c r="C21"/>
      <c r="D21"/>
      <c r="F21"/>
      <c r="G21"/>
      <c r="H21"/>
      <c r="J21"/>
      <c r="K21"/>
      <c r="L21"/>
      <c r="N21"/>
      <c r="O21"/>
      <c r="P21"/>
      <c r="R21"/>
      <c r="S21"/>
      <c r="T21"/>
      <c r="V21"/>
      <c r="W21"/>
      <c r="X21"/>
    </row>
    <row r="33" spans="2:13" x14ac:dyDescent="0.3">
      <c r="B33" t="s">
        <v>2398</v>
      </c>
      <c r="C33"/>
      <c r="D33"/>
      <c r="E33" t="s">
        <v>2405</v>
      </c>
      <c r="F33"/>
      <c r="G33"/>
      <c r="H33" t="s">
        <v>2406</v>
      </c>
      <c r="I33"/>
      <c r="J33"/>
      <c r="K33" t="s">
        <v>2407</v>
      </c>
      <c r="L33"/>
      <c r="M33"/>
    </row>
    <row r="34" spans="2:13" x14ac:dyDescent="0.3">
      <c r="B34" s="5">
        <v>11986996.640000001</v>
      </c>
      <c r="C34"/>
      <c r="D34"/>
      <c r="E34" s="5">
        <v>3154135.5100000068</v>
      </c>
      <c r="F34"/>
      <c r="G34"/>
      <c r="H34" s="43">
        <v>1500</v>
      </c>
      <c r="I34"/>
      <c r="J34"/>
      <c r="K34" s="43">
        <v>3.9740000000000002</v>
      </c>
      <c r="L34"/>
      <c r="M34"/>
    </row>
    <row r="35" spans="2:13" x14ac:dyDescent="0.3">
      <c r="B35"/>
      <c r="C35"/>
      <c r="D35"/>
      <c r="E35"/>
      <c r="F35"/>
      <c r="G35"/>
      <c r="H35"/>
      <c r="I35"/>
      <c r="J35"/>
      <c r="K35"/>
      <c r="L35"/>
      <c r="M35"/>
    </row>
    <row r="36" spans="2:13" x14ac:dyDescent="0.3">
      <c r="B36"/>
      <c r="C36"/>
      <c r="D36"/>
      <c r="E36"/>
      <c r="F36"/>
      <c r="G36"/>
      <c r="H36"/>
      <c r="I36"/>
      <c r="J36"/>
      <c r="K36"/>
      <c r="L36"/>
      <c r="M36"/>
    </row>
    <row r="37" spans="2:13" x14ac:dyDescent="0.3">
      <c r="B37"/>
      <c r="C37"/>
      <c r="D37"/>
      <c r="E37"/>
      <c r="F37"/>
      <c r="G37"/>
      <c r="H37"/>
      <c r="I37"/>
      <c r="J37"/>
      <c r="K37"/>
      <c r="L37"/>
      <c r="M37"/>
    </row>
    <row r="38" spans="2:13" x14ac:dyDescent="0.3">
      <c r="B38"/>
      <c r="C38"/>
      <c r="D38"/>
      <c r="E38"/>
      <c r="F38"/>
      <c r="G38"/>
      <c r="H38"/>
      <c r="I38"/>
      <c r="J38"/>
      <c r="K38"/>
      <c r="L38"/>
      <c r="M38"/>
    </row>
    <row r="39" spans="2:13" x14ac:dyDescent="0.3">
      <c r="B39"/>
      <c r="C39"/>
      <c r="D39"/>
      <c r="E39"/>
      <c r="F39"/>
      <c r="G39"/>
      <c r="H39"/>
      <c r="I39"/>
      <c r="J39"/>
      <c r="K39"/>
      <c r="L39"/>
      <c r="M39"/>
    </row>
    <row r="40" spans="2:13" x14ac:dyDescent="0.3">
      <c r="B40"/>
      <c r="C40"/>
      <c r="D40"/>
      <c r="E40"/>
      <c r="F40"/>
      <c r="G40"/>
      <c r="H40"/>
      <c r="I40"/>
      <c r="J40"/>
      <c r="K40"/>
      <c r="L40"/>
      <c r="M40"/>
    </row>
    <row r="41" spans="2:13" x14ac:dyDescent="0.3">
      <c r="B41"/>
      <c r="C41"/>
      <c r="D41"/>
      <c r="E41"/>
      <c r="F41"/>
      <c r="G41"/>
      <c r="H41"/>
      <c r="I41"/>
      <c r="J41"/>
      <c r="K41"/>
      <c r="L41"/>
      <c r="M41"/>
    </row>
    <row r="42" spans="2:13" x14ac:dyDescent="0.3">
      <c r="B42"/>
      <c r="C42"/>
      <c r="D42"/>
      <c r="E42"/>
      <c r="F42"/>
      <c r="G42"/>
      <c r="H42"/>
      <c r="I42"/>
      <c r="J42"/>
      <c r="K42"/>
      <c r="L42"/>
      <c r="M42"/>
    </row>
    <row r="43" spans="2:13" x14ac:dyDescent="0.3">
      <c r="B43"/>
      <c r="C43"/>
      <c r="D43"/>
      <c r="E43"/>
      <c r="F43"/>
      <c r="G43"/>
      <c r="H43"/>
      <c r="I43"/>
      <c r="J43"/>
      <c r="K43"/>
      <c r="L43"/>
      <c r="M43"/>
    </row>
    <row r="44" spans="2:13" x14ac:dyDescent="0.3">
      <c r="B44"/>
      <c r="C44"/>
      <c r="D44"/>
      <c r="E44"/>
      <c r="F44"/>
      <c r="G44"/>
      <c r="H44"/>
      <c r="I44"/>
      <c r="J44"/>
      <c r="K44"/>
      <c r="L44"/>
      <c r="M44"/>
    </row>
    <row r="45" spans="2:13" x14ac:dyDescent="0.3">
      <c r="B45"/>
      <c r="C45"/>
      <c r="D45"/>
      <c r="E45"/>
      <c r="F45"/>
      <c r="G45"/>
      <c r="H45"/>
      <c r="I45"/>
      <c r="J45"/>
      <c r="K45"/>
      <c r="L45"/>
      <c r="M45"/>
    </row>
    <row r="46" spans="2:13" x14ac:dyDescent="0.3">
      <c r="B46"/>
      <c r="C46"/>
      <c r="D46"/>
      <c r="E46"/>
      <c r="F46"/>
      <c r="G46"/>
      <c r="H46"/>
      <c r="I46"/>
      <c r="J46"/>
      <c r="K46"/>
      <c r="L46"/>
      <c r="M46"/>
    </row>
    <row r="47" spans="2:13" x14ac:dyDescent="0.3">
      <c r="B47"/>
      <c r="C47"/>
      <c r="D47"/>
      <c r="E47"/>
      <c r="F47"/>
      <c r="G47"/>
      <c r="H47"/>
      <c r="I47"/>
      <c r="J47"/>
      <c r="K47"/>
      <c r="L47"/>
      <c r="M47"/>
    </row>
    <row r="48" spans="2:13" x14ac:dyDescent="0.3">
      <c r="B48"/>
      <c r="C48"/>
      <c r="D48"/>
      <c r="E48"/>
      <c r="F48"/>
      <c r="G48"/>
      <c r="H48"/>
      <c r="I48"/>
      <c r="J48"/>
      <c r="K48"/>
      <c r="L48"/>
      <c r="M48"/>
    </row>
    <row r="49" spans="2:13" x14ac:dyDescent="0.3">
      <c r="B49"/>
      <c r="C49"/>
      <c r="D49"/>
      <c r="E49"/>
      <c r="F49"/>
      <c r="G49"/>
      <c r="H49"/>
      <c r="I49"/>
      <c r="J49"/>
      <c r="K49"/>
      <c r="L49"/>
      <c r="M49"/>
    </row>
    <row r="50" spans="2:13" x14ac:dyDescent="0.3">
      <c r="B50"/>
      <c r="C50"/>
      <c r="D50"/>
      <c r="E50"/>
      <c r="F50"/>
      <c r="G50"/>
      <c r="H50"/>
      <c r="I50"/>
      <c r="J50"/>
      <c r="K50"/>
      <c r="L50"/>
      <c r="M50"/>
    </row>
  </sheetData>
  <mergeCells count="1">
    <mergeCell ref="B1: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C25E-199E-4A5D-A6B1-C8880ADDF577}">
  <sheetPr>
    <pageSetUpPr fitToPage="1"/>
  </sheetPr>
  <dimension ref="A1:BN49"/>
  <sheetViews>
    <sheetView showGridLines="0" tabSelected="1" zoomScale="82" zoomScaleNormal="80" workbookViewId="0">
      <selection activeCell="BG45" sqref="BG45"/>
    </sheetView>
  </sheetViews>
  <sheetFormatPr defaultRowHeight="14.4" x14ac:dyDescent="0.3"/>
  <cols>
    <col min="1" max="66" width="2.88671875" customWidth="1"/>
  </cols>
  <sheetData>
    <row r="1" spans="1:66" ht="15" customHeight="1" x14ac:dyDescent="0.3">
      <c r="A1" s="28" t="s">
        <v>2424</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19" t="s">
        <v>2412</v>
      </c>
      <c r="BG1" s="20"/>
      <c r="BH1" s="20"/>
      <c r="BI1" s="20"/>
      <c r="BJ1" s="20"/>
      <c r="BK1" s="20"/>
      <c r="BL1" s="20"/>
      <c r="BM1" s="20"/>
      <c r="BN1" s="2"/>
    </row>
    <row r="2" spans="1:66" ht="15" customHeight="1" x14ac:dyDescent="0.3">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0"/>
      <c r="BG2" s="20"/>
      <c r="BH2" s="20"/>
      <c r="BI2" s="20"/>
      <c r="BJ2" s="20"/>
      <c r="BK2" s="20"/>
      <c r="BL2" s="20"/>
      <c r="BM2" s="20"/>
      <c r="BN2" s="2"/>
    </row>
    <row r="3" spans="1:66" ht="15" customHeight="1" x14ac:dyDescent="0.3">
      <c r="A3" s="29" t="s">
        <v>2411</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row>
    <row r="4" spans="1:66" ht="3" customHeight="1" x14ac:dyDescent="0.3">
      <c r="A4" s="2"/>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2"/>
    </row>
    <row r="5" spans="1:66" ht="15"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row>
    <row r="6" spans="1:66" ht="15" customHeight="1" x14ac:dyDescent="0.3">
      <c r="A6" s="16"/>
      <c r="B6" s="21" t="s">
        <v>2413</v>
      </c>
      <c r="C6" s="22"/>
      <c r="D6" s="22"/>
      <c r="E6" s="22"/>
      <c r="F6" s="22"/>
      <c r="G6" s="22"/>
      <c r="H6" s="22"/>
      <c r="I6" s="22"/>
      <c r="J6" s="22"/>
      <c r="K6" s="23"/>
      <c r="L6" s="16"/>
      <c r="M6" s="21" t="s">
        <v>2415</v>
      </c>
      <c r="N6" s="22"/>
      <c r="O6" s="22"/>
      <c r="P6" s="22"/>
      <c r="Q6" s="22"/>
      <c r="R6" s="22"/>
      <c r="S6" s="22"/>
      <c r="T6" s="22"/>
      <c r="U6" s="22"/>
      <c r="V6" s="23"/>
      <c r="W6" s="16"/>
      <c r="X6" s="21" t="s">
        <v>2408</v>
      </c>
      <c r="Y6" s="22"/>
      <c r="Z6" s="22"/>
      <c r="AA6" s="22"/>
      <c r="AB6" s="22"/>
      <c r="AC6" s="22"/>
      <c r="AD6" s="22"/>
      <c r="AE6" s="22"/>
      <c r="AF6" s="22"/>
      <c r="AG6" s="23"/>
      <c r="AH6" s="16"/>
      <c r="AI6" s="21" t="s">
        <v>2409</v>
      </c>
      <c r="AJ6" s="22"/>
      <c r="AK6" s="22"/>
      <c r="AL6" s="22"/>
      <c r="AM6" s="22"/>
      <c r="AN6" s="22"/>
      <c r="AO6" s="22"/>
      <c r="AP6" s="22"/>
      <c r="AQ6" s="22"/>
      <c r="AR6" s="23"/>
      <c r="AS6" s="16"/>
      <c r="AT6" s="21" t="s">
        <v>2419</v>
      </c>
      <c r="AU6" s="22"/>
      <c r="AV6" s="22"/>
      <c r="AW6" s="22"/>
      <c r="AX6" s="22"/>
      <c r="AY6" s="22"/>
      <c r="AZ6" s="22"/>
      <c r="BA6" s="22"/>
      <c r="BB6" s="22"/>
      <c r="BC6" s="23"/>
      <c r="BD6" s="16"/>
      <c r="BE6" s="21" t="s">
        <v>2410</v>
      </c>
      <c r="BF6" s="22"/>
      <c r="BG6" s="22"/>
      <c r="BH6" s="22"/>
      <c r="BI6" s="22"/>
      <c r="BJ6" s="22"/>
      <c r="BK6" s="22"/>
      <c r="BL6" s="22"/>
      <c r="BM6" s="22"/>
      <c r="BN6" s="23"/>
    </row>
    <row r="7" spans="1:66" ht="15" customHeight="1" x14ac:dyDescent="0.3">
      <c r="A7" s="16"/>
      <c r="B7" s="24">
        <f>Pivots!$B$34</f>
        <v>11986996.640000001</v>
      </c>
      <c r="C7" s="25"/>
      <c r="D7" s="25"/>
      <c r="E7" s="25"/>
      <c r="F7" s="25"/>
      <c r="G7" s="25"/>
      <c r="H7" s="25"/>
      <c r="I7" s="25"/>
      <c r="J7" s="25"/>
      <c r="K7" s="26"/>
      <c r="L7" s="16"/>
      <c r="M7" s="24">
        <f>Pivots!$E$34</f>
        <v>3154135.5100000068</v>
      </c>
      <c r="N7" s="25"/>
      <c r="O7" s="25"/>
      <c r="P7" s="25"/>
      <c r="Q7" s="25"/>
      <c r="R7" s="25"/>
      <c r="S7" s="25"/>
      <c r="T7" s="25"/>
      <c r="U7" s="25"/>
      <c r="V7" s="26"/>
      <c r="W7" s="16"/>
      <c r="X7" s="38">
        <f>Pivots!$E$34/Pivots!$B$34</f>
        <v>0.26312975674614075</v>
      </c>
      <c r="Y7" s="25"/>
      <c r="Z7" s="25"/>
      <c r="AA7" s="25"/>
      <c r="AB7" s="25"/>
      <c r="AC7" s="25"/>
      <c r="AD7" s="25"/>
      <c r="AE7" s="25"/>
      <c r="AF7" s="25"/>
      <c r="AG7" s="26"/>
      <c r="AH7" s="16"/>
      <c r="AI7" s="39">
        <f>Pivots!$H$34</f>
        <v>1500</v>
      </c>
      <c r="AJ7" s="25"/>
      <c r="AK7" s="25"/>
      <c r="AL7" s="25"/>
      <c r="AM7" s="25"/>
      <c r="AN7" s="25"/>
      <c r="AO7" s="25"/>
      <c r="AP7" s="25"/>
      <c r="AQ7" s="25"/>
      <c r="AR7" s="26"/>
      <c r="AS7" s="16"/>
      <c r="AT7" s="40">
        <f>Pivots!$B$34/Pivots!$H$34</f>
        <v>7991.3310933333341</v>
      </c>
      <c r="AU7" s="25"/>
      <c r="AV7" s="25"/>
      <c r="AW7" s="25"/>
      <c r="AX7" s="25"/>
      <c r="AY7" s="25"/>
      <c r="AZ7" s="25"/>
      <c r="BA7" s="25"/>
      <c r="BB7" s="25"/>
      <c r="BC7" s="26"/>
      <c r="BD7" s="16"/>
      <c r="BE7" s="30">
        <f>Pivots!$K$34</f>
        <v>3.9740000000000002</v>
      </c>
      <c r="BF7" s="25"/>
      <c r="BG7" s="25"/>
      <c r="BH7" s="25"/>
      <c r="BI7" s="25"/>
      <c r="BJ7" s="25"/>
      <c r="BK7" s="25"/>
      <c r="BL7" s="25"/>
      <c r="BM7" s="25"/>
      <c r="BN7" s="26"/>
    </row>
    <row r="8" spans="1:66" ht="15" customHeight="1" x14ac:dyDescent="0.3">
      <c r="A8" s="16"/>
      <c r="B8" s="27"/>
      <c r="C8" s="25"/>
      <c r="D8" s="25"/>
      <c r="E8" s="25"/>
      <c r="F8" s="25"/>
      <c r="G8" s="25"/>
      <c r="H8" s="25"/>
      <c r="I8" s="25"/>
      <c r="J8" s="25"/>
      <c r="K8" s="26"/>
      <c r="L8" s="16"/>
      <c r="M8" s="27"/>
      <c r="N8" s="25"/>
      <c r="O8" s="25"/>
      <c r="P8" s="25"/>
      <c r="Q8" s="25"/>
      <c r="R8" s="25"/>
      <c r="S8" s="25"/>
      <c r="T8" s="25"/>
      <c r="U8" s="25"/>
      <c r="V8" s="26"/>
      <c r="W8" s="16"/>
      <c r="X8" s="27"/>
      <c r="Y8" s="25"/>
      <c r="Z8" s="25"/>
      <c r="AA8" s="25"/>
      <c r="AB8" s="25"/>
      <c r="AC8" s="25"/>
      <c r="AD8" s="25"/>
      <c r="AE8" s="25"/>
      <c r="AF8" s="25"/>
      <c r="AG8" s="26"/>
      <c r="AH8" s="16"/>
      <c r="AI8" s="27"/>
      <c r="AJ8" s="25"/>
      <c r="AK8" s="25"/>
      <c r="AL8" s="25"/>
      <c r="AM8" s="25"/>
      <c r="AN8" s="25"/>
      <c r="AO8" s="25"/>
      <c r="AP8" s="25"/>
      <c r="AQ8" s="25"/>
      <c r="AR8" s="26"/>
      <c r="AS8" s="16"/>
      <c r="AT8" s="27"/>
      <c r="AU8" s="25"/>
      <c r="AV8" s="25"/>
      <c r="AW8" s="25"/>
      <c r="AX8" s="25"/>
      <c r="AY8" s="25"/>
      <c r="AZ8" s="25"/>
      <c r="BA8" s="25"/>
      <c r="BB8" s="25"/>
      <c r="BC8" s="26"/>
      <c r="BD8" s="16"/>
      <c r="BE8" s="27"/>
      <c r="BF8" s="25"/>
      <c r="BG8" s="25"/>
      <c r="BH8" s="25"/>
      <c r="BI8" s="25"/>
      <c r="BJ8" s="25"/>
      <c r="BK8" s="25"/>
      <c r="BL8" s="25"/>
      <c r="BM8" s="25"/>
      <c r="BN8" s="26"/>
    </row>
    <row r="9" spans="1:66" ht="15" customHeight="1" x14ac:dyDescent="0.3">
      <c r="A9" s="16"/>
      <c r="B9" s="31" t="s">
        <v>2414</v>
      </c>
      <c r="C9" s="32"/>
      <c r="D9" s="32"/>
      <c r="E9" s="32"/>
      <c r="F9" s="32"/>
      <c r="G9" s="32"/>
      <c r="H9" s="32"/>
      <c r="I9" s="32"/>
      <c r="J9" s="32"/>
      <c r="K9" s="33"/>
      <c r="L9" s="16"/>
      <c r="M9" s="31" t="s">
        <v>2416</v>
      </c>
      <c r="N9" s="32"/>
      <c r="O9" s="32"/>
      <c r="P9" s="32"/>
      <c r="Q9" s="32"/>
      <c r="R9" s="32"/>
      <c r="S9" s="32"/>
      <c r="T9" s="32"/>
      <c r="U9" s="32"/>
      <c r="V9" s="33"/>
      <c r="W9" s="16"/>
      <c r="X9" s="31" t="s">
        <v>2417</v>
      </c>
      <c r="Y9" s="32"/>
      <c r="Z9" s="32"/>
      <c r="AA9" s="32"/>
      <c r="AB9" s="32"/>
      <c r="AC9" s="32"/>
      <c r="AD9" s="32"/>
      <c r="AE9" s="32"/>
      <c r="AF9" s="32"/>
      <c r="AG9" s="33"/>
      <c r="AH9" s="16"/>
      <c r="AI9" s="31" t="s">
        <v>2418</v>
      </c>
      <c r="AJ9" s="32"/>
      <c r="AK9" s="32"/>
      <c r="AL9" s="32"/>
      <c r="AM9" s="32"/>
      <c r="AN9" s="32"/>
      <c r="AO9" s="32"/>
      <c r="AP9" s="32"/>
      <c r="AQ9" s="32"/>
      <c r="AR9" s="33"/>
      <c r="AS9" s="16"/>
      <c r="AT9" s="31" t="s">
        <v>2420</v>
      </c>
      <c r="AU9" s="32"/>
      <c r="AV9" s="32"/>
      <c r="AW9" s="32"/>
      <c r="AX9" s="32"/>
      <c r="AY9" s="32"/>
      <c r="AZ9" s="32"/>
      <c r="BA9" s="32"/>
      <c r="BB9" s="32"/>
      <c r="BC9" s="33"/>
      <c r="BD9" s="16"/>
      <c r="BE9" s="31" t="s">
        <v>2421</v>
      </c>
      <c r="BF9" s="32"/>
      <c r="BG9" s="32"/>
      <c r="BH9" s="32"/>
      <c r="BI9" s="32"/>
      <c r="BJ9" s="32"/>
      <c r="BK9" s="32"/>
      <c r="BL9" s="32"/>
      <c r="BM9" s="32"/>
      <c r="BN9" s="33"/>
    </row>
    <row r="10" spans="1:66" ht="15" customHeight="1" x14ac:dyDescent="0.3">
      <c r="A10" s="16"/>
      <c r="B10" s="34"/>
      <c r="C10" s="35"/>
      <c r="D10" s="35"/>
      <c r="E10" s="35"/>
      <c r="F10" s="35"/>
      <c r="G10" s="35"/>
      <c r="H10" s="35"/>
      <c r="I10" s="35"/>
      <c r="J10" s="35"/>
      <c r="K10" s="36"/>
      <c r="L10" s="16"/>
      <c r="M10" s="34"/>
      <c r="N10" s="35"/>
      <c r="O10" s="35"/>
      <c r="P10" s="35"/>
      <c r="Q10" s="35"/>
      <c r="R10" s="35"/>
      <c r="S10" s="35"/>
      <c r="T10" s="35"/>
      <c r="U10" s="35"/>
      <c r="V10" s="36"/>
      <c r="W10" s="16"/>
      <c r="X10" s="34"/>
      <c r="Y10" s="35"/>
      <c r="Z10" s="35"/>
      <c r="AA10" s="35"/>
      <c r="AB10" s="35"/>
      <c r="AC10" s="35"/>
      <c r="AD10" s="35"/>
      <c r="AE10" s="35"/>
      <c r="AF10" s="35"/>
      <c r="AG10" s="36"/>
      <c r="AH10" s="16"/>
      <c r="AI10" s="34"/>
      <c r="AJ10" s="35"/>
      <c r="AK10" s="35"/>
      <c r="AL10" s="35"/>
      <c r="AM10" s="35"/>
      <c r="AN10" s="35"/>
      <c r="AO10" s="35"/>
      <c r="AP10" s="35"/>
      <c r="AQ10" s="35"/>
      <c r="AR10" s="36"/>
      <c r="AS10" s="16"/>
      <c r="AT10" s="34"/>
      <c r="AU10" s="35"/>
      <c r="AV10" s="35"/>
      <c r="AW10" s="35"/>
      <c r="AX10" s="35"/>
      <c r="AY10" s="35"/>
      <c r="AZ10" s="35"/>
      <c r="BA10" s="35"/>
      <c r="BB10" s="35"/>
      <c r="BC10" s="36"/>
      <c r="BD10" s="16"/>
      <c r="BE10" s="34"/>
      <c r="BF10" s="35"/>
      <c r="BG10" s="35"/>
      <c r="BH10" s="35"/>
      <c r="BI10" s="35"/>
      <c r="BJ10" s="35"/>
      <c r="BK10" s="35"/>
      <c r="BL10" s="35"/>
      <c r="BM10" s="35"/>
      <c r="BN10" s="36"/>
    </row>
    <row r="11" spans="1:66" ht="15" customHeight="1"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ht="15" customHeight="1" x14ac:dyDescent="0.3">
      <c r="A12" s="16"/>
      <c r="B12" s="37" t="s">
        <v>2422</v>
      </c>
      <c r="C12" s="37"/>
      <c r="D12" s="37"/>
      <c r="E12" s="37"/>
      <c r="F12" s="37"/>
      <c r="G12" s="37"/>
      <c r="H12" s="37"/>
      <c r="I12" s="37"/>
      <c r="J12" s="37"/>
      <c r="K12" s="37"/>
      <c r="L12" s="37"/>
      <c r="M12" s="37"/>
      <c r="N12" s="37"/>
      <c r="O12" s="37"/>
      <c r="P12" s="37"/>
      <c r="Q12" s="37"/>
      <c r="R12" s="37"/>
      <c r="S12" s="37"/>
      <c r="T12" s="37"/>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ht="15" customHeight="1"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ht="15" customHeight="1"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ht="15"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ht="15" customHeight="1"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ht="15" customHeight="1"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ht="15" customHeight="1"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ht="15" customHeight="1"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ht="15" customHeight="1"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ht="15" customHeight="1"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ht="15" customHeight="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ht="15" customHeight="1"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ht="15" customHeight="1"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ht="15" customHeight="1"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ht="15" customHeight="1"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ht="15" customHeight="1"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row r="28" spans="1:66" ht="15" customHeight="1"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row>
    <row r="29" spans="1:66" ht="15" customHeight="1"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row>
    <row r="30" spans="1:66" ht="15" customHeight="1"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row>
    <row r="31" spans="1:66" ht="15" customHeight="1"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row>
    <row r="32" spans="1:66" ht="15" customHeight="1"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row>
    <row r="33" spans="1:66" ht="15" customHeight="1"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row>
    <row r="34" spans="1:66" ht="15" customHeight="1"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row>
    <row r="35" spans="1:66" ht="15" customHeight="1"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row>
    <row r="36" spans="1:66" ht="15" customHeight="1"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row>
    <row r="37" spans="1:66" ht="15" customHeight="1"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row>
    <row r="38" spans="1:66" ht="15" customHeight="1"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row>
    <row r="39" spans="1:66" ht="15" customHeight="1"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row>
    <row r="40" spans="1:66" ht="15" customHeight="1"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row>
    <row r="41" spans="1:66" ht="15" customHeight="1" x14ac:dyDescent="0.3">
      <c r="A41" s="16"/>
      <c r="BN41" s="16"/>
    </row>
    <row r="42" spans="1:66"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row>
    <row r="43" spans="1:66" x14ac:dyDescent="0.3">
      <c r="A43" s="18" t="s">
        <v>2423</v>
      </c>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row>
    <row r="47" spans="1:66" x14ac:dyDescent="0.3">
      <c r="I47" t="s">
        <v>2482</v>
      </c>
    </row>
    <row r="49" spans="9:9" x14ac:dyDescent="0.3">
      <c r="I49" t="s">
        <v>2483</v>
      </c>
    </row>
  </sheetData>
  <mergeCells count="23">
    <mergeCell ref="B9:K10"/>
    <mergeCell ref="M9:V10"/>
    <mergeCell ref="AI7:AR8"/>
    <mergeCell ref="AI9:AR10"/>
    <mergeCell ref="AT6:BC6"/>
    <mergeCell ref="AT7:BC8"/>
    <mergeCell ref="AT9:BC10"/>
    <mergeCell ref="A43:BN43"/>
    <mergeCell ref="BF1:BM2"/>
    <mergeCell ref="B6:K6"/>
    <mergeCell ref="B7:K8"/>
    <mergeCell ref="M6:V6"/>
    <mergeCell ref="M7:V8"/>
    <mergeCell ref="X6:AG6"/>
    <mergeCell ref="A1:BE2"/>
    <mergeCell ref="A3:BN3"/>
    <mergeCell ref="BE6:BN6"/>
    <mergeCell ref="BE7:BN8"/>
    <mergeCell ref="BE9:BN10"/>
    <mergeCell ref="B12:T12"/>
    <mergeCell ref="X7:AG8"/>
    <mergeCell ref="X9:AG10"/>
    <mergeCell ref="AI6:AR6"/>
  </mergeCells>
  <pageMargins left="0.7" right="0.7" top="0.75" bottom="0.75" header="0.3" footer="0.3"/>
  <pageSetup scale="65"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54DB-49C3-4F73-BE09-F77B7D769BB7}">
  <dimension ref="A1:D25"/>
  <sheetViews>
    <sheetView topLeftCell="A18" workbookViewId="0">
      <selection activeCell="F2" sqref="F2"/>
    </sheetView>
  </sheetViews>
  <sheetFormatPr defaultRowHeight="14.4" x14ac:dyDescent="0.3"/>
  <cols>
    <col min="1" max="4" width="31.109375" customWidth="1"/>
  </cols>
  <sheetData>
    <row r="1" spans="1:4" x14ac:dyDescent="0.3">
      <c r="A1" s="48" t="s">
        <v>2426</v>
      </c>
      <c r="B1" s="48" t="s">
        <v>2427</v>
      </c>
      <c r="C1" s="48" t="s">
        <v>2428</v>
      </c>
      <c r="D1" s="48" t="s">
        <v>2429</v>
      </c>
    </row>
    <row r="2" spans="1:4" ht="273.60000000000002" x14ac:dyDescent="0.3">
      <c r="A2" s="44" t="s">
        <v>2430</v>
      </c>
      <c r="B2" s="44" t="s">
        <v>2431</v>
      </c>
      <c r="C2" s="44" t="s">
        <v>2432</v>
      </c>
      <c r="D2" s="44" t="s">
        <v>2433</v>
      </c>
    </row>
    <row r="3" spans="1:4" ht="201.6" x14ac:dyDescent="0.3">
      <c r="A3" s="44" t="s">
        <v>2434</v>
      </c>
      <c r="B3" s="44" t="s">
        <v>2435</v>
      </c>
      <c r="C3" s="44" t="s">
        <v>2436</v>
      </c>
      <c r="D3" s="44" t="s">
        <v>2437</v>
      </c>
    </row>
    <row r="4" spans="1:4" ht="144" x14ac:dyDescent="0.3">
      <c r="A4" s="44" t="s">
        <v>2438</v>
      </c>
      <c r="B4" s="44" t="s">
        <v>2439</v>
      </c>
      <c r="C4" s="44" t="s">
        <v>2440</v>
      </c>
      <c r="D4" s="44" t="s">
        <v>2441</v>
      </c>
    </row>
    <row r="5" spans="1:4" ht="144" x14ac:dyDescent="0.3">
      <c r="A5" s="44" t="s">
        <v>2442</v>
      </c>
      <c r="B5" s="44" t="s">
        <v>2443</v>
      </c>
      <c r="C5" s="44" t="s">
        <v>2444</v>
      </c>
      <c r="D5" s="44" t="s">
        <v>2445</v>
      </c>
    </row>
    <row r="6" spans="1:4" ht="158.4" x14ac:dyDescent="0.3">
      <c r="A6" s="44" t="s">
        <v>2446</v>
      </c>
      <c r="B6" s="44" t="s">
        <v>2447</v>
      </c>
      <c r="C6" s="44" t="s">
        <v>2448</v>
      </c>
      <c r="D6" s="44" t="s">
        <v>2449</v>
      </c>
    </row>
    <row r="7" spans="1:4" ht="129.6" x14ac:dyDescent="0.3">
      <c r="A7" s="44" t="s">
        <v>2450</v>
      </c>
      <c r="B7" s="44" t="s">
        <v>2451</v>
      </c>
      <c r="C7" s="44" t="s">
        <v>2452</v>
      </c>
      <c r="D7" s="44" t="s">
        <v>2453</v>
      </c>
    </row>
    <row r="8" spans="1:4" ht="100.8" x14ac:dyDescent="0.3">
      <c r="A8" s="44" t="s">
        <v>2454</v>
      </c>
      <c r="B8" s="44" t="s">
        <v>2455</v>
      </c>
      <c r="C8" s="44" t="s">
        <v>2456</v>
      </c>
      <c r="D8" s="44" t="s">
        <v>2457</v>
      </c>
    </row>
    <row r="9" spans="1:4" ht="115.2" x14ac:dyDescent="0.3">
      <c r="A9" s="44" t="s">
        <v>2458</v>
      </c>
      <c r="B9" s="44" t="s">
        <v>2459</v>
      </c>
      <c r="C9" s="44" t="s">
        <v>2460</v>
      </c>
      <c r="D9" s="44" t="s">
        <v>2461</v>
      </c>
    </row>
    <row r="10" spans="1:4" ht="158.4" x14ac:dyDescent="0.3">
      <c r="A10" s="44" t="s">
        <v>2462</v>
      </c>
      <c r="B10" s="44" t="s">
        <v>2463</v>
      </c>
      <c r="C10" s="44" t="s">
        <v>2464</v>
      </c>
      <c r="D10" s="44" t="s">
        <v>2465</v>
      </c>
    </row>
    <row r="11" spans="1:4" ht="129.6" x14ac:dyDescent="0.3">
      <c r="A11" s="44" t="s">
        <v>2466</v>
      </c>
      <c r="B11" s="44" t="s">
        <v>2467</v>
      </c>
      <c r="C11" s="44" t="s">
        <v>2468</v>
      </c>
      <c r="D11" s="44" t="s">
        <v>2469</v>
      </c>
    </row>
    <row r="14" spans="1:4" x14ac:dyDescent="0.3">
      <c r="A14" s="45"/>
    </row>
    <row r="15" spans="1:4" x14ac:dyDescent="0.3">
      <c r="A15" s="46" t="s">
        <v>2470</v>
      </c>
      <c r="B15" s="46" t="s">
        <v>2471</v>
      </c>
    </row>
    <row r="16" spans="1:4" ht="43.2" x14ac:dyDescent="0.3">
      <c r="A16" s="47">
        <v>1</v>
      </c>
      <c r="B16" s="47" t="s">
        <v>2472</v>
      </c>
    </row>
    <row r="17" spans="1:2" ht="28.8" x14ac:dyDescent="0.3">
      <c r="A17" s="47">
        <v>2</v>
      </c>
      <c r="B17" s="47" t="s">
        <v>2473</v>
      </c>
    </row>
    <row r="18" spans="1:2" ht="43.2" x14ac:dyDescent="0.3">
      <c r="A18" s="47">
        <v>3</v>
      </c>
      <c r="B18" s="47" t="s">
        <v>2474</v>
      </c>
    </row>
    <row r="19" spans="1:2" ht="28.8" x14ac:dyDescent="0.3">
      <c r="A19" s="47">
        <v>4</v>
      </c>
      <c r="B19" s="47" t="s">
        <v>2475</v>
      </c>
    </row>
    <row r="20" spans="1:2" ht="28.8" x14ac:dyDescent="0.3">
      <c r="A20" s="47">
        <v>5</v>
      </c>
      <c r="B20" s="47" t="s">
        <v>2476</v>
      </c>
    </row>
    <row r="21" spans="1:2" ht="28.8" x14ac:dyDescent="0.3">
      <c r="A21" s="47">
        <v>6</v>
      </c>
      <c r="B21" s="47" t="s">
        <v>2477</v>
      </c>
    </row>
    <row r="22" spans="1:2" ht="28.8" x14ac:dyDescent="0.3">
      <c r="A22" s="47">
        <v>7</v>
      </c>
      <c r="B22" s="47" t="s">
        <v>2478</v>
      </c>
    </row>
    <row r="23" spans="1:2" ht="43.2" x14ac:dyDescent="0.3">
      <c r="A23" s="47">
        <v>8</v>
      </c>
      <c r="B23" s="47" t="s">
        <v>2479</v>
      </c>
    </row>
    <row r="24" spans="1:2" ht="28.8" x14ac:dyDescent="0.3">
      <c r="A24" s="47">
        <v>9</v>
      </c>
      <c r="B24" s="47" t="s">
        <v>2480</v>
      </c>
    </row>
    <row r="25" spans="1:2" ht="43.2" x14ac:dyDescent="0.3">
      <c r="A25" s="47">
        <v>10</v>
      </c>
      <c r="B25" s="47" t="s">
        <v>2481</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Data_Dictionary</vt:lpstr>
      <vt:lpstr>Pivots</vt:lpstr>
      <vt:lpstr>Dashboard</vt:lpstr>
      <vt:lpstr>insights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Garima Khera</cp:lastModifiedBy>
  <cp:lastPrinted>2026-07-09T05:33:43Z</cp:lastPrinted>
  <dcterms:created xsi:type="dcterms:W3CDTF">2026-07-09T04:59:49Z</dcterms:created>
  <dcterms:modified xsi:type="dcterms:W3CDTF">2026-07-09T09:15:08Z</dcterms:modified>
</cp:coreProperties>
</file>